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codeName="ThisWorkbook"/>
  <mc:AlternateContent xmlns:mc="http://schemas.openxmlformats.org/markup-compatibility/2006">
    <mc:Choice Requires="x15">
      <x15ac:absPath xmlns:x15ac="http://schemas.microsoft.com/office/spreadsheetml/2010/11/ac" url="/Users/alexisjankowicz/Python/PRODUCTIVIDAD_GENERAL/DATOS/"/>
    </mc:Choice>
  </mc:AlternateContent>
  <xr:revisionPtr revIDLastSave="0" documentId="8_{D82643CE-D449-FE46-A312-E149C88D243C}" xr6:coauthVersionLast="47" xr6:coauthVersionMax="47" xr10:uidLastSave="{00000000-0000-0000-0000-000000000000}"/>
  <bookViews>
    <workbookView xWindow="0" yWindow="600" windowWidth="28800" windowHeight="16000" xr2:uid="{00000000-000D-0000-FFFF-FFFF00000000}"/>
  </bookViews>
  <sheets>
    <sheet name="Hoja1" sheetId="1" r:id="rId1"/>
    <sheet name="SITUACION DE CALLE" sheetId="3" r:id="rId2"/>
    <sheet name="VALIDACIONES" sheetId="2" r:id="rId3"/>
  </sheets>
  <definedNames>
    <definedName name="_xlnm._FilterDatabase" localSheetId="0" hidden="1">Hoja1!$A$1:$AN$191</definedName>
    <definedName name="_xlnm._FilterDatabase" localSheetId="2" hidden="1">VALIDACIONES!$S$1:$S$49</definedName>
    <definedName name="CONTRAVENTOR">Hoja1!$Y:$Y</definedName>
    <definedName name="DETENIDO">Hoja1!$Z:$Z</definedName>
    <definedName name="TIPIFICACION">Hoja1!$K:$K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91" i="1" l="1"/>
  <c r="B190" i="1"/>
  <c r="B189" i="1"/>
  <c r="B188" i="1"/>
  <c r="C191" i="1"/>
  <c r="C190" i="1"/>
  <c r="C189" i="1"/>
  <c r="C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B3" i="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C135" i="1"/>
  <c r="C136" i="1"/>
  <c r="E9" i="3" a="1"/>
  <c r="E9" i="3" s="1"/>
  <c r="E6" i="3"/>
  <c r="C2" i="1" l="1"/>
  <c r="B2" i="1"/>
  <c r="AM2" i="1" l="1"/>
  <c r="AN2" i="1" s="1"/>
  <c r="AL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<sst xmlns="http://schemas.openxmlformats.org/spreadsheetml/2006/main" count="6226" uniqueCount="3062">
  <si>
    <t>FECHA</t>
  </si>
  <si>
    <t>HORA</t>
  </si>
  <si>
    <t>FRANJA HORARIA</t>
  </si>
  <si>
    <t>JEFE DE SERVICIO</t>
  </si>
  <si>
    <t>GRUPO</t>
  </si>
  <si>
    <t>OFICIAL</t>
  </si>
  <si>
    <t>OPERADOR</t>
  </si>
  <si>
    <t>GAP</t>
  </si>
  <si>
    <t>SAE</t>
  </si>
  <si>
    <t>TIPIFICACIÓN</t>
  </si>
  <si>
    <t>SUBTIPIFICACION</t>
  </si>
  <si>
    <t>TIPO EVENTO</t>
  </si>
  <si>
    <t>CAMARA</t>
  </si>
  <si>
    <t>BARRIO</t>
  </si>
  <si>
    <t>INICIO</t>
  </si>
  <si>
    <t>FIN</t>
  </si>
  <si>
    <t>PC</t>
  </si>
  <si>
    <t xml:space="preserve">SAME </t>
  </si>
  <si>
    <t>BOMBEROS</t>
  </si>
  <si>
    <t>OTROS</t>
  </si>
  <si>
    <t>HORARIO</t>
  </si>
  <si>
    <t>RESEÑA</t>
  </si>
  <si>
    <t>CONTRAVENTORES</t>
  </si>
  <si>
    <t>DETENIDOS</t>
  </si>
  <si>
    <t>PERS. TRASLADADA</t>
  </si>
  <si>
    <t>COMUNA</t>
  </si>
  <si>
    <t>OBSERVACIONES</t>
  </si>
  <si>
    <t>ORIGEN</t>
  </si>
  <si>
    <t>SISEP/ANILLO</t>
  </si>
  <si>
    <t>COMENTARIO</t>
  </si>
  <si>
    <t>TIPO DE CIERRE</t>
  </si>
  <si>
    <t>ERRORES DE CIERRE</t>
  </si>
  <si>
    <t>OTROS ERRORES</t>
  </si>
  <si>
    <t>OTRAS IMPUTACIONES</t>
  </si>
  <si>
    <t>ACLARACIONES</t>
  </si>
  <si>
    <t>LP/DNI</t>
  </si>
  <si>
    <t>imp</t>
  </si>
  <si>
    <t>corr</t>
  </si>
  <si>
    <t>TIPO DE EVENTO</t>
  </si>
  <si>
    <t>Nombre Completo</t>
  </si>
  <si>
    <t>Turno</t>
  </si>
  <si>
    <t>ACEVEDO, CANDELA</t>
  </si>
  <si>
    <t>PERSONAL</t>
  </si>
  <si>
    <t>00:00 A 02:00</t>
  </si>
  <si>
    <t>ABUSO SEXUAL</t>
  </si>
  <si>
    <t>CARTA FINALIZADA</t>
  </si>
  <si>
    <t>ABUSO</t>
  </si>
  <si>
    <t>Martinez, Ricardo</t>
  </si>
  <si>
    <t>LEIVA</t>
  </si>
  <si>
    <t>ACEVEDO, LUDMILA AGUSTINA</t>
  </si>
  <si>
    <t xml:space="preserve"> CASTILLO GISEL</t>
  </si>
  <si>
    <t>AFECTAR EL FUNCIONAMIENTO DEL SERVICIO PUBLICO DE VIDEOVIGILANCIA</t>
  </si>
  <si>
    <t>02:00 A 04:00</t>
  </si>
  <si>
    <t>AMENAZAS</t>
  </si>
  <si>
    <t>FINALIZA CON IMPUTADO/S</t>
  </si>
  <si>
    <t>ALLANAMIENTO</t>
  </si>
  <si>
    <t>ARGUELLO, MAITEN</t>
  </si>
  <si>
    <t>ACEVEDO, PILAR</t>
  </si>
  <si>
    <t>ACEVEDO HARUMI PILAR</t>
  </si>
  <si>
    <t>AGRESION</t>
  </si>
  <si>
    <t>04:00 A 06:00</t>
  </si>
  <si>
    <t>AT. Y RES. A LA AUTORIDAD</t>
  </si>
  <si>
    <t>COLABORACION CON IMPUTADO/S</t>
  </si>
  <si>
    <t>Perez, Ramon</t>
  </si>
  <si>
    <t>ACHUMA, ROMINA</t>
  </si>
  <si>
    <t>ACEVEDO LUDMILA</t>
  </si>
  <si>
    <t>APARENTE COMERCIALIZACION ESTUPEFACIENTES</t>
  </si>
  <si>
    <t>06:00 A 08:00</t>
  </si>
  <si>
    <t>AV. ILICITO</t>
  </si>
  <si>
    <t>COLABORACION CON INTERVENCION DIRECTA CON IMPUTADO/S</t>
  </si>
  <si>
    <t>BOTON ANTIPANICO</t>
  </si>
  <si>
    <t>Gauna, Micaela Jaquelina</t>
  </si>
  <si>
    <t>ACOSTA, DAMARIS AYLEN</t>
  </si>
  <si>
    <r>
      <rPr>
        <sz val="11"/>
        <color rgb="FF000000"/>
        <rFont val="Calibri"/>
        <family val="2"/>
      </rPr>
      <t>ACEVEDO LUDMILA</t>
    </r>
    <r>
      <rPr>
        <sz val="11"/>
        <color rgb="FF000000"/>
        <rFont val="Calibri"/>
        <family val="2"/>
      </rPr>
      <t xml:space="preserve"> </t>
    </r>
  </si>
  <si>
    <t>APARENTE CONSUMO ESTUPEFACIENTES</t>
  </si>
  <si>
    <t>08:00 A 10:00</t>
  </si>
  <si>
    <t>CONTRAVENTOR REINCIDENTE</t>
  </si>
  <si>
    <t>CHOQUE</t>
  </si>
  <si>
    <t xml:space="preserve">GAUNA, MICAELA </t>
  </si>
  <si>
    <t>→</t>
  </si>
  <si>
    <t>ACOSTA, LUCIANA CELINE</t>
  </si>
  <si>
    <t>ACEVEDO LUDMILA AGUSTINA</t>
  </si>
  <si>
    <t>10:00 A 12:00</t>
  </si>
  <si>
    <t>DAÑOS</t>
  </si>
  <si>
    <t>DESPERFECTO MECANICO</t>
  </si>
  <si>
    <t>GAUNA, MICAELA</t>
  </si>
  <si>
    <t>AGE, FRANCO ABEL</t>
  </si>
  <si>
    <t>COLABORACION</t>
  </si>
  <si>
    <t>12:00 A 14:00</t>
  </si>
  <si>
    <t>DESOBEDIENCIA</t>
  </si>
  <si>
    <t>DISPARO DE ARMA DE FUEGO</t>
  </si>
  <si>
    <t>Meza, gaston</t>
  </si>
  <si>
    <t>AGÜERO, AGUSTINA</t>
  </si>
  <si>
    <t>ACEVEDO, GUADALUPE</t>
  </si>
  <si>
    <t>CONDUCCION BAJO LOS EFECTOS DE ALCOHOL/ESTUPEFACIENTES/RIESGOSAS</t>
  </si>
  <si>
    <t>14:00 A 16:00</t>
  </si>
  <si>
    <t>ENCUBRIMIENTO</t>
  </si>
  <si>
    <t>ENFRENTAMIENTO ARMADO</t>
  </si>
  <si>
    <t>ZYSMAN, MARCELO</t>
  </si>
  <si>
    <t>AGUILAR, MICAELA</t>
  </si>
  <si>
    <t>ACEVEDO, LUDMILA</t>
  </si>
  <si>
    <t>CUIDAR COCHES SIN AUTORIZACION</t>
  </si>
  <si>
    <t>16:00 A 18:00</t>
  </si>
  <si>
    <t>ESTAFA</t>
  </si>
  <si>
    <t>FOCO IGNEO</t>
  </si>
  <si>
    <t>Cabrera, Alan</t>
  </si>
  <si>
    <t>AGUILERA, MATIAS</t>
  </si>
  <si>
    <t>DAÑO A FORMACIONES</t>
  </si>
  <si>
    <t>18:00 A 20:00</t>
  </si>
  <si>
    <t>EXHIBICIONES OBSCENAS</t>
  </si>
  <si>
    <t>FUGA DE GAS</t>
  </si>
  <si>
    <t xml:space="preserve">CABRERA, ALAN </t>
  </si>
  <si>
    <t>AGUIRRE, ALEJANDRA</t>
  </si>
  <si>
    <t>20:00 A 22:00</t>
  </si>
  <si>
    <t>FAL. DOCUMENTOS PUBLICOS</t>
  </si>
  <si>
    <t>HALLAZGO AUTOMOTOR</t>
  </si>
  <si>
    <t>Leiva Jorge Manuel</t>
  </si>
  <si>
    <t>AISIMBURO, ILEANA JAZMIN</t>
  </si>
  <si>
    <t>ACHUMA ROMINA</t>
  </si>
  <si>
    <t>ENSUCIAR BIENES</t>
  </si>
  <si>
    <t>22:00 A 00:00</t>
  </si>
  <si>
    <t>HOMICIDIO/TTVA. HOMICIDIO</t>
  </si>
  <si>
    <t>IDEN. x LEY 23.737</t>
  </si>
  <si>
    <t>Vallejos, Catherine</t>
  </si>
  <si>
    <t>ALBRECHT, YOEL ELIAS</t>
  </si>
  <si>
    <t>INCENDIO Y OTROS ESTRAGOS</t>
  </si>
  <si>
    <t>IDENT. DE PERSONAS</t>
  </si>
  <si>
    <t>LEIVA JORGE</t>
  </si>
  <si>
    <t>ALCARAZ, AGUSTINA</t>
  </si>
  <si>
    <t>ACOSTA DAMARIS</t>
  </si>
  <si>
    <t>EXPLOTACION INFANTIL</t>
  </si>
  <si>
    <t>LESIONES</t>
  </si>
  <si>
    <t>IDENT. VEHICULAR</t>
  </si>
  <si>
    <t>Cáceres, Sofía del Valle</t>
  </si>
  <si>
    <t>ALEGRE, EMILCE</t>
  </si>
  <si>
    <t>ACOSTA, DAMARIS</t>
  </si>
  <si>
    <t>LEY 23.737</t>
  </si>
  <si>
    <t>INCIDENCIA</t>
  </si>
  <si>
    <t>CISNEROS, HECTOR GABRIEL</t>
  </si>
  <si>
    <t>ALEJO CARBASUYO, ANIBAL CELSO</t>
  </si>
  <si>
    <t>ACOSTA, DAMARIS AILEN</t>
  </si>
  <si>
    <t>HOMICIDIO/TENTATIVA DE HOMICIDIO</t>
  </si>
  <si>
    <t>INHIBIDOR</t>
  </si>
  <si>
    <t>Bustamante, Lis</t>
  </si>
  <si>
    <t>L A V</t>
  </si>
  <si>
    <t>ALIAGA, BRANDON DAMIAN</t>
  </si>
  <si>
    <t>IDENTIFICACION DE PERSONAS</t>
  </si>
  <si>
    <t>LEY DE MARCAS</t>
  </si>
  <si>
    <t>LEY BLUMBERG</t>
  </si>
  <si>
    <t>Aguirre, Alan</t>
  </si>
  <si>
    <t>AGUIRRE</t>
  </si>
  <si>
    <t>ALMEDA, MICAELA</t>
  </si>
  <si>
    <t>ACOSTA, LUCIANA</t>
  </si>
  <si>
    <t>INCIDENCIA EN VIA PUBLICA</t>
  </si>
  <si>
    <t>OTROS (DETENIDOS)</t>
  </si>
  <si>
    <t>MANIFESTACION</t>
  </si>
  <si>
    <t>Martinez, Veronica</t>
  </si>
  <si>
    <t>ALMIRON, CAMILA</t>
  </si>
  <si>
    <t>PEDIDO DE CAPTURA</t>
  </si>
  <si>
    <t>OBITO</t>
  </si>
  <si>
    <t>RODRIGUEZ, CRISTIAN</t>
  </si>
  <si>
    <t>ALONSO, JORGE ANTONIO</t>
  </si>
  <si>
    <t>ACOSTA, RENATA</t>
  </si>
  <si>
    <t>PRIVACION ILEG. DE LA LIBERTAD</t>
  </si>
  <si>
    <t>PRODO SOFÍA</t>
  </si>
  <si>
    <t>ALTAMIRANO, FLAVIA</t>
  </si>
  <si>
    <t>ACUÑA, ALDANA</t>
  </si>
  <si>
    <t>LIMPIA VIDRIOS</t>
  </si>
  <si>
    <t>ROBO AMA</t>
  </si>
  <si>
    <t>P. POL. CON DETENIDO</t>
  </si>
  <si>
    <t>BRAVO AYELEN</t>
  </si>
  <si>
    <t>ALVARADO, ROSARIO</t>
  </si>
  <si>
    <t>ADEGA, CAMILA</t>
  </si>
  <si>
    <t>MALTRATO ANIMAL</t>
  </si>
  <si>
    <t>ROBO/HURTO</t>
  </si>
  <si>
    <t>PELEA/RIÑA</t>
  </si>
  <si>
    <t>Prodo, Sofía Belén</t>
  </si>
  <si>
    <t>ALVAREZ PARAFITA, GONZALO</t>
  </si>
  <si>
    <t>AGE FRANCO ABEL</t>
  </si>
  <si>
    <t>SIP</t>
  </si>
  <si>
    <t>PERSECUCION</t>
  </si>
  <si>
    <t>Bravo, Ayelén Antonela</t>
  </si>
  <si>
    <t>ALVAREZ, DAIANA</t>
  </si>
  <si>
    <t>AGE, FRANCO</t>
  </si>
  <si>
    <t>MEDIDA DE FUERZA GREMIAL CON OBSTRUCCION DE VIAS</t>
  </si>
  <si>
    <t>TENENCIA/USO ARMA DE GUERRA S/A</t>
  </si>
  <si>
    <t>PERSONA CAIDA/DEMANDA DE AUXILIO</t>
  </si>
  <si>
    <t>ANDRADE, JOHANA</t>
  </si>
  <si>
    <t>ALVAREZ, LAURA GABRIELA</t>
  </si>
  <si>
    <r>
      <rPr>
        <sz val="11"/>
        <color rgb="FF000000"/>
        <rFont val="Calibri"/>
        <family val="2"/>
      </rPr>
      <t>AGE, FRANCO</t>
    </r>
    <r>
      <rPr>
        <sz val="11"/>
        <color rgb="FF000000"/>
        <rFont val="Calibri"/>
        <family val="2"/>
      </rPr>
      <t xml:space="preserve"> </t>
    </r>
  </si>
  <si>
    <t>OBJETO SOSPECHOSO ABANDONADO</t>
  </si>
  <si>
    <t>USURPACION</t>
  </si>
  <si>
    <t>PERSONA DETENIDA POR CIUDADANOS</t>
  </si>
  <si>
    <t>Rodríguez, Lucas</t>
  </si>
  <si>
    <t>AMAYA, DEBORA BELEN</t>
  </si>
  <si>
    <t>VIOLACION DE DOMICILIO</t>
  </si>
  <si>
    <t>PERSONA EXTRAVIADA</t>
  </si>
  <si>
    <t>RODRIGUEZ, LUCAS</t>
  </si>
  <si>
    <t>ANDRADA, MARCELO</t>
  </si>
  <si>
    <t>AGOTEGARAY, DANIELA FERNANDA</t>
  </si>
  <si>
    <t>VIOLENCIA DE GENERO</t>
  </si>
  <si>
    <t>PORTACION DE ARMA DE FUEGO</t>
  </si>
  <si>
    <t>Torres, Jorge Damian</t>
  </si>
  <si>
    <t>ANDRADE, YAZMINA</t>
  </si>
  <si>
    <t>AGÜERO AGUSTINA</t>
  </si>
  <si>
    <t>PERSONA CAIDA</t>
  </si>
  <si>
    <t>S/DATOS</t>
  </si>
  <si>
    <t>PORTACION DE ARMA NO CONVENCIONAL</t>
  </si>
  <si>
    <t>TORRES JORGE</t>
  </si>
  <si>
    <t>ANGLADA, ANA FLORENCIA</t>
  </si>
  <si>
    <t>PERSONA DESCOMPUESTA</t>
  </si>
  <si>
    <t>CONT. CONDUCIR BAJO LOS EFECTOS DEL ALCOHOL Y/O DROGAS</t>
  </si>
  <si>
    <t>Córdoba, Juan Manuel</t>
  </si>
  <si>
    <t>ANTINORI, SILVANA</t>
  </si>
  <si>
    <t>AGUIAR LEONEL</t>
  </si>
  <si>
    <t>CONT. CUIDA COCHES</t>
  </si>
  <si>
    <t>SUICIDIO/TTVA. SUICIDIO</t>
  </si>
  <si>
    <t>CORDOBA, JUAN MANUEL</t>
  </si>
  <si>
    <t>ANTUNEZ, NICOLAS</t>
  </si>
  <si>
    <t>AGUIAR, LEONEL</t>
  </si>
  <si>
    <t>CONT. ENSUCIAR BIENES</t>
  </si>
  <si>
    <t>Oropeza, Mauro</t>
  </si>
  <si>
    <t>AÑASCO, MAXIMILIANO</t>
  </si>
  <si>
    <t>PORTACION ARMAS NO CONVENCIONALES</t>
  </si>
  <si>
    <t>CONT. HOSTIGAMIENTO</t>
  </si>
  <si>
    <t>Lopez, Maria Soledad</t>
  </si>
  <si>
    <t>AQUINO, JULIANA AYELEN</t>
  </si>
  <si>
    <t>AGUILERA MATIAS</t>
  </si>
  <si>
    <t>PORTACION DE ARMAS DE FUEGO</t>
  </si>
  <si>
    <t>CONT. LIMPIA VIDRIOS</t>
  </si>
  <si>
    <t>LOPEZ, MARÍA SOLEDAD</t>
  </si>
  <si>
    <t>ARCE, ORIANA BELEN</t>
  </si>
  <si>
    <t>AGUILERA, LORENA</t>
  </si>
  <si>
    <t>PRESENCIA DE ANIMALES EN SUBTE</t>
  </si>
  <si>
    <t>CONT. MALTRATO</t>
  </si>
  <si>
    <t>VIOLENCIA FAMILIAR</t>
  </si>
  <si>
    <t>GUZMAN, YESICA</t>
  </si>
  <si>
    <t>ARGUELLO, MABEL</t>
  </si>
  <si>
    <t>PRESENCIA EXTRAÑA EN SUBTE (DESCENSO A LAS VIAS)</t>
  </si>
  <si>
    <t>CONT. OFERTA Y DEM. DE SEXO</t>
  </si>
  <si>
    <t>Guzman, Yesica Mariel</t>
  </si>
  <si>
    <t>ASTARGO, NATANAEL</t>
  </si>
  <si>
    <t>RESISTENCIA AUTORIDAD</t>
  </si>
  <si>
    <t>CONT. PELEA/RIÑA</t>
  </si>
  <si>
    <t>MOLINA, JOSE</t>
  </si>
  <si>
    <t>CISNEROS</t>
  </si>
  <si>
    <t>AVILA, SAMIRA</t>
  </si>
  <si>
    <t>CONT. USO INDEBIDO</t>
  </si>
  <si>
    <t>HERRERA, FLORENCIA</t>
  </si>
  <si>
    <t>BANDIERA, FABRIZIO</t>
  </si>
  <si>
    <t>AISIMBURO, JAZMIN</t>
  </si>
  <si>
    <t>CONT. VENTA DE BEBIDAS ALCOHÓLICAS</t>
  </si>
  <si>
    <t>Cortes Sebastian Ezequiel</t>
  </si>
  <si>
    <t>BANDIERA, LUCAS</t>
  </si>
  <si>
    <t>AISIMBURO, JAZMÍN</t>
  </si>
  <si>
    <t>SIP CON IDENTIFICACION</t>
  </si>
  <si>
    <t>PORT. ARMA DE FUEGO</t>
  </si>
  <si>
    <t>Cisneros, Pablo Facundo Gabriel</t>
  </si>
  <si>
    <t>BARCALA, GUIDO</t>
  </si>
  <si>
    <r>
      <rPr>
        <sz val="11"/>
        <color rgb="FF000000"/>
        <rFont val="Calibri"/>
        <family val="2"/>
      </rPr>
      <t>AISIMBURO, JAZMIN</t>
    </r>
    <r>
      <rPr>
        <sz val="11"/>
        <color rgb="FF000000"/>
        <rFont val="Calibri"/>
        <family val="2"/>
      </rPr>
      <t xml:space="preserve"> </t>
    </r>
  </si>
  <si>
    <t>PORT. ARMA NO CONVENCIONAL</t>
  </si>
  <si>
    <t xml:space="preserve">CORTES SEBASTIAN </t>
  </si>
  <si>
    <t>BARGAS, FRANCO</t>
  </si>
  <si>
    <t>ALBA POSSE MARIELA CELESTE</t>
  </si>
  <si>
    <t>SUICIDIO/TENTATIVA DE SUICIDIO</t>
  </si>
  <si>
    <t>OTROS (CONTRAVENTORES)</t>
  </si>
  <si>
    <t>Quintana, Gilda</t>
  </si>
  <si>
    <t>BARONE, CANDELA</t>
  </si>
  <si>
    <t>ALBA POSSE, MARIELA</t>
  </si>
  <si>
    <t>TENENCIA ESTUPEFACIENTES</t>
  </si>
  <si>
    <t>Villalba, Miguel Nicolás</t>
  </si>
  <si>
    <t>BARRAL, CARLOS ALBERTO</t>
  </si>
  <si>
    <t>ALBA POSSE, MARIELA CELESTE</t>
  </si>
  <si>
    <t>TOTEM</t>
  </si>
  <si>
    <t>VILLALBA, MIGUEL NICOLAS</t>
  </si>
  <si>
    <t>BARRANCOS, JUAN CARLOS</t>
  </si>
  <si>
    <t>ALBRECH JOEL</t>
  </si>
  <si>
    <t>USO INDEBIDO ESPACIO PUBLICO</t>
  </si>
  <si>
    <t>CARABAJAL, GRACIELA</t>
  </si>
  <si>
    <t>BARRETO, FEDERICO</t>
  </si>
  <si>
    <t>ALBRECHT, JOEL</t>
  </si>
  <si>
    <t>VENTA DE BEBIDAS ALCOHOLICAS A MENORES Y/O FUERA DEL HORARIO PERMITIDO (5:00 a 22:00 hs)</t>
  </si>
  <si>
    <t>Carabajal, Graciela Beatriz</t>
  </si>
  <si>
    <t>BARRIOS, AYLEN MARIANA</t>
  </si>
  <si>
    <t>ALBRECHT, JOEL ELIAS</t>
  </si>
  <si>
    <t>VENTA DE PIROTECNIA</t>
  </si>
  <si>
    <t>Kelly, Aileen</t>
  </si>
  <si>
    <t>BENITEZ</t>
  </si>
  <si>
    <t>BARROS, JAVIER</t>
  </si>
  <si>
    <t>Ledezma, Natalia Elizabeth</t>
  </si>
  <si>
    <t>BARZOLA, DYLAN</t>
  </si>
  <si>
    <r>
      <rPr>
        <sz val="11"/>
        <color rgb="FF000000"/>
        <rFont val="Calibri"/>
        <family val="2"/>
      </rPr>
      <t>ALBRECHT, YOEL ELIAS</t>
    </r>
    <r>
      <rPr>
        <sz val="11"/>
        <color rgb="FF000000"/>
        <rFont val="Calibri"/>
        <family val="2"/>
      </rPr>
      <t xml:space="preserve"> </t>
    </r>
  </si>
  <si>
    <t>LEDEZMA, NATALIA</t>
  </si>
  <si>
    <t>BASUALDO, LEILA</t>
  </si>
  <si>
    <t>ALBRETCH, JOEL</t>
  </si>
  <si>
    <t>Alcaraz, Ariel</t>
  </si>
  <si>
    <t>BENDITTI, JULIETA</t>
  </si>
  <si>
    <t>AGUERO OVELA, EDITH</t>
  </si>
  <si>
    <t>BENITEZ PEREIRA, PATRICIA</t>
  </si>
  <si>
    <t>ALDANA RASJIDO</t>
  </si>
  <si>
    <t>CAMPOS, EUGENIA</t>
  </si>
  <si>
    <t>BENITEZ, ANDY JEAN</t>
  </si>
  <si>
    <t>ALDERETE, LUCIANO</t>
  </si>
  <si>
    <t>Benítez, Antonella</t>
  </si>
  <si>
    <t>BENITEZ, BRENDA</t>
  </si>
  <si>
    <t>ALDERETE, LUCIANO JOAQUIN</t>
  </si>
  <si>
    <t>BENITEZ, ANTONELLA</t>
  </si>
  <si>
    <t>BERARDI, FERNANDO</t>
  </si>
  <si>
    <t>ALEGRE , ESMILCE</t>
  </si>
  <si>
    <t>Perrone, Juliana</t>
  </si>
  <si>
    <t>BERNAL, LAILA</t>
  </si>
  <si>
    <t>Alegre Esmilce</t>
  </si>
  <si>
    <t>Rodriguez, Alberto Fernando</t>
  </si>
  <si>
    <t>BERNAL, MAXIMILIANO</t>
  </si>
  <si>
    <t>RODRIGUEZ, FERNANDO</t>
  </si>
  <si>
    <t>BOMONE, NICOLAS IVAN</t>
  </si>
  <si>
    <t>ALEGRE, ESMILCE</t>
  </si>
  <si>
    <t>Sanchez Florentin Hernan</t>
  </si>
  <si>
    <t>BORREGO, LEONELA</t>
  </si>
  <si>
    <t>ALEJO CARBASUYO, ANIBAL</t>
  </si>
  <si>
    <t>Beñacar, Silvina Soledad</t>
  </si>
  <si>
    <t>BOURTON, EVELYN</t>
  </si>
  <si>
    <t>ALEJO CARBASUYO, ANÍBAL</t>
  </si>
  <si>
    <t>BEÑACAR, SILVINA</t>
  </si>
  <si>
    <t>BOUSO, GALLO MARTINA</t>
  </si>
  <si>
    <t>Lange, Daniel</t>
  </si>
  <si>
    <t>LANGE</t>
  </si>
  <si>
    <t>BRANDONI, AGUSTINA</t>
  </si>
  <si>
    <t>ALEJO GUERRA</t>
  </si>
  <si>
    <t>ABEL, PAULA</t>
  </si>
  <si>
    <t>BRIZUELA, MARIA ALEJANDRA</t>
  </si>
  <si>
    <t>ALI, BARBARA</t>
  </si>
  <si>
    <t>LEDESMA, JESICA</t>
  </si>
  <si>
    <t>BRUZZO, CANDELA ORIANA</t>
  </si>
  <si>
    <t>ALIAGA BRANDON DAMIAN</t>
  </si>
  <si>
    <t>Ledezma, Jésica</t>
  </si>
  <si>
    <t>CABRAL, CAROLINA BELEN</t>
  </si>
  <si>
    <t>ALIAGA, BRANDON</t>
  </si>
  <si>
    <t>Colo Nadia Elida</t>
  </si>
  <si>
    <t>CABRAL, MARIEL</t>
  </si>
  <si>
    <t>COLO, NADIA</t>
  </si>
  <si>
    <t>CABRERA, ELIZABETH</t>
  </si>
  <si>
    <t>ALMAGRO WILDE, FIORELLA SOLANGE</t>
  </si>
  <si>
    <t>GOMEZ, GABRIEL</t>
  </si>
  <si>
    <t>CACERES, ANTONELA</t>
  </si>
  <si>
    <t>ALMEDA , Micaela</t>
  </si>
  <si>
    <t>Carabajal, Mariana</t>
  </si>
  <si>
    <t>CALIBA, CANDELA</t>
  </si>
  <si>
    <t>ALMEDA MICAELA</t>
  </si>
  <si>
    <t>CARABAJAL, MARIANA</t>
  </si>
  <si>
    <t>CAMAÑO, NAHUEL ELIAS</t>
  </si>
  <si>
    <t>Sendros Jonathan Luis</t>
  </si>
  <si>
    <t>CAMARGO, PRISCILA</t>
  </si>
  <si>
    <t>ALMEDA,Micaela</t>
  </si>
  <si>
    <t>Rivero, Marcos</t>
  </si>
  <si>
    <t>CAMINO, JULIAN MATIAS</t>
  </si>
  <si>
    <t>Arellano Hamm, Federico</t>
  </si>
  <si>
    <t>DIURNO</t>
  </si>
  <si>
    <t>CANAGLIA CARREIRO, PATRICIA</t>
  </si>
  <si>
    <t>ALONSO, JORGE</t>
  </si>
  <si>
    <t>ARELLANO FEDERICO</t>
  </si>
  <si>
    <t>CARABALLO, LUCAS</t>
  </si>
  <si>
    <t>ARELLANO, FEDERICO</t>
  </si>
  <si>
    <t>CARBALLO, MACARENA</t>
  </si>
  <si>
    <t>ALRAMIRANO MICAELA</t>
  </si>
  <si>
    <t>ALCOBA, DIEGO</t>
  </si>
  <si>
    <t>CARDOZO, MARIA LAURA</t>
  </si>
  <si>
    <t>ALTAMIRANO FLAVIA</t>
  </si>
  <si>
    <t>Alcoba, Diego</t>
  </si>
  <si>
    <t>CARDOZO, ROMINA</t>
  </si>
  <si>
    <t>CARPIO, TIARA</t>
  </si>
  <si>
    <t>ALTAMIRANO, MICAELA</t>
  </si>
  <si>
    <t>CARREÑO ROSSI, MATIAS EZEQUIEL</t>
  </si>
  <si>
    <t>ALVARADO ROSARIO</t>
  </si>
  <si>
    <t>CARRERA, DEBORA ALEJANDRA</t>
  </si>
  <si>
    <t>CARRERAS, CARLOS</t>
  </si>
  <si>
    <r>
      <rPr>
        <sz val="11"/>
        <color rgb="FF000000"/>
        <rFont val="Calibri"/>
        <family val="2"/>
      </rPr>
      <t>ALVARADO, ROSARIO</t>
    </r>
    <r>
      <rPr>
        <sz val="11"/>
        <color rgb="FF000000"/>
        <rFont val="Calibri"/>
        <family val="2"/>
      </rPr>
      <t xml:space="preserve"> </t>
    </r>
  </si>
  <si>
    <t>CARRIZO, FRANCO</t>
  </si>
  <si>
    <t>ALVARADO,ROSARIO</t>
  </si>
  <si>
    <t>CASAL FALIVENE, YANINA</t>
  </si>
  <si>
    <t>ALVAREZ LAURA</t>
  </si>
  <si>
    <t>CASCO, MARIA SOLEDAD</t>
  </si>
  <si>
    <t>CASELLA CAMPOS, MARIA AYELEN</t>
  </si>
  <si>
    <t>ÁLVAREZ PARAFITA, GONZALO</t>
  </si>
  <si>
    <t>CASERES, NICOLE ANTONELLA</t>
  </si>
  <si>
    <t>CASTAÑO, NATALIA SOLEDAD</t>
  </si>
  <si>
    <t>ÁLVAREZ, DAIANA</t>
  </si>
  <si>
    <t>CASTILLO, CLAUDIO RICARDO</t>
  </si>
  <si>
    <t>ALVAREZ, LAURA</t>
  </si>
  <si>
    <t>CASTILLO, GISELL</t>
  </si>
  <si>
    <t>CEI, MARIANO LEONEL</t>
  </si>
  <si>
    <r>
      <rPr>
        <sz val="11"/>
        <color rgb="FF000000"/>
        <rFont val="Calibri"/>
        <family val="2"/>
      </rPr>
      <t>ALVAREZ, LAURA GABRIELA</t>
    </r>
    <r>
      <rPr>
        <sz val="11"/>
        <color rgb="FF000000"/>
        <rFont val="Calibri"/>
        <family val="2"/>
      </rPr>
      <t xml:space="preserve"> </t>
    </r>
  </si>
  <si>
    <t>CEJAS, MIGUEL ANGEL</t>
  </si>
  <si>
    <t>ALVAREZ, MARIA DEL ROCIO</t>
  </si>
  <si>
    <t>CEJAS, NICOLAS MAXIMILIANO</t>
  </si>
  <si>
    <t>AMAYA BELEN</t>
  </si>
  <si>
    <t>CENTURION, AYMARA</t>
  </si>
  <si>
    <t>AMAYA DEBORA</t>
  </si>
  <si>
    <t>CHACON, FRANCO</t>
  </si>
  <si>
    <t>AMAYA, ARIEL</t>
  </si>
  <si>
    <t>CHACON, MICAELA FRANCESCA</t>
  </si>
  <si>
    <t>AMAYA, DEBORA</t>
  </si>
  <si>
    <t>CHAPARRO, GERMAN FEDERICO</t>
  </si>
  <si>
    <t xml:space="preserve">AMAYA, DEBORA </t>
  </si>
  <si>
    <t>CHAUQUE, VANESA</t>
  </si>
  <si>
    <t>CHAVEZ, GLADIS</t>
  </si>
  <si>
    <t>AMAYA, DÉBORA BELÉN</t>
  </si>
  <si>
    <t>CHAVEZ, HERNAN MARCELO</t>
  </si>
  <si>
    <t>Amuchastegui Dante Duilio</t>
  </si>
  <si>
    <t>CHIAPPOLINI, SANTIAGO</t>
  </si>
  <si>
    <t>AMUCHASTEGUI DUILIO</t>
  </si>
  <si>
    <t>CHUQUIYAURI, ANGEL</t>
  </si>
  <si>
    <t>AMUCHASTEGUI, DANTE</t>
  </si>
  <si>
    <t>CIAPPINI, LUCA</t>
  </si>
  <si>
    <t>AMUCHASTEGUI, DANTE DUILIO</t>
  </si>
  <si>
    <t>CIPRIANI, SOFIA</t>
  </si>
  <si>
    <t>Andrada Solange Edith</t>
  </si>
  <si>
    <t>CLARO, TAHIEL</t>
  </si>
  <si>
    <t>COCERES, ANTONELLA</t>
  </si>
  <si>
    <t>ANDRADA, MARCELO FERNANDO</t>
  </si>
  <si>
    <t>COCERES, FIAMMA ABIGAIL</t>
  </si>
  <si>
    <t>ANDRADA, SOLANGE</t>
  </si>
  <si>
    <t>CONVERSANO, MARINA VANESA</t>
  </si>
  <si>
    <t>ANDRADA, SOLANGE EDITH</t>
  </si>
  <si>
    <t>CORONEL, DANIEL OSMAR</t>
  </si>
  <si>
    <t>CORREA, DIANA</t>
  </si>
  <si>
    <t>ANDREANI, FATIMA</t>
  </si>
  <si>
    <t>CORVALAN, IARA</t>
  </si>
  <si>
    <t>ANGELINA FERNANDEZ</t>
  </si>
  <si>
    <t>COUSO, MARIA VICTORIA</t>
  </si>
  <si>
    <t>ANGLADA, ANA</t>
  </si>
  <si>
    <t>CRISTOFORI NAGEL, GUSTAVO</t>
  </si>
  <si>
    <t>CUELLO, JENNIFER</t>
  </si>
  <si>
    <t>ANIBAL CARBASUYO</t>
  </si>
  <si>
    <t>CURBELO, CARLA MARIEL</t>
  </si>
  <si>
    <t>DAUGUER, ALAN EZEQUIEL</t>
  </si>
  <si>
    <t>ANTONUCCI, MATIAS</t>
  </si>
  <si>
    <t>DAUMAS, VICTORIA SOL</t>
  </si>
  <si>
    <t>ANTUNEZ</t>
  </si>
  <si>
    <t>DE MARE, CLAUDIO</t>
  </si>
  <si>
    <t>ANTUNEZ NICOLAS</t>
  </si>
  <si>
    <t>DEL PUEYO, CECILIA FLORENCIA</t>
  </si>
  <si>
    <t>DELGADO, MATIAS LEONARDO</t>
  </si>
  <si>
    <t>ANTUÑEZ, NICOLAS</t>
  </si>
  <si>
    <t>DELVECCHIO, DIANA GABRIELA</t>
  </si>
  <si>
    <t>AÑASCO MAXIMILIANO</t>
  </si>
  <si>
    <t>DIAZ, ANALIA</t>
  </si>
  <si>
    <t>DIAZ, CLARISA DAYANA</t>
  </si>
  <si>
    <t>AQUINO, JULIANA</t>
  </si>
  <si>
    <t>DIAZ, LAUTARO</t>
  </si>
  <si>
    <t>DIAZ, LUCIANO EMANUEL</t>
  </si>
  <si>
    <t>AQUINO, JULIETA</t>
  </si>
  <si>
    <t>DIAZ, MARIA BELEN</t>
  </si>
  <si>
    <t>ARAKAKI, CAMILA</t>
  </si>
  <si>
    <t>DIAZ, THOMAS AGUSTIN</t>
  </si>
  <si>
    <t>ARCE, ORIANA</t>
  </si>
  <si>
    <t>DIDIER, NICOLAS</t>
  </si>
  <si>
    <t>DIOGO, ROBERTO</t>
  </si>
  <si>
    <t>ARGAÑARAZ BRIAN</t>
  </si>
  <si>
    <t>DOMINGUEZ, VALERIA MARIANA</t>
  </si>
  <si>
    <r>
      <rPr>
        <sz val="11"/>
        <color rgb="FF000000"/>
        <rFont val="Calibri"/>
        <family val="2"/>
      </rPr>
      <t>ARGAÑARAZ BRIAN</t>
    </r>
    <r>
      <rPr>
        <sz val="11"/>
        <color rgb="FF000000"/>
        <rFont val="Calibri"/>
        <family val="2"/>
      </rPr>
      <t xml:space="preserve"> </t>
    </r>
  </si>
  <si>
    <t>DUARTE, ARIANA</t>
  </si>
  <si>
    <t>ARGAÑARAZ, BRIAN</t>
  </si>
  <si>
    <t>ESCOBAR, YASMIN</t>
  </si>
  <si>
    <t>ARGARAÑAZ BRIAN</t>
  </si>
  <si>
    <t>ESPINOZA, VANESA BEATRIZ</t>
  </si>
  <si>
    <t>ARGÜELLO, CLEMENTINA</t>
  </si>
  <si>
    <t>FARIAS, NAHUEL</t>
  </si>
  <si>
    <t>ARGUELLO, CLEMENTINA MABEL</t>
  </si>
  <si>
    <t>FEDELLE, SANDRA ANALIA</t>
  </si>
  <si>
    <t>ARGÜELLO, CLEMENTINA MABEL</t>
  </si>
  <si>
    <t>FERNANDEZ, AGUSTINA</t>
  </si>
  <si>
    <t>FERNANDEZ, RUTH</t>
  </si>
  <si>
    <t>ARIAS FACUNDO</t>
  </si>
  <si>
    <t>FERRANDO, MARTINA</t>
  </si>
  <si>
    <t>Arias, Daira Emily</t>
  </si>
  <si>
    <t>FERREYRA, SONIA CRISTINA</t>
  </si>
  <si>
    <t>ARIAS, DARIAS EMILY</t>
  </si>
  <si>
    <t>FIDEL GRACIANO, FEDERICO LEANDRO</t>
  </si>
  <si>
    <t>ARIAS, FACUNDO</t>
  </si>
  <si>
    <t>FIGUEROA, SOLANGE</t>
  </si>
  <si>
    <t>ARISE, GERSON</t>
  </si>
  <si>
    <t>FIRME, MARIA</t>
  </si>
  <si>
    <t>Arispe Gerson</t>
  </si>
  <si>
    <t>FLEITAS MONJES, KEVIN</t>
  </si>
  <si>
    <t>ARISPE, GERSON</t>
  </si>
  <si>
    <t>FLORES MARTINEZ, JACQUELINA</t>
  </si>
  <si>
    <r>
      <rPr>
        <sz val="11"/>
        <color rgb="FF000000"/>
        <rFont val="Calibri"/>
        <family val="2"/>
      </rPr>
      <t>ARISPE, GERSON</t>
    </r>
    <r>
      <rPr>
        <sz val="11"/>
        <color rgb="FF000000"/>
        <rFont val="Calibri"/>
        <family val="2"/>
      </rPr>
      <t xml:space="preserve"> </t>
    </r>
  </si>
  <si>
    <t>FRASQUERI, PABLO TOMAS</t>
  </si>
  <si>
    <t>ARMIENTO, TOBIAS</t>
  </si>
  <si>
    <t>FRIA, EVELYN</t>
  </si>
  <si>
    <t>ARRIGONI AILIN</t>
  </si>
  <si>
    <t>FRIAS, JESSICA</t>
  </si>
  <si>
    <t>Arrigoni Ailin Lucila</t>
  </si>
  <si>
    <t>FRIAS, SILVIA GABRIELA</t>
  </si>
  <si>
    <t>ARRIGONI, AILIN</t>
  </si>
  <si>
    <t>FRIEDL, MARTIN GUSTAVO</t>
  </si>
  <si>
    <t>ARRIGONI, AILIN LUCILA</t>
  </si>
  <si>
    <t>GAIDO, ROMINA</t>
  </si>
  <si>
    <t>ARTESI FLAVIA</t>
  </si>
  <si>
    <t>GALARZA, CELESTE</t>
  </si>
  <si>
    <t xml:space="preserve">Artesi Flavia </t>
  </si>
  <si>
    <t>GALEANO, BELEN NOEMI</t>
  </si>
  <si>
    <t>ARZAMENDIA ARIEL</t>
  </si>
  <si>
    <t>GALIAN, LUCAS NICOLAS</t>
  </si>
  <si>
    <t>ARZAMENDIA, ARIEL</t>
  </si>
  <si>
    <t>GALINDO LATORRE, FLORENCIA</t>
  </si>
  <si>
    <t>ARZAMENDIA, LUCAS</t>
  </si>
  <si>
    <t>GALINDO, JUAN MANUEL</t>
  </si>
  <si>
    <t xml:space="preserve">ARZAMENDIA, LUCAS </t>
  </si>
  <si>
    <t>GAMBINO, DANIEL</t>
  </si>
  <si>
    <t>ARZAMENDIA, LUCAS ARIEL</t>
  </si>
  <si>
    <t>GARCIA GONZALEZ, MICAELA SOLEDAD</t>
  </si>
  <si>
    <t>ASIMBURGO, JAZMIN</t>
  </si>
  <si>
    <t>GARCIA, FELICIANO RODRIGO</t>
  </si>
  <si>
    <t>ASTARGO NATANAEL</t>
  </si>
  <si>
    <t>GARCIA, MICAELA LUCIANA</t>
  </si>
  <si>
    <t>GARCIA, ORIANA VANINA</t>
  </si>
  <si>
    <t>ASTARGO, NATANAEL ALEJANDRO</t>
  </si>
  <si>
    <t>GARCIA, PAULA NATHALIA</t>
  </si>
  <si>
    <r>
      <rPr>
        <sz val="11"/>
        <color rgb="FF000000"/>
        <rFont val="Calibri"/>
        <family val="2"/>
      </rPr>
      <t>ASTARGO, NATANAEL ALEJANDRO</t>
    </r>
    <r>
      <rPr>
        <sz val="11"/>
        <color rgb="FF000000"/>
        <rFont val="Calibri"/>
        <family val="2"/>
      </rPr>
      <t xml:space="preserve"> </t>
    </r>
  </si>
  <si>
    <t>GAROFALO, EZEQUIEL</t>
  </si>
  <si>
    <t>AUXILIAR</t>
  </si>
  <si>
    <t>S/D</t>
  </si>
  <si>
    <t>GAVELLO, ANABELLA</t>
  </si>
  <si>
    <t>avila Samira</t>
  </si>
  <si>
    <t>GODOY RODRIGUEZ, LUCIA MARIA</t>
  </si>
  <si>
    <r>
      <rPr>
        <sz val="11"/>
        <color rgb="FF000000"/>
        <rFont val="Calibri"/>
        <family val="2"/>
      </rPr>
      <t>AVILA SAMIRA</t>
    </r>
    <r>
      <rPr>
        <sz val="11"/>
        <color rgb="FF000000"/>
        <rFont val="Calibri"/>
        <family val="2"/>
      </rPr>
      <t xml:space="preserve"> </t>
    </r>
  </si>
  <si>
    <t>GOMEZ, CECILIA</t>
  </si>
  <si>
    <t>AVILA, GUSTAVO</t>
  </si>
  <si>
    <t>GOMEZ, FIORELLA MAGALI</t>
  </si>
  <si>
    <t>AVILA, IVANA</t>
  </si>
  <si>
    <t>GOMEZ, KATHERINE MELISA</t>
  </si>
  <si>
    <t>GOMEZ, SANTIAGO</t>
  </si>
  <si>
    <t>ÁVILA, SAMIRA</t>
  </si>
  <si>
    <t>GOMEZ, VALERIA SOLEDAD</t>
  </si>
  <si>
    <t>Aydee Guizado</t>
  </si>
  <si>
    <t>GONZALEZ MARIN, SOFIA ALEJANDRA</t>
  </si>
  <si>
    <t>AYDEE, GUIZADO</t>
  </si>
  <si>
    <t>GONZALEZ, ALEJANDRA</t>
  </si>
  <si>
    <t>AYRES, DIEGO EZEQUIEL</t>
  </si>
  <si>
    <t>GONZALEZ, EZEQUIEL WALTER</t>
  </si>
  <si>
    <t>AYRTON, MARTIN</t>
  </si>
  <si>
    <t>GONZALEZ, MARIA DELFINA</t>
  </si>
  <si>
    <r>
      <rPr>
        <sz val="11"/>
        <color rgb="FF000000"/>
        <rFont val="Calibri"/>
        <family val="2"/>
      </rPr>
      <t>AYRTON, MARTIN</t>
    </r>
    <r>
      <rPr>
        <sz val="11"/>
        <color rgb="FF000000"/>
        <rFont val="Calibri"/>
        <family val="2"/>
      </rPr>
      <t xml:space="preserve"> </t>
    </r>
  </si>
  <si>
    <t>GONZALEZ, MELANIE</t>
  </si>
  <si>
    <t>BABINGTON, PATRICIO</t>
  </si>
  <si>
    <t>GONZALEZ, MONICA</t>
  </si>
  <si>
    <t>BAEZ, JUAN IGNACIO</t>
  </si>
  <si>
    <t>GONZALEZ, NOEMI NORMA</t>
  </si>
  <si>
    <t>BAEZ, LUISA</t>
  </si>
  <si>
    <t>GORGA, MELINA DANIELA</t>
  </si>
  <si>
    <t>BANDIERA , Fabricio</t>
  </si>
  <si>
    <t>GUAGLIANONE, ADRIAN MATIAS</t>
  </si>
  <si>
    <t>BANDIERA , Fabrizio</t>
  </si>
  <si>
    <t>GUERRA, ALEJO</t>
  </si>
  <si>
    <t>BANDIERA LUCAS</t>
  </si>
  <si>
    <t>GUERRA, GABRIELA</t>
  </si>
  <si>
    <t>GUERRA, ROCIO AGOSTINA</t>
  </si>
  <si>
    <t>BANDIERA, FABRIZIO SEBASTIAN</t>
  </si>
  <si>
    <t>GUERRY, LUCIANA</t>
  </si>
  <si>
    <t>GURECKI, LAUTARO MARTIN</t>
  </si>
  <si>
    <t>BANDIERA,Fabricio</t>
  </si>
  <si>
    <t>GUTIERREZ, BETINA</t>
  </si>
  <si>
    <t>BANDIERA,Fabrizio</t>
  </si>
  <si>
    <t>GUTIERREZ, FACUNDO</t>
  </si>
  <si>
    <t>BANEGAS, NAHIR</t>
  </si>
  <si>
    <t>GUTIERREZ, NADIA NAHIR</t>
  </si>
  <si>
    <t>BARBOZA, DYLAN</t>
  </si>
  <si>
    <t>GUZMAN, FERNANDO</t>
  </si>
  <si>
    <t>HEREDIA, MATIAS</t>
  </si>
  <si>
    <t>BARCALA, GUIDO.</t>
  </si>
  <si>
    <t>HERMANN, ROXANA GUADALUPE</t>
  </si>
  <si>
    <t>BARESI MARIA</t>
  </si>
  <si>
    <t>HERNANDEZ, BRENDA</t>
  </si>
  <si>
    <t>BARESI MARIA XIMENA</t>
  </si>
  <si>
    <t>HERRERA, MATIAS IVAN</t>
  </si>
  <si>
    <t>BARESI, MARIA XIMENA</t>
  </si>
  <si>
    <t>HERRERA, NATALIA EVELYN</t>
  </si>
  <si>
    <t>BARESI, MARIA XIMENA Ximena</t>
  </si>
  <si>
    <t>IERACI, FLORENCIA</t>
  </si>
  <si>
    <t>INFANTE, JONATHAN ISMAEL</t>
  </si>
  <si>
    <t>BARGAS,FRANCO</t>
  </si>
  <si>
    <t>ISLEÑO, LUCAS</t>
  </si>
  <si>
    <t>JUNOY, FERNANDO RODRIGO</t>
  </si>
  <si>
    <t>BARRAL, CARLOS</t>
  </si>
  <si>
    <t>KARSCHACOFF, NAHIR</t>
  </si>
  <si>
    <t>KAWALEWSKI, NICOLE</t>
  </si>
  <si>
    <t>KOSELTEIN, SILVIA EDITH</t>
  </si>
  <si>
    <t>KRAKOVSKY, FLORENCIA</t>
  </si>
  <si>
    <t xml:space="preserve">Barrientos, Talia </t>
  </si>
  <si>
    <t>KRAKOVSKY, MARTINA NICOLE</t>
  </si>
  <si>
    <t>BARRIONUEVO, FACUNDO</t>
  </si>
  <si>
    <t>LAMBOGLIA, LAUTARO</t>
  </si>
  <si>
    <t>BARRIOS, AYLEN</t>
  </si>
  <si>
    <t>LARDAPIDE, CECILIA MARIEL</t>
  </si>
  <si>
    <t>LARREA, YESICA</t>
  </si>
  <si>
    <t>BARROS SERGIO</t>
  </si>
  <si>
    <t>LARROZA, GISELA</t>
  </si>
  <si>
    <t>Barros Sergio Javier</t>
  </si>
  <si>
    <t>LASTRA, PERLA</t>
  </si>
  <si>
    <t>LEGUINA, DANIEL</t>
  </si>
  <si>
    <t>BARROS, SERGIO</t>
  </si>
  <si>
    <t>LEGUIZAMON, KARINA NOEMI</t>
  </si>
  <si>
    <t>BARRRETO FEDERICO695202</t>
  </si>
  <si>
    <t>LEMA, ALEX IVAN</t>
  </si>
  <si>
    <t>LENCINA, CRISTINA</t>
  </si>
  <si>
    <r>
      <rPr>
        <sz val="11"/>
        <color rgb="FF000000"/>
        <rFont val="Calibri"/>
        <family val="2"/>
      </rPr>
      <t>BARZOLA, DYLAN</t>
    </r>
    <r>
      <rPr>
        <sz val="11"/>
        <color rgb="FF000000"/>
        <rFont val="Calibri"/>
        <family val="2"/>
      </rPr>
      <t xml:space="preserve"> </t>
    </r>
  </si>
  <si>
    <t>LENCINAS, CAMILA</t>
  </si>
  <si>
    <t>LOBO, CARLOS</t>
  </si>
  <si>
    <t>BECERRA ABIGAIL</t>
  </si>
  <si>
    <t>LOBOS, NATALIA NOEMI</t>
  </si>
  <si>
    <t>BECERRA, ABIGAIL AYELEN</t>
  </si>
  <si>
    <t>LONGARETTI, CAROLINA SOLEDAD</t>
  </si>
  <si>
    <t>BEJARANO, BELEN</t>
  </si>
  <si>
    <t>LOPEZ DIAZ, JASON NAHUEL</t>
  </si>
  <si>
    <t>BELEN AMAYA</t>
  </si>
  <si>
    <t>LOPEZ ZARATE, WILMA CRISTINA</t>
  </si>
  <si>
    <t>BENDETTI JULIETA</t>
  </si>
  <si>
    <t>LOPEZ, CAMILA</t>
  </si>
  <si>
    <t>BENDIT.T.I, JULIETA</t>
  </si>
  <si>
    <t>LOPEZ, LUCIA GIMENA</t>
  </si>
  <si>
    <t>Benditti Julieta</t>
  </si>
  <si>
    <t>LUCERO, LAILA</t>
  </si>
  <si>
    <t>MAHLKNECHT, FLAVIA MARIANA</t>
  </si>
  <si>
    <t>Benitez Macarena Natal</t>
  </si>
  <si>
    <t>MANETTI, DIEGO MARTIN</t>
  </si>
  <si>
    <t>Benitez Macarena Natali</t>
  </si>
  <si>
    <t>MARASCO, MAXIMO</t>
  </si>
  <si>
    <t>MARONE, FRANCO ALESSANDRO</t>
  </si>
  <si>
    <t>BENÍTEZ PEREIRA, PATRICIA</t>
  </si>
  <si>
    <t>MARTIN, AYRTON</t>
  </si>
  <si>
    <t>BENITEZ, ANA GABRIELA</t>
  </si>
  <si>
    <t>MARTINEZ DONDE, SANTIAGO AGUSTIN</t>
  </si>
  <si>
    <t>BENITEZ, ANDY</t>
  </si>
  <si>
    <t>MARTINEZ, ALVARO MAXIMILIANO</t>
  </si>
  <si>
    <t>MARTINEZ, DYLAN</t>
  </si>
  <si>
    <t>BENITEZ, BRANDON</t>
  </si>
  <si>
    <t>MARTINEZ, JIMENA GISELLE</t>
  </si>
  <si>
    <t>MARTINEZ, MARCELO</t>
  </si>
  <si>
    <t>BENÍTEZ, BRENDA</t>
  </si>
  <si>
    <t>MASTROVINCENZO, PABLO</t>
  </si>
  <si>
    <t>BENITEZ, DIEGO</t>
  </si>
  <si>
    <t>MAZZELLA, BRIAN</t>
  </si>
  <si>
    <t>BENITEZ, MACARENA</t>
  </si>
  <si>
    <t>MAZZULLA, ANDREA</t>
  </si>
  <si>
    <t>BENITEZ, MACARENA NATALI</t>
  </si>
  <si>
    <t>MEJIA, GABRIEL</t>
  </si>
  <si>
    <t>MENDOZ, LUCIANO</t>
  </si>
  <si>
    <t>BERGARA ANDREA</t>
  </si>
  <si>
    <t>MENDOZA, JUAN BAUTISTA</t>
  </si>
  <si>
    <t>BERGARA, ANDREA</t>
  </si>
  <si>
    <t>MENDOZA, NICOLAS</t>
  </si>
  <si>
    <t>BERGARA, ANDREA CAROLINA</t>
  </si>
  <si>
    <t>MENGHI, CARLA</t>
  </si>
  <si>
    <t xml:space="preserve">BERGARA, ANDREA CAROLINA </t>
  </si>
  <si>
    <t>MERUVIA, BRUNO ALEJANDRO</t>
  </si>
  <si>
    <t xml:space="preserve">BERGARA, ANDREA CAROLINA Carolina </t>
  </si>
  <si>
    <t>MERZARIO CABALLERO, SILVIA</t>
  </si>
  <si>
    <t>BERGONZI, LORENA DAFNE</t>
  </si>
  <si>
    <t>MEZA, ROMINA</t>
  </si>
  <si>
    <t>BERNAL LAILA</t>
  </si>
  <si>
    <t>MOLIN, WARA</t>
  </si>
  <si>
    <t>BERNAL MAXIMILIANO</t>
  </si>
  <si>
    <t>MOLINA, MARIA LAURA</t>
  </si>
  <si>
    <t>MONTERO, MAYRA LORENA</t>
  </si>
  <si>
    <t>MONTEROS, SELENE ORNELLA</t>
  </si>
  <si>
    <t>BLANCO KIARA</t>
  </si>
  <si>
    <t>MONTIEL, NOELIA</t>
  </si>
  <si>
    <t>BLANCO, KIARA</t>
  </si>
  <si>
    <t>MONTUORO, NICOLAS</t>
  </si>
  <si>
    <t>BLANCO, KIARA MICAELA</t>
  </si>
  <si>
    <t>MONZALVO, SOFIA ABIGAIL</t>
  </si>
  <si>
    <t>BLANCO, LUCIANA</t>
  </si>
  <si>
    <t>MORALES, EZEQUIEL DARIO</t>
  </si>
  <si>
    <t>BOGADO SANDOVAL, SILVINA</t>
  </si>
  <si>
    <t>MOREL, AYELEN SOFIA</t>
  </si>
  <si>
    <t>BOGADO, MAIRA</t>
  </si>
  <si>
    <t>MORETTO NAZAR, NAHIR MELINA</t>
  </si>
  <si>
    <t>BOMONE NICOLAS</t>
  </si>
  <si>
    <t>MORRONE, GISELA VERONICA</t>
  </si>
  <si>
    <t>BOMONE NICOLAS IVAN</t>
  </si>
  <si>
    <t>MOSS, KATHERINE</t>
  </si>
  <si>
    <t>BOMONE, NICOLAS</t>
  </si>
  <si>
    <t>MOUMARY, CECILIA EZPERANZA</t>
  </si>
  <si>
    <t>MOURE QUINTAS, FRANCO</t>
  </si>
  <si>
    <t>BONED, SEBASTIAN</t>
  </si>
  <si>
    <t>MOYA, PRISCILLA ANA LEONOR</t>
  </si>
  <si>
    <t>BONED, SEBASTIAN LEONEL</t>
  </si>
  <si>
    <t>MUJICA DOMINGO, ELIAS URIEL</t>
  </si>
  <si>
    <t>BORDENAVE, GIORGINA</t>
  </si>
  <si>
    <t>NABILA, DALIA</t>
  </si>
  <si>
    <t>BORED, SEBASTIAN LEONEL</t>
  </si>
  <si>
    <t>NARANJO, JENNIFER</t>
  </si>
  <si>
    <t>BORGHESAN NICOLAS</t>
  </si>
  <si>
    <t>NARANJO, LUCIANO ROBERTO</t>
  </si>
  <si>
    <t>BORGHESAN, NICOLAS</t>
  </si>
  <si>
    <t>NICOLA, ANDRES JAVIER</t>
  </si>
  <si>
    <r>
      <rPr>
        <sz val="11"/>
        <color rgb="FF000000"/>
        <rFont val="Calibri"/>
        <family val="2"/>
      </rPr>
      <t>BORGHESAN, NICOLAS</t>
    </r>
    <r>
      <rPr>
        <sz val="11"/>
        <color rgb="FF000000"/>
        <rFont val="Calibri"/>
        <family val="2"/>
      </rPr>
      <t xml:space="preserve"> </t>
    </r>
  </si>
  <si>
    <t>NIEVA, NANCY VIVIANA</t>
  </si>
  <si>
    <t>BORGHESIAN, NICOLAS</t>
  </si>
  <si>
    <t>NIEVA, SOFIA</t>
  </si>
  <si>
    <t>BORREGO LEONELA</t>
  </si>
  <si>
    <t>NOCITI, IGNACIO</t>
  </si>
  <si>
    <t>NOVAS, ANTONELLA</t>
  </si>
  <si>
    <t>BOSSIO, ROMINA</t>
  </si>
  <si>
    <t>NUREMBERG, IARA</t>
  </si>
  <si>
    <t>BOURLON, EVELYN</t>
  </si>
  <si>
    <t>OBRONSKY, KATHERINE GISELLE</t>
  </si>
  <si>
    <t>OJEDA, DAIANA</t>
  </si>
  <si>
    <t>OLASCUAGA, ISABEL</t>
  </si>
  <si>
    <t>BOUSO, MARTINA</t>
  </si>
  <si>
    <t>OLIVA, CATERINA ESTEFANIA</t>
  </si>
  <si>
    <t>BOYE VERONICA</t>
  </si>
  <si>
    <t>OLIVARES, SABRINA GISELLE</t>
  </si>
  <si>
    <t>BOYE VERONICA MARIANA</t>
  </si>
  <si>
    <t>OLMEDO, HUGO</t>
  </si>
  <si>
    <t>BOYE, VERONICA MARIANA</t>
  </si>
  <si>
    <t>ORDOÑEZ, DEBORA ANDREA</t>
  </si>
  <si>
    <t>BRANDONI AGUSTINA</t>
  </si>
  <si>
    <t>ORDOÑEZ, FACUNDO</t>
  </si>
  <si>
    <t>ORDOÑEZ, LUCAS</t>
  </si>
  <si>
    <t>BRENDA HERNANDEZ</t>
  </si>
  <si>
    <t>ORELLANO, MARIA</t>
  </si>
  <si>
    <t>BRITO, FLORENCIA</t>
  </si>
  <si>
    <t>ORTUBIA, EUGENIA MIRIAM</t>
  </si>
  <si>
    <t>BRIZUELA MARIA ALEJANDRA</t>
  </si>
  <si>
    <t>OVIEDO, FACUNDO</t>
  </si>
  <si>
    <t>PAEZ, MARIA SOLEDAD</t>
  </si>
  <si>
    <r>
      <rPr>
        <sz val="11"/>
        <color rgb="FF000000"/>
        <rFont val="Calibri"/>
        <family val="2"/>
      </rPr>
      <t>BRIZUELA, MARIA ALEJANDRA</t>
    </r>
    <r>
      <rPr>
        <sz val="11"/>
        <color rgb="FF000000"/>
        <rFont val="Calibri"/>
        <family val="2"/>
      </rPr>
      <t xml:space="preserve"> </t>
    </r>
  </si>
  <si>
    <t>PANDO, LUISA GABRIELA</t>
  </si>
  <si>
    <t>BRUNA ROXANA</t>
  </si>
  <si>
    <t>PEDEMONTE, MAYRA SOFIA</t>
  </si>
  <si>
    <t>BRUNA, ROXANA</t>
  </si>
  <si>
    <t>PEDRAZA, YESICA AYELEN</t>
  </si>
  <si>
    <t>BRUNA, ROXANA PAOLA</t>
  </si>
  <si>
    <t>PELOSI, ESTEFANIA AYELEN</t>
  </si>
  <si>
    <t>BRUZZO CANDELA ORIANA</t>
  </si>
  <si>
    <t>PENOVI, LUCAS</t>
  </si>
  <si>
    <t>Bruzzo, Candela</t>
  </si>
  <si>
    <t>PERALTA, ELIZABETH</t>
  </si>
  <si>
    <t>PERALTA, LUCAS</t>
  </si>
  <si>
    <t>BULENTINI ORDOÑEZ VALENTINA</t>
  </si>
  <si>
    <t>PERALTA, NOELIA SOLEDAD</t>
  </si>
  <si>
    <r>
      <rPr>
        <sz val="11"/>
        <color rgb="FF000000"/>
        <rFont val="Calibri"/>
        <family val="2"/>
      </rPr>
      <t>BULENTINI VALENTINA</t>
    </r>
    <r>
      <rPr>
        <sz val="11"/>
        <color rgb="FF000000"/>
        <rFont val="Calibri"/>
        <family val="2"/>
      </rPr>
      <t xml:space="preserve"> </t>
    </r>
  </si>
  <si>
    <t>PEREIRA, ANALIA</t>
  </si>
  <si>
    <t>CABALLERO, MERCEDES</t>
  </si>
  <si>
    <t>PEREYRA, MELISA ELIZABETH</t>
  </si>
  <si>
    <t>CABANELAS, JULIAN</t>
  </si>
  <si>
    <t>PEREZ, CELESTE MICAELA</t>
  </si>
  <si>
    <t>CABRAL , Carolina</t>
  </si>
  <si>
    <t>PEREZ, FEDERICO</t>
  </si>
  <si>
    <t>CABRAL, CAROLINA</t>
  </si>
  <si>
    <t>PEREZ, FLAVIA</t>
  </si>
  <si>
    <t>PEREZ, JULIETA AGUSTINA</t>
  </si>
  <si>
    <t>PEREZ, MATIAS FABIAN</t>
  </si>
  <si>
    <t>CABRAL, NATALIA</t>
  </si>
  <si>
    <t>PERRONE, TAMARA AYELEN</t>
  </si>
  <si>
    <t xml:space="preserve">Cabral, Natalia </t>
  </si>
  <si>
    <t>PIACENTE, FRANCO</t>
  </si>
  <si>
    <t>CABRAL,Carolina</t>
  </si>
  <si>
    <t>PICCO, PATRICIA</t>
  </si>
  <si>
    <t xml:space="preserve">CABRAL,Carolina </t>
  </si>
  <si>
    <t>PINEL, MILAGROS BELEN</t>
  </si>
  <si>
    <t>CABRERA ELISA</t>
  </si>
  <si>
    <t>PIÑEYRO, NOELIA CELESTE</t>
  </si>
  <si>
    <t>CABRERA KARINA</t>
  </si>
  <si>
    <t>PLOMER, LAURA</t>
  </si>
  <si>
    <t>Cabrera	Karina Angela</t>
  </si>
  <si>
    <t>PONCE DE LEON, CINDY MARIBEL</t>
  </si>
  <si>
    <t>Cabrera, 	Karina Angela</t>
  </si>
  <si>
    <t>PONCE, VANESA PAOLA</t>
  </si>
  <si>
    <t>CABRERA, ANGEL</t>
  </si>
  <si>
    <t>PORTILLO, SERGIO</t>
  </si>
  <si>
    <t>CABRERA, DEBORA</t>
  </si>
  <si>
    <t>POSSE, ALBA</t>
  </si>
  <si>
    <t>POTEL, ROCIO SOL</t>
  </si>
  <si>
    <t>CABRERA, KARINA ANGELA</t>
  </si>
  <si>
    <t>PREZZAVENTO, SERGIO</t>
  </si>
  <si>
    <t>CACERES MATIAS NAHUEL</t>
  </si>
  <si>
    <t>PUYOL, ANAHI</t>
  </si>
  <si>
    <t>Cáceres Matias Nahuel</t>
  </si>
  <si>
    <t>QUIÑONEZ, MARIA FLORENCIA</t>
  </si>
  <si>
    <t>CACERES, ALEJO</t>
  </si>
  <si>
    <t>QUIROGA, FRANCO JULIAN</t>
  </si>
  <si>
    <t>QUIROGA, JAQUELINA ANABEL</t>
  </si>
  <si>
    <t>CACERES, ANTONELLA</t>
  </si>
  <si>
    <t>QUIROGA, VICTORIA DIANEY</t>
  </si>
  <si>
    <t>CACERES, ANTONELLA SOLEDAD</t>
  </si>
  <si>
    <t>RAMIREZ, DAVID</t>
  </si>
  <si>
    <t>CACERES, LUCAS</t>
  </si>
  <si>
    <t>DESCONOCIDO</t>
  </si>
  <si>
    <t>RAMOS, LORENA</t>
  </si>
  <si>
    <t>CACERES, MAIRA</t>
  </si>
  <si>
    <t>RASJIDO, ALDANA</t>
  </si>
  <si>
    <t>CÁCERES, MAIRA</t>
  </si>
  <si>
    <t>RECCHIA, AGUSTIN</t>
  </si>
  <si>
    <t>CACERES, MAIRA ALDANA</t>
  </si>
  <si>
    <t>REINAGA, MARTIN</t>
  </si>
  <si>
    <t>Caceres, Matias</t>
  </si>
  <si>
    <t>REINOSO, MATIAS</t>
  </si>
  <si>
    <t>CACERES, MATIAS NAHUEL</t>
  </si>
  <si>
    <t>RIBEIRO, CECILIA</t>
  </si>
  <si>
    <t>CALIBA</t>
  </si>
  <si>
    <t>RINALDI, SANTIAGO LUCA</t>
  </si>
  <si>
    <t>CALIBA CANDELA</t>
  </si>
  <si>
    <t>RIOS MESA, MALCOM MIGUEL</t>
  </si>
  <si>
    <t>RIOS PEREZ, KARINA ALDANA</t>
  </si>
  <si>
    <t>CALLIZAYA AVILA, DANIEL DENIS</t>
  </si>
  <si>
    <t>RIOS, DANA</t>
  </si>
  <si>
    <t>CALLIZAYA DANIEL</t>
  </si>
  <si>
    <t>RIOS, GABRIELA</t>
  </si>
  <si>
    <t>CALLIZAYA, DANIEL</t>
  </si>
  <si>
    <t>RITA AUGUSTO, SOFIA FLORENCIA</t>
  </si>
  <si>
    <t>CAMAÑO, NAHUEL</t>
  </si>
  <si>
    <t>RIVAS CARLETTO, ALBA BEATRIZ</t>
  </si>
  <si>
    <t>RIVERA, KAREN ELIANA</t>
  </si>
  <si>
    <t>CAMARGO, ADRIAN</t>
  </si>
  <si>
    <t>RIVERA, MARIA FLORENCIA</t>
  </si>
  <si>
    <t>RODRIGUEZ TARRES, MATIAS</t>
  </si>
  <si>
    <r>
      <rPr>
        <sz val="11"/>
        <color rgb="FF000000"/>
        <rFont val="Calibri"/>
        <family val="2"/>
      </rPr>
      <t>CAMARGO, PRISCILA</t>
    </r>
    <r>
      <rPr>
        <sz val="11"/>
        <color rgb="FF000000"/>
        <rFont val="Calibri"/>
        <family val="2"/>
      </rPr>
      <t xml:space="preserve"> </t>
    </r>
  </si>
  <si>
    <t>RODRIGUEZ, PATRICIA ELIZABETH</t>
  </si>
  <si>
    <t>CAMBLOR, RAMIRO</t>
  </si>
  <si>
    <t>RODRIGUEZ, SOFIA</t>
  </si>
  <si>
    <t>Camino Julián Matías</t>
  </si>
  <si>
    <t>ROJAS, EMILIANO JOSE</t>
  </si>
  <si>
    <t>Camino, Julián</t>
  </si>
  <si>
    <t>ROJAS, GISELA ANTONELLA</t>
  </si>
  <si>
    <t>ROJAS, PRISCILA ELIZABETH</t>
  </si>
  <si>
    <t>Camino, Julián Matías</t>
  </si>
  <si>
    <t>ROMAN, DIANA MICHELE</t>
  </si>
  <si>
    <t>CAMINO, MATIAS JULIAN</t>
  </si>
  <si>
    <t>ROMERO, ALEJANDRA</t>
  </si>
  <si>
    <r>
      <rPr>
        <sz val="11"/>
        <color rgb="FF000000"/>
        <rFont val="Calibri"/>
        <family val="2"/>
      </rPr>
      <t>CAMINO, MATIAS JULIAN</t>
    </r>
    <r>
      <rPr>
        <sz val="11"/>
        <color rgb="FF000000"/>
        <rFont val="Calibri"/>
        <family val="2"/>
      </rPr>
      <t xml:space="preserve"> </t>
    </r>
  </si>
  <si>
    <t>ROMERO, BRANDOM</t>
  </si>
  <si>
    <t>CAMPILONGO, VALENTIN</t>
  </si>
  <si>
    <t>ROMERO, CARLOS GABRIEL</t>
  </si>
  <si>
    <t>CAMPILONGO, VALENTÍN</t>
  </si>
  <si>
    <t>ROMERO, GRACIELA</t>
  </si>
  <si>
    <t>Campilongo. Valentin</t>
  </si>
  <si>
    <t>ROMERO, LUCAS</t>
  </si>
  <si>
    <t>CAMPOS ANGIE</t>
  </si>
  <si>
    <t>ROMERO, MARIANA</t>
  </si>
  <si>
    <t>CAMPOS GUTIERREZ, JUDITH</t>
  </si>
  <si>
    <t>ROMERO, NASRALA</t>
  </si>
  <si>
    <t>CAMPOS GUTIERREZ, JUDITH JOHANNA ANGIE</t>
  </si>
  <si>
    <t>RUIZ DIAZ, BELEN ALEJANDRA</t>
  </si>
  <si>
    <t>Canaglia Carreira Patricia</t>
  </si>
  <si>
    <t>RUNGE, MIRTA</t>
  </si>
  <si>
    <t>CANAGLIA CARREIRA, PATRICIA</t>
  </si>
  <si>
    <t>SABELLA, ROSA MARIA</t>
  </si>
  <si>
    <t>SALERNO, KEVIN IVAN</t>
  </si>
  <si>
    <t>CANAGLIA PATRICIA</t>
  </si>
  <si>
    <t>SALIG, FRANCISCO</t>
  </si>
  <si>
    <t>CANAGLIA, PATRICIA</t>
  </si>
  <si>
    <t>SALINAS, FRANCO GABRIEL</t>
  </si>
  <si>
    <t>canalis loana</t>
  </si>
  <si>
    <t>SALINAS, SHIRLY ELIZABETH</t>
  </si>
  <si>
    <t>CANALIS LOANA ARIANA</t>
  </si>
  <si>
    <t>SANABRIA, MELINA ANGELES</t>
  </si>
  <si>
    <t>CANALIS, LOANA ARIANA</t>
  </si>
  <si>
    <t>SANCHEZ, MELANY YAMILA</t>
  </si>
  <si>
    <t>CANALIS. LOANA ARIANA</t>
  </si>
  <si>
    <t>SANDOVAL, JEREMIAS</t>
  </si>
  <si>
    <t>CANCECO, FACUNDO</t>
  </si>
  <si>
    <t>SANTILLAN, LEON LUIS</t>
  </si>
  <si>
    <t>CANEPA, LEILA</t>
  </si>
  <si>
    <t>SAYUS, YANINA</t>
  </si>
  <si>
    <t>CANEPA,LEILA</t>
  </si>
  <si>
    <t>SEBASTIA, MARIANA</t>
  </si>
  <si>
    <t>CANO, ANALIA</t>
  </si>
  <si>
    <t>SEGOVIA, NOELIA</t>
  </si>
  <si>
    <t>Cano, Analía</t>
  </si>
  <si>
    <t>SELIS, SOLANGE</t>
  </si>
  <si>
    <t>CAÑETE, LISANDRO GABRIEL</t>
  </si>
  <si>
    <t>SENA, ANABEL</t>
  </si>
  <si>
    <t>CAPONI, FLAVIA</t>
  </si>
  <si>
    <t>SILVA, VANESA NOEMI</t>
  </si>
  <si>
    <t>SIQUILA, FLORENCIA AGUSTINA</t>
  </si>
  <si>
    <t>CARABALLO, LUCAS DANIEL</t>
  </si>
  <si>
    <t>SIVIERO, AGUSTINA</t>
  </si>
  <si>
    <t>SORIA, ANA VALERIA</t>
  </si>
  <si>
    <t>CARDOZO MARIA LAURA</t>
  </si>
  <si>
    <t>SORIA, LAURA BELEN</t>
  </si>
  <si>
    <t>CARDOZO ROMINA</t>
  </si>
  <si>
    <t>SOSA, LEON MIGUEL ANTONIO</t>
  </si>
  <si>
    <t>SOSA, NOELIA</t>
  </si>
  <si>
    <t>SOTO, AILEN</t>
  </si>
  <si>
    <t>CARDOZO, YANET LEILA</t>
  </si>
  <si>
    <t>STUCHETTI, FLORENCIA</t>
  </si>
  <si>
    <t>CAREGGIO, HORACIO DAMIAN</t>
  </si>
  <si>
    <t>TABORDA, MICAELA</t>
  </si>
  <si>
    <t>CARLOS CARRERAS</t>
  </si>
  <si>
    <t>TAKACH SABORIDO, AGUSTIN</t>
  </si>
  <si>
    <t>TARILLO, EZEQUIEL</t>
  </si>
  <si>
    <t>CARRASCO, DEBORA</t>
  </si>
  <si>
    <t>TEJEDA, MATIAS</t>
  </si>
  <si>
    <t>TELLELDIN, MARCOS NICOLAS</t>
  </si>
  <si>
    <t>CARREÑO ROSSI, MATÍAS EZEQUIEL</t>
  </si>
  <si>
    <t>TELVINI, TIAGO</t>
  </si>
  <si>
    <t>CARREÑO, EZEQUIEL</t>
  </si>
  <si>
    <t>TIRAVANTI MEDINA, INGRYD JAZMIN</t>
  </si>
  <si>
    <t>CARRERA, DÉBORA</t>
  </si>
  <si>
    <t>TOBARES, SABRINA</t>
  </si>
  <si>
    <t>TOCONAS, MARISA ARACELI</t>
  </si>
  <si>
    <t>CARRERA, DÉBORA ALEJANDRA</t>
  </si>
  <si>
    <t>TORELLI, MARIA SOL</t>
  </si>
  <si>
    <t>CARRERAS CARLOS</t>
  </si>
  <si>
    <t>TRIPPICCHIO, MARIA MILAGROS</t>
  </si>
  <si>
    <t>TURA, BELEN</t>
  </si>
  <si>
    <t>carrigo, agustina</t>
  </si>
  <si>
    <t>UEZ, FLORENCIA</t>
  </si>
  <si>
    <t>CARRIZO FRANCO</t>
  </si>
  <si>
    <t>VALLEJOS, MARIANELA</t>
  </si>
  <si>
    <t>CARRIZO RODRIGO</t>
  </si>
  <si>
    <t>VALLS, FACUNDO</t>
  </si>
  <si>
    <t>VARAS, LUCIANA</t>
  </si>
  <si>
    <t>CARRIZO, RODRIGO</t>
  </si>
  <si>
    <t>VAZQUEZ DIEGUEZ, MARIA JOSE ESTEFANIA</t>
  </si>
  <si>
    <t xml:space="preserve">Carrizo, Rodrigo </t>
  </si>
  <si>
    <t>VELIZ AYALA, ROCIO SOLEDAD</t>
  </si>
  <si>
    <t>CARRIZO, SOFIA</t>
  </si>
  <si>
    <t>VELIZ, DAMIAN JAVIER</t>
  </si>
  <si>
    <t>CARRUEGO, MIRTA</t>
  </si>
  <si>
    <t>VELTRI, PAULA ANDREA</t>
  </si>
  <si>
    <t>CARTASEGNA, SILVIO ESTEBAN</t>
  </si>
  <si>
    <t>VENTURINO, VALENTINA</t>
  </si>
  <si>
    <t>VERA FIGUEREDO, DAIANA</t>
  </si>
  <si>
    <t>CASALNOVO FRANCO</t>
  </si>
  <si>
    <t>VERAMENDI, ENZO DARIO</t>
  </si>
  <si>
    <t xml:space="preserve">CASALNOVO FRANCO </t>
  </si>
  <si>
    <t>VERTI, GASTON</t>
  </si>
  <si>
    <t>CASALNOVO, FRANCO</t>
  </si>
  <si>
    <t>VIALE, GISELA SOLEDAD</t>
  </si>
  <si>
    <t>CASALVONO, FRANCO</t>
  </si>
  <si>
    <t>VILARO, LUDMILA MAGALI</t>
  </si>
  <si>
    <t>CASANOVO FRANCO</t>
  </si>
  <si>
    <t>VILLAGRA, CLARA</t>
  </si>
  <si>
    <t>CASCO SOLEDAD</t>
  </si>
  <si>
    <t>VILLALVA, GABRIEL EZEQUIEL</t>
  </si>
  <si>
    <t>CASCO, MARÍA</t>
  </si>
  <si>
    <t>VILLAR, RODRIGO NICOLAS</t>
  </si>
  <si>
    <t>VILLEGAS, RODRIGO</t>
  </si>
  <si>
    <t>VILLORDO, GRISELDA</t>
  </si>
  <si>
    <t>CASERES ANTONELA</t>
  </si>
  <si>
    <t>VORPAGEL, AGUSTINA</t>
  </si>
  <si>
    <t>CASERES NICOLE</t>
  </si>
  <si>
    <t>VORPAGEL, SABRINA</t>
  </si>
  <si>
    <r>
      <rPr>
        <sz val="11"/>
        <color rgb="FF000000"/>
        <rFont val="Calibri"/>
        <family val="2"/>
      </rPr>
      <t>CASERES NICOLE</t>
    </r>
    <r>
      <rPr>
        <sz val="11"/>
        <color rgb="FF000000"/>
        <rFont val="Calibri"/>
        <family val="2"/>
      </rPr>
      <t xml:space="preserve"> </t>
    </r>
  </si>
  <si>
    <t>WOLANINK, MATIAS</t>
  </si>
  <si>
    <t>CASERES, NICOLE</t>
  </si>
  <si>
    <t>YAPURA, JOHANA</t>
  </si>
  <si>
    <r>
      <rPr>
        <sz val="11"/>
        <color rgb="FF000000"/>
        <rFont val="Calibri"/>
        <family val="2"/>
      </rPr>
      <t>CASERES, NICOLE</t>
    </r>
    <r>
      <rPr>
        <sz val="11"/>
        <color rgb="FF000000"/>
        <rFont val="Calibri"/>
        <family val="2"/>
      </rPr>
      <t xml:space="preserve"> </t>
    </r>
  </si>
  <si>
    <t>YUDI, GISELLE</t>
  </si>
  <si>
    <t>YUFRA, YOHANA</t>
  </si>
  <si>
    <t>CASTAÑO, NATALIA</t>
  </si>
  <si>
    <t>ZAMERO GALVAN, DAIANA ELIZABETH</t>
  </si>
  <si>
    <t>ZAMORA, STELLA SOLEDAD</t>
  </si>
  <si>
    <t>CASTIGLIONI CAMILA</t>
  </si>
  <si>
    <t>ZANUY, JERONIMO</t>
  </si>
  <si>
    <t>CASTIGLIONI, CAMILA</t>
  </si>
  <si>
    <t>ZASLAVSKY, SANDRA REGINA</t>
  </si>
  <si>
    <t>CASTILLO BARRIOS, EDGAR DAVID</t>
  </si>
  <si>
    <t>ZELARAYAN, MIRELLA TATIANA</t>
  </si>
  <si>
    <t>Castillo Barrios, Edgard David</t>
  </si>
  <si>
    <t>ZORAIRE, MICAELA ROMINA</t>
  </si>
  <si>
    <t>CASTILLO CLAUDIO</t>
  </si>
  <si>
    <t>ZORZOLI, FLORENCIA</t>
  </si>
  <si>
    <t>CASTILLO GISEEL</t>
  </si>
  <si>
    <t>CASTILLO GISEL</t>
  </si>
  <si>
    <t>CASTILLO GISSEL</t>
  </si>
  <si>
    <t>CASTILLO, CLAUDIO</t>
  </si>
  <si>
    <t>CASTILLO, EDGAR</t>
  </si>
  <si>
    <t>CASTILLO, EDGARD</t>
  </si>
  <si>
    <t>CASTRO LAUDANI TAMARA</t>
  </si>
  <si>
    <r>
      <rPr>
        <sz val="11"/>
        <color rgb="FF000000"/>
        <rFont val="Calibri"/>
        <family val="2"/>
      </rPr>
      <t>CASTRO LAUDANI TAMARA</t>
    </r>
    <r>
      <rPr>
        <sz val="11"/>
        <color rgb="FF000000"/>
        <rFont val="Calibri"/>
        <family val="2"/>
      </rPr>
      <t xml:space="preserve"> </t>
    </r>
  </si>
  <si>
    <t>CASTRO LAUDANI, TAMARA</t>
  </si>
  <si>
    <t>CASTRO, TAMARA</t>
  </si>
  <si>
    <t>CAVA, ARIEL LEONARDO</t>
  </si>
  <si>
    <t>CEBALLOS FLORENCIA</t>
  </si>
  <si>
    <t>Ceballos Florencia Mariana</t>
  </si>
  <si>
    <t xml:space="preserve">Ceballos Florencia Mariana </t>
  </si>
  <si>
    <t>CEBALLOS, FLORENCIA</t>
  </si>
  <si>
    <t>CEBALLOS, FLORENCIA MARIANA</t>
  </si>
  <si>
    <t>CEBALLOS, FLORENCIA MARIANA Mariana</t>
  </si>
  <si>
    <t xml:space="preserve">CEBALLOS, FLORENCIA MARIANA Mariana </t>
  </si>
  <si>
    <t>CEI MARIANO</t>
  </si>
  <si>
    <t>CEI, MARIANO</t>
  </si>
  <si>
    <t>CEJAS, MIGUEL ÁNGEL</t>
  </si>
  <si>
    <t>CEJAS, NICOLAS</t>
  </si>
  <si>
    <t>CEJAS, NICOLÁS</t>
  </si>
  <si>
    <t xml:space="preserve">CEJAS, NICOLAS </t>
  </si>
  <si>
    <t>Celestino Candela</t>
  </si>
  <si>
    <t xml:space="preserve">Celestino Candela </t>
  </si>
  <si>
    <t>CELESTINO, CANDELA</t>
  </si>
  <si>
    <t>Centurión Aymara</t>
  </si>
  <si>
    <t>Centurión Aymara Maiten</t>
  </si>
  <si>
    <t>Centurión, Aymara Maiten</t>
  </si>
  <si>
    <t>CESARINO AGUSTIN</t>
  </si>
  <si>
    <t>CESARINO, AGUSTIN</t>
  </si>
  <si>
    <t>CESARINO. AGUSTIN</t>
  </si>
  <si>
    <t>CEVALLOS, FLORENCIA</t>
  </si>
  <si>
    <t>Chacon Franco</t>
  </si>
  <si>
    <t>CHACON MICAELA FRANCESCA</t>
  </si>
  <si>
    <t>Chacon, Franco</t>
  </si>
  <si>
    <t>Chacon, Micaela</t>
  </si>
  <si>
    <t>CHACON, MICAELA FRANSESCA</t>
  </si>
  <si>
    <t>CHAMBILLA PALMA, VERONICA</t>
  </si>
  <si>
    <t>CHAPARRO FEDERICO</t>
  </si>
  <si>
    <t>CHAPARRO, GERMAN</t>
  </si>
  <si>
    <t>CHARON, FLORENCIA</t>
  </si>
  <si>
    <t>CHARON, FLORENCIA AGUSTINA</t>
  </si>
  <si>
    <t>CHARON, NATALY</t>
  </si>
  <si>
    <t>CHAUQUE , Vanesa</t>
  </si>
  <si>
    <t>CHAUQUE, VANESA ALICIA</t>
  </si>
  <si>
    <t>CHAUQUE,Vanesa</t>
  </si>
  <si>
    <t>Chauvin Facundo</t>
  </si>
  <si>
    <t>CHAUVIN, FACUNDO</t>
  </si>
  <si>
    <t xml:space="preserve">Chauvin, Facundo </t>
  </si>
  <si>
    <t>CHAVEZ, GLADYS</t>
  </si>
  <si>
    <t>CHAVEZ, HERNAN</t>
  </si>
  <si>
    <t>CHÁVEZ, HERNÁN</t>
  </si>
  <si>
    <t>CHUQUIYAURI, ÁNGEL</t>
  </si>
  <si>
    <t>CIAPINNI, LUCAS</t>
  </si>
  <si>
    <t>CIAPPINI LUCA</t>
  </si>
  <si>
    <t>CINDY PONCE DE LEON</t>
  </si>
  <si>
    <t>CIPRANO, FACUNDO</t>
  </si>
  <si>
    <r>
      <rPr>
        <sz val="11"/>
        <color rgb="FF000000"/>
        <rFont val="Calibri"/>
        <family val="2"/>
      </rPr>
      <t>CIPRIANI</t>
    </r>
    <r>
      <rPr>
        <sz val="11"/>
        <color rgb="FF000000"/>
        <rFont val="Calibri"/>
        <family val="2"/>
      </rPr>
      <t xml:space="preserve">  </t>
    </r>
    <r>
      <rPr>
        <sz val="11"/>
        <color rgb="FF000000"/>
        <rFont val="Calibri"/>
        <family val="2"/>
      </rPr>
      <t>SOFIA</t>
    </r>
  </si>
  <si>
    <t>CIPRIANI SOFIA</t>
  </si>
  <si>
    <r>
      <rPr>
        <sz val="11"/>
        <color rgb="FF000000"/>
        <rFont val="Calibri"/>
        <family val="2"/>
      </rPr>
      <t>CIPRIANI,</t>
    </r>
    <r>
      <rPr>
        <sz val="11"/>
        <color rgb="FF000000"/>
        <rFont val="Calibri"/>
        <family val="2"/>
      </rPr>
      <t xml:space="preserve">  </t>
    </r>
    <r>
      <rPr>
        <sz val="11"/>
        <color rgb="FF000000"/>
        <rFont val="Calibri"/>
        <family val="2"/>
      </rPr>
      <t>SOFIA</t>
    </r>
  </si>
  <si>
    <t>CIPRIANI, SOFÍA</t>
  </si>
  <si>
    <t>CIPRIANO FACUNDO</t>
  </si>
  <si>
    <t>CIPRIANO, FACUNDO NICOLAS</t>
  </si>
  <si>
    <t>CIPRIANO, FACUNDO NICOLÁS</t>
  </si>
  <si>
    <t>CLARO TAIEL</t>
  </si>
  <si>
    <t>CLARO, TAIEL</t>
  </si>
  <si>
    <t>CLARO, TAIEL OSVALDO</t>
  </si>
  <si>
    <t>CLARO, TAIHEL</t>
  </si>
  <si>
    <t>COCERES, FIAMMA</t>
  </si>
  <si>
    <r>
      <rPr>
        <sz val="11"/>
        <color rgb="FF000000"/>
        <rFont val="Calibri"/>
        <family val="2"/>
      </rPr>
      <t>COCERES, FIAMMA</t>
    </r>
    <r>
      <rPr>
        <sz val="11"/>
        <color rgb="FF000000"/>
        <rFont val="Calibri"/>
        <family val="2"/>
      </rPr>
      <t xml:space="preserve"> </t>
    </r>
  </si>
  <si>
    <r>
      <rPr>
        <sz val="11"/>
        <color rgb="FF000000"/>
        <rFont val="Calibri"/>
        <family val="2"/>
      </rPr>
      <t>COCERES, FIAMMA ABIGAIL</t>
    </r>
    <r>
      <rPr>
        <sz val="11"/>
        <color rgb="FF000000"/>
        <rFont val="Calibri"/>
        <family val="2"/>
      </rPr>
      <t xml:space="preserve"> </t>
    </r>
  </si>
  <si>
    <t>COLINAS NICOLAS DARIO</t>
  </si>
  <si>
    <t>COLINAS, NICOLAS</t>
  </si>
  <si>
    <r>
      <rPr>
        <sz val="11"/>
        <color rgb="FF000000"/>
        <rFont val="Calibri"/>
        <family val="2"/>
      </rPr>
      <t>COLINAS, NICOLAS</t>
    </r>
    <r>
      <rPr>
        <sz val="11"/>
        <color rgb="FF000000"/>
        <rFont val="Calibri"/>
        <family val="2"/>
      </rPr>
      <t xml:space="preserve"> </t>
    </r>
  </si>
  <si>
    <t>COLINAS, NICOLAS DARIO</t>
  </si>
  <si>
    <t>COLMAN, NATALY ELIZABETH</t>
  </si>
  <si>
    <t>COLOMBO, SABRINA</t>
  </si>
  <si>
    <t>COMAN SALSURIN, AGUSTINA MACARENA</t>
  </si>
  <si>
    <t>COMBA, ADELINA</t>
  </si>
  <si>
    <t>COMBA, ADELINA SOFIA</t>
  </si>
  <si>
    <t>Condori Leonel</t>
  </si>
  <si>
    <t xml:space="preserve">Condori Leonel </t>
  </si>
  <si>
    <t>CONDORI VILCA, LEONEL AGUSTIN</t>
  </si>
  <si>
    <t>CONDORI VILCA, LEONEL AGUSTÍN</t>
  </si>
  <si>
    <t>CONDORI, LEONEL</t>
  </si>
  <si>
    <t>CONSTANTINO, NAHIR</t>
  </si>
  <si>
    <t>CONSTANTINO, NAHIR ALDANA</t>
  </si>
  <si>
    <t>CONVERSANO, MARINA</t>
  </si>
  <si>
    <t>CORDOBA ROMINA</t>
  </si>
  <si>
    <t>CORDOBA VELOSO, BRIAN</t>
  </si>
  <si>
    <t>CORDOBA, FEDERICO NICOLAS</t>
  </si>
  <si>
    <t>Cordoba, Romina</t>
  </si>
  <si>
    <t>CORDOBA, ROMINA PAOLA</t>
  </si>
  <si>
    <t>CORONEL DANIEL</t>
  </si>
  <si>
    <t>Coronel Garassino Victor Gabriel</t>
  </si>
  <si>
    <t xml:space="preserve">Coronel Garassino Victor Gabriel </t>
  </si>
  <si>
    <t>CORONEL GARASSINO, VICTOR</t>
  </si>
  <si>
    <t>CORONEL GARASSINO, VICTOR GABRIEL</t>
  </si>
  <si>
    <t>CORONEL, DANIEL</t>
  </si>
  <si>
    <t>CORONEL, JACQUELINE</t>
  </si>
  <si>
    <t>CORONEL, JACQUELINE ANDREA</t>
  </si>
  <si>
    <t>CORONEL, JAQUELINE ANDREA</t>
  </si>
  <si>
    <t>CORREA ,BELEN</t>
  </si>
  <si>
    <r>
      <rPr>
        <sz val="11"/>
        <color rgb="FF000000"/>
        <rFont val="Calibri"/>
        <family val="2"/>
      </rPr>
      <t>CORREA ,BELEN</t>
    </r>
    <r>
      <rPr>
        <sz val="11"/>
        <color rgb="FF000000"/>
        <rFont val="Calibri"/>
        <family val="2"/>
      </rPr>
      <t xml:space="preserve"> </t>
    </r>
  </si>
  <si>
    <t>CORREA BELEN</t>
  </si>
  <si>
    <r>
      <rPr>
        <sz val="11"/>
        <color rgb="FF000000"/>
        <rFont val="Calibri"/>
        <family val="2"/>
      </rPr>
      <t>CORREA BELEN</t>
    </r>
    <r>
      <rPr>
        <sz val="11"/>
        <color rgb="FF000000"/>
        <rFont val="Calibri"/>
        <family val="2"/>
      </rPr>
      <t xml:space="preserve"> </t>
    </r>
  </si>
  <si>
    <t>CORREA DIANA</t>
  </si>
  <si>
    <t xml:space="preserve">CORREA DIANA </t>
  </si>
  <si>
    <t>Correa Diana Maira</t>
  </si>
  <si>
    <t>CORREA, BELEN</t>
  </si>
  <si>
    <t xml:space="preserve">CORREA, BELEN </t>
  </si>
  <si>
    <t>CORREA, BELEN SOLEDAD</t>
  </si>
  <si>
    <t>Correa, Diana Maira</t>
  </si>
  <si>
    <t>CORREA, DIANA MARIA</t>
  </si>
  <si>
    <t>CORREA, DIANA MARÍA</t>
  </si>
  <si>
    <t>CORREA. BELEN</t>
  </si>
  <si>
    <t>CORVALÁN MICAELA ALEJANDRA</t>
  </si>
  <si>
    <t>CORVALÁN, IARA</t>
  </si>
  <si>
    <t>CORVALAN, MICAELA ALEJANDRA</t>
  </si>
  <si>
    <t>CORVALÁN, MICAELA ALEJANDRA</t>
  </si>
  <si>
    <t>CORVALÁN, MICAELA.</t>
  </si>
  <si>
    <t>CORVETTO, FLORENCIA</t>
  </si>
  <si>
    <t>COUSO MARIA VICTORIA</t>
  </si>
  <si>
    <t xml:space="preserve">COUSO MARIA VICTORIA </t>
  </si>
  <si>
    <t>COUSO, VICTORIA</t>
  </si>
  <si>
    <r>
      <rPr>
        <sz val="11"/>
        <color rgb="FF000000"/>
        <rFont val="Calibri"/>
        <family val="2"/>
      </rPr>
      <t>CRISTOFORI NAGEL, GUSTAVO</t>
    </r>
    <r>
      <rPr>
        <sz val="11"/>
        <color rgb="FF000000"/>
        <rFont val="Calibri"/>
        <family val="2"/>
      </rPr>
      <t xml:space="preserve"> </t>
    </r>
  </si>
  <si>
    <t>CRISTOFORI NAGEL, GUSTAVO NAGEL</t>
  </si>
  <si>
    <t>CRISTOFORI, GUSTAVO</t>
  </si>
  <si>
    <t>CRISTOFORI, NAGEL GUSTAVO</t>
  </si>
  <si>
    <t>Cruz Lara Yolaidy Mercedes</t>
  </si>
  <si>
    <t>CRUZ, LARA</t>
  </si>
  <si>
    <t>CRUZ, LARA YOLAIDY MERCEDES</t>
  </si>
  <si>
    <t>CRUZ, MARTIN</t>
  </si>
  <si>
    <t>CUELLAR, CAMILA</t>
  </si>
  <si>
    <t>CUELLAR, JENNIFER</t>
  </si>
  <si>
    <t xml:space="preserve">Cuello Joaquin </t>
  </si>
  <si>
    <t>CUELLO, JENIFER</t>
  </si>
  <si>
    <t>CUEVAS, JAVIER</t>
  </si>
  <si>
    <t>CUFOS, MICAELA</t>
  </si>
  <si>
    <t>CURBELO, CARLA MARIBEL</t>
  </si>
  <si>
    <t>D ANGELIS SILVANA</t>
  </si>
  <si>
    <t xml:space="preserve">D ANGELIS SILVANA </t>
  </si>
  <si>
    <t>D ANGELIS, Silvana</t>
  </si>
  <si>
    <t>D Angelis, Silvina</t>
  </si>
  <si>
    <t>D angelis,Silvana</t>
  </si>
  <si>
    <t xml:space="preserve">D angelis,Silvana </t>
  </si>
  <si>
    <t>D ANGELIS,SILVINA</t>
  </si>
  <si>
    <t>D´ANGELIS, SILVANA</t>
  </si>
  <si>
    <t>DAGUER ALAN</t>
  </si>
  <si>
    <t>DAGUER, ALAN EZEQUIEL</t>
  </si>
  <si>
    <t>DALIA NABILA</t>
  </si>
  <si>
    <t>DALIA, NABILA</t>
  </si>
  <si>
    <r>
      <rPr>
        <sz val="11"/>
        <color rgb="FF000000"/>
        <rFont val="Calibri"/>
        <family val="2"/>
      </rPr>
      <t>DANGELIS</t>
    </r>
    <r>
      <rPr>
        <sz val="11"/>
        <color rgb="FF000000"/>
        <rFont val="Calibri"/>
        <family val="2"/>
      </rPr>
      <t xml:space="preserve">  </t>
    </r>
    <r>
      <rPr>
        <sz val="11"/>
        <color rgb="FF000000"/>
        <rFont val="Calibri"/>
        <family val="2"/>
      </rPr>
      <t>VANESA</t>
    </r>
  </si>
  <si>
    <t>DANGELIS VANESA</t>
  </si>
  <si>
    <t>DANGELIS, SILVANA</t>
  </si>
  <si>
    <t>DANGELIS, VANESA</t>
  </si>
  <si>
    <t>DANGELIS,SILVINA</t>
  </si>
  <si>
    <t>DAUMAS VICTORIA</t>
  </si>
  <si>
    <t>DAUMAS VICTORIA SOL</t>
  </si>
  <si>
    <t>DAUMAS, VICTORIA</t>
  </si>
  <si>
    <r>
      <rPr>
        <sz val="11"/>
        <color rgb="FF000000"/>
        <rFont val="Calibri"/>
        <family val="2"/>
      </rPr>
      <t>DAUMAS, VICTORIA</t>
    </r>
    <r>
      <rPr>
        <sz val="11"/>
        <color rgb="FF000000"/>
        <rFont val="Calibri"/>
        <family val="2"/>
      </rPr>
      <t xml:space="preserve"> </t>
    </r>
  </si>
  <si>
    <t>DE MARE CLAUDIO</t>
  </si>
  <si>
    <t>DE RITO ROCHI, MARCO</t>
  </si>
  <si>
    <t>De Sarro Malena</t>
  </si>
  <si>
    <t>DE SARRO, MALENA</t>
  </si>
  <si>
    <t>DEL CUEYO, FLORENCIA</t>
  </si>
  <si>
    <t>DEL PUEYO CECILIA FLORENCIA</t>
  </si>
  <si>
    <t>DEL PUEYO, CECILIA</t>
  </si>
  <si>
    <t>DEL VALLE, GONZALO</t>
  </si>
  <si>
    <t>DELFINA GONZALEZ</t>
  </si>
  <si>
    <t>DELGADO, AYELEN</t>
  </si>
  <si>
    <t>DELGADO, JULIAN</t>
  </si>
  <si>
    <t>DELGADO, LEONARDO MATIAS</t>
  </si>
  <si>
    <r>
      <rPr>
        <sz val="11"/>
        <color rgb="FF000000"/>
        <rFont val="Calibri"/>
        <family val="2"/>
      </rPr>
      <t>DELGADO, LEONARDO MATIAS</t>
    </r>
    <r>
      <rPr>
        <sz val="11"/>
        <color rgb="FF000000"/>
        <rFont val="Calibri"/>
        <family val="2"/>
      </rPr>
      <t xml:space="preserve"> </t>
    </r>
  </si>
  <si>
    <t>Delgado, Matias</t>
  </si>
  <si>
    <t>DELVECCHIO, DIANA</t>
  </si>
  <si>
    <r>
      <rPr>
        <sz val="11"/>
        <color rgb="FF000000"/>
        <rFont val="Calibri"/>
        <family val="2"/>
      </rPr>
      <t>DELVECCHIO, DIANA</t>
    </r>
    <r>
      <rPr>
        <sz val="11"/>
        <color rgb="FF000000"/>
        <rFont val="Calibri"/>
        <family val="2"/>
      </rPr>
      <t xml:space="preserve"> </t>
    </r>
  </si>
  <si>
    <t>DELVECCHIO, GABRIELA</t>
  </si>
  <si>
    <t>DELVECHIO</t>
  </si>
  <si>
    <t>DEMARCO, ANTONELLA</t>
  </si>
  <si>
    <t>DESIDERIOSCIOLI, FRANCO</t>
  </si>
  <si>
    <t>DESPOSITO, SUSANA</t>
  </si>
  <si>
    <t>DI LORETO, ORIANA</t>
  </si>
  <si>
    <t>DIAZ BELEN</t>
  </si>
  <si>
    <t>DIAZ CLARISA</t>
  </si>
  <si>
    <t>DÍAZ LAUTARO</t>
  </si>
  <si>
    <t>DIAZ LEIS, MICAELA BELEN</t>
  </si>
  <si>
    <t>DIAZ LUCIANO</t>
  </si>
  <si>
    <t>DIAZ LUCIANO EMANUEL</t>
  </si>
  <si>
    <t>DIAZ MARIA BELEN</t>
  </si>
  <si>
    <t>Diaz María Belén</t>
  </si>
  <si>
    <t>DIAZ THOMAS AGUSTÍN</t>
  </si>
  <si>
    <t>DÍAZ, ANALÍA</t>
  </si>
  <si>
    <t>DIAZ, ANALIA VERONICA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</si>
  <si>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</si>
  <si>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</si>
  <si>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</si>
  <si>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</si>
  <si>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</si>
  <si>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</si>
  <si>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</si>
  <si>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</si>
  <si>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</si>
  <si>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</si>
  <si>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</si>
  <si>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</si>
  <si>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 Nicolas</t>
  </si>
  <si>
    <t>DIDIER, NICOLÁS</t>
  </si>
  <si>
    <t xml:space="preserve">DIDIER, NICOLAS       </t>
  </si>
  <si>
    <t>DIOGO ROBERTO</t>
  </si>
  <si>
    <t>DIOGO, ROBERTO MARCELO</t>
  </si>
  <si>
    <t>DOMINGUEZ CACERES, JAMAL DYLAN</t>
  </si>
  <si>
    <t>DOMINGUEZ JAMAL</t>
  </si>
  <si>
    <t>DOMINGUEZ VALERIA</t>
  </si>
  <si>
    <t>DOMINGUEZ, JAMAL</t>
  </si>
  <si>
    <t>DOMINGUEZ, NAHUEL IGNACIO</t>
  </si>
  <si>
    <t>DOMINGUEZ, VALERIA</t>
  </si>
  <si>
    <t>DONADON NICOLAS</t>
  </si>
  <si>
    <t>DONADON, NICOLAS</t>
  </si>
  <si>
    <t>DORREGO CAMILA</t>
  </si>
  <si>
    <t>DORREGO, CAMILA</t>
  </si>
  <si>
    <t>Duarte Ariana</t>
  </si>
  <si>
    <t>Duarte, Ariana</t>
  </si>
  <si>
    <t>DUMAS, VICTORIA SOL</t>
  </si>
  <si>
    <t>DURASNIK, ELIANA CLAUDIA</t>
  </si>
  <si>
    <t>ENRIQUEZ MELANI</t>
  </si>
  <si>
    <t>Enriquez Melani Rocio</t>
  </si>
  <si>
    <t xml:space="preserve">Enriquez Melani Rocio </t>
  </si>
  <si>
    <t>ENRIQUEZ, MELANI ROCIO</t>
  </si>
  <si>
    <t>ENRIQUEZ, MELANI ROCÍO</t>
  </si>
  <si>
    <t>ENRIQUEZ, MELANI ROCIO Rocio</t>
  </si>
  <si>
    <t>ESCALANTE MAILEN</t>
  </si>
  <si>
    <t>ESCALANTE, ARIEL</t>
  </si>
  <si>
    <t>ESCALANTE, MAILEN</t>
  </si>
  <si>
    <t>ESCARLON MICAELA</t>
  </si>
  <si>
    <t xml:space="preserve">ESCARLON MICAELA </t>
  </si>
  <si>
    <t>ESCARLON OCAMPO, MICAELA AYELEN</t>
  </si>
  <si>
    <t>ESCARLON, MICAELA</t>
  </si>
  <si>
    <t>ESCOBAR ALFREDO</t>
  </si>
  <si>
    <t>ESCOBAR YASMIN</t>
  </si>
  <si>
    <t>ESCOBAR, ALFREDO EZEQUIEL</t>
  </si>
  <si>
    <t>Esmilce Liliana Alegre</t>
  </si>
  <si>
    <t>ESPERANZA, DAIANA</t>
  </si>
  <si>
    <t>Espindola Carolina</t>
  </si>
  <si>
    <t>ESPINDOLA, CAROLINA</t>
  </si>
  <si>
    <t>Espinola Carolina</t>
  </si>
  <si>
    <t>ESPINOLA, CAROLINA</t>
  </si>
  <si>
    <t>ESPINOLA, GRISELDA CAROLINA</t>
  </si>
  <si>
    <t>ESPINOLA. CAROLINA</t>
  </si>
  <si>
    <t>ESPINOZA VANESA BEATRIZ</t>
  </si>
  <si>
    <t>ESTEBA ALEJO FIDEL</t>
  </si>
  <si>
    <t>ESTEBA, ALEJO FIDEL</t>
  </si>
  <si>
    <t>ESTEBAN ALEJO FIDEL</t>
  </si>
  <si>
    <t>ESTEBAN, ALEJO FIDEL</t>
  </si>
  <si>
    <t>Faraci, Santiago</t>
  </si>
  <si>
    <t>FARACI, SANTIAGO NICOLAS</t>
  </si>
  <si>
    <t>FARIAS LILIANA</t>
  </si>
  <si>
    <t>FARIAS NAHUEL</t>
  </si>
  <si>
    <r>
      <rPr>
        <sz val="11"/>
        <color rgb="FF000000"/>
        <rFont val="Calibri"/>
        <family val="2"/>
      </rPr>
      <t>farias veronica</t>
    </r>
    <r>
      <rPr>
        <sz val="11"/>
        <color rgb="FF000000"/>
        <rFont val="Calibri"/>
        <family val="2"/>
      </rPr>
      <t xml:space="preserve"> </t>
    </r>
  </si>
  <si>
    <t>FARIAS, GUSTAVO</t>
  </si>
  <si>
    <t>FARIAS, LILIANA</t>
  </si>
  <si>
    <t>FARIAS, LILIANA VERONICA</t>
  </si>
  <si>
    <t>FEDELLE, SANDRA ANALÍA</t>
  </si>
  <si>
    <t>FERNANDEZ ANGELINA</t>
  </si>
  <si>
    <t>FERNANDEZ SELENE ABRIL</t>
  </si>
  <si>
    <t>FERNANDEZ VIDAL, LUCA</t>
  </si>
  <si>
    <t>FERNANDEZ VIDAL, LUCA PATRICIO</t>
  </si>
  <si>
    <t>FERNÁNDEZ, AGUSTINA</t>
  </si>
  <si>
    <t>FERNANDEZ, ANGELINA</t>
  </si>
  <si>
    <t>FERNANDEZ, NAHUEL MATIAS</t>
  </si>
  <si>
    <t>FERNÁNDEZ, RUTH</t>
  </si>
  <si>
    <t>FERNANDEZ, RUTH YANINA</t>
  </si>
  <si>
    <t>FERNANDEZ, SELENE</t>
  </si>
  <si>
    <t>FERNANDEZ, SELENE ABRIL</t>
  </si>
  <si>
    <t>FERNANDEZ, VIDAL LUCA</t>
  </si>
  <si>
    <t>FERREIRA ERIK</t>
  </si>
  <si>
    <t>Ferreira Erik Nehuen</t>
  </si>
  <si>
    <t>FERREIRA, ERIK</t>
  </si>
  <si>
    <t>FERREIRA, ERIK NEHUEN</t>
  </si>
  <si>
    <t>FERREIRA, ERIK NEHUEN Nehuen</t>
  </si>
  <si>
    <t>FERREYRA, SONIA</t>
  </si>
  <si>
    <t>FIDEL GRACIANO, FEDERICO</t>
  </si>
  <si>
    <t>Figueora Selene Abigail</t>
  </si>
  <si>
    <t>FIGUEORA, SELENE ABIGAIL</t>
  </si>
  <si>
    <t>FIGUEREDO, FLORENCIA</t>
  </si>
  <si>
    <t>FIGUEROA SELENE ABIGAIL</t>
  </si>
  <si>
    <t>FIGUEROA SOLANGE</t>
  </si>
  <si>
    <t>FIGUEROA, SELENE</t>
  </si>
  <si>
    <t>FIRME MARIA</t>
  </si>
  <si>
    <t>FLEITAS MONGES, KEVIN</t>
  </si>
  <si>
    <t>FLORENCIA LEON</t>
  </si>
  <si>
    <t xml:space="preserve">Florencia, Leon </t>
  </si>
  <si>
    <t>FLORES JACQUELINA</t>
  </si>
  <si>
    <t>FLORES JACQUELINE</t>
  </si>
  <si>
    <t>FLORES THIAGO</t>
  </si>
  <si>
    <t>FLORES, CARLOS</t>
  </si>
  <si>
    <t>FLORES, CARLOS ALBERTO</t>
  </si>
  <si>
    <t>FLORES, THIAGO</t>
  </si>
  <si>
    <t xml:space="preserve">FLORES, THIAGO </t>
  </si>
  <si>
    <t>FONTANA ANDREA</t>
  </si>
  <si>
    <t>Fontana Andrea Carolina</t>
  </si>
  <si>
    <t xml:space="preserve">FONTANA, ANDREA </t>
  </si>
  <si>
    <t>FONTANA, ANDREA CAROLINA</t>
  </si>
  <si>
    <t>FONTANA, ANDREA CAROLINA Carolina</t>
  </si>
  <si>
    <t>FRANCO BARGAS</t>
  </si>
  <si>
    <t>FRANCO FURNARI</t>
  </si>
  <si>
    <t>FRANCO SALINAS</t>
  </si>
  <si>
    <t>FRASQUERI PABLO TOMAS</t>
  </si>
  <si>
    <t>FRASQUERI, PABLO</t>
  </si>
  <si>
    <r>
      <rPr>
        <sz val="11"/>
        <color rgb="FF000000"/>
        <rFont val="Calibri"/>
        <family val="2"/>
      </rPr>
      <t>FRASQUERI, PABLO</t>
    </r>
    <r>
      <rPr>
        <sz val="11"/>
        <color rgb="FF000000"/>
        <rFont val="Calibri"/>
        <family val="2"/>
      </rPr>
      <t xml:space="preserve"> </t>
    </r>
  </si>
  <si>
    <t>FREYTES IGNACIO</t>
  </si>
  <si>
    <t>FREYTES, IGNACIO</t>
  </si>
  <si>
    <t>FRIA EVELYN</t>
  </si>
  <si>
    <t>FRIAS JESSICA</t>
  </si>
  <si>
    <t>FRIAS, NAHUEL</t>
  </si>
  <si>
    <t>FRIAS, SILVIA</t>
  </si>
  <si>
    <r>
      <rPr>
        <sz val="11"/>
        <color rgb="FF000000"/>
        <rFont val="Calibri"/>
        <family val="2"/>
      </rPr>
      <t>FRIAS, SILVIA</t>
    </r>
    <r>
      <rPr>
        <sz val="11"/>
        <color rgb="FF000000"/>
        <rFont val="Calibri"/>
        <family val="2"/>
      </rPr>
      <t xml:space="preserve"> </t>
    </r>
  </si>
  <si>
    <t>FRIEDL, MARTÍN</t>
  </si>
  <si>
    <t>FUENTES, CAMILA EUGENIA</t>
  </si>
  <si>
    <t>FUENTES, GASTON</t>
  </si>
  <si>
    <t>FURNARI FRANCO</t>
  </si>
  <si>
    <t xml:space="preserve">Furnari Franco </t>
  </si>
  <si>
    <t>FURNARI, FRANCO</t>
  </si>
  <si>
    <t>FURNARI, FRANCO AITOR</t>
  </si>
  <si>
    <t>FURNARI,FRANCO</t>
  </si>
  <si>
    <t>GABRIEL GUAYMAS</t>
  </si>
  <si>
    <t xml:space="preserve">Gabriel, Mejia </t>
  </si>
  <si>
    <t>GAIDO ROMINA</t>
  </si>
  <si>
    <t>GALARZA CELESTE</t>
  </si>
  <si>
    <t>GALARZA, CELESTE SOLEDAD</t>
  </si>
  <si>
    <t>GALEANO AXEL LEONEL</t>
  </si>
  <si>
    <t>GALEANO, AXEL</t>
  </si>
  <si>
    <t>GALEANO, AXEL LEONEL</t>
  </si>
  <si>
    <t>GALEANO, BELEN</t>
  </si>
  <si>
    <r>
      <rPr>
        <sz val="11"/>
        <color rgb="FF000000"/>
        <rFont val="Calibri"/>
        <family val="2"/>
      </rPr>
      <t>GALEANO, BELEN</t>
    </r>
    <r>
      <rPr>
        <sz val="11"/>
        <color rgb="FF000000"/>
        <rFont val="Calibri"/>
        <family val="2"/>
      </rPr>
      <t xml:space="preserve"> </t>
    </r>
  </si>
  <si>
    <t>GALEANO, BELEN NOEMÍ</t>
  </si>
  <si>
    <t>GALIAN LUCAS</t>
  </si>
  <si>
    <t>GALVAN MAURO</t>
  </si>
  <si>
    <t>GALVAN, DAIANA</t>
  </si>
  <si>
    <t>GALVAN, DAIANA MERCEDES</t>
  </si>
  <si>
    <t>GALVAN, MAURO</t>
  </si>
  <si>
    <t xml:space="preserve">GALVAN, MAURO </t>
  </si>
  <si>
    <t>GALVAN, PAOLA</t>
  </si>
  <si>
    <t>GAMBINO DANIEL</t>
  </si>
  <si>
    <t>GANAGLIA CARREIRO PATRICIO</t>
  </si>
  <si>
    <t>GAONA VACA , CHIARA</t>
  </si>
  <si>
    <t xml:space="preserve">GAONA VACA , CHIARA </t>
  </si>
  <si>
    <t>GAONA VACA, CHIARA</t>
  </si>
  <si>
    <t>GARAVENTA, AGUSTINA PAOLA</t>
  </si>
  <si>
    <t>GARCIA FELICIANO</t>
  </si>
  <si>
    <t>GARCIA FELICIANO RODRIGO</t>
  </si>
  <si>
    <t>GARCÍA FELICIANO RODRIGO</t>
  </si>
  <si>
    <t>GARCIA FELICIANO, RODRIGO</t>
  </si>
  <si>
    <t>GARCÍA GONZÁLEZ MICAELA SOLEDAD</t>
  </si>
  <si>
    <t>GARCÍA GONZÁLEZ, MICAELA SOLEDAD</t>
  </si>
  <si>
    <t>GARCIA LUDMILA</t>
  </si>
  <si>
    <t>GARCIA MICAELA</t>
  </si>
  <si>
    <t>GARCIA MICAELA LUCIANA</t>
  </si>
  <si>
    <t>GARCIA MONTAÑA, NOELIA</t>
  </si>
  <si>
    <t>GARCIA ORIANA</t>
  </si>
  <si>
    <t>GARCÍA, FELICIANO RODRIGO</t>
  </si>
  <si>
    <t>GARCIA, LUDMILA</t>
  </si>
  <si>
    <t>GARCIA, MICAELA</t>
  </si>
  <si>
    <r>
      <rPr>
        <sz val="11"/>
        <color rgb="FF000000"/>
        <rFont val="Calibri"/>
        <family val="2"/>
      </rPr>
      <t>GARCIA, MICAELA</t>
    </r>
    <r>
      <rPr>
        <sz val="11"/>
        <color rgb="FF000000"/>
        <rFont val="Calibri"/>
        <family val="2"/>
      </rPr>
      <t xml:space="preserve"> </t>
    </r>
  </si>
  <si>
    <t>GARCIA, ORIANA</t>
  </si>
  <si>
    <t>GARCÍA, ORIANA</t>
  </si>
  <si>
    <t xml:space="preserve">GARCIA, ORIANA </t>
  </si>
  <si>
    <t>GARCIA, PAULA</t>
  </si>
  <si>
    <t>GARCIA,FELCIANO</t>
  </si>
  <si>
    <t>GARDELLA MARÍA SILVINA</t>
  </si>
  <si>
    <t>GARDELLA, MARIA SILVINA</t>
  </si>
  <si>
    <t>GARÓFALO OSCAR EZEQUIEL</t>
  </si>
  <si>
    <t>GARÓFALO, OSCAR EZEQUIEL</t>
  </si>
  <si>
    <t>GAROSO ANA LAURA</t>
  </si>
  <si>
    <t>GAROSO, ANA LAURA</t>
  </si>
  <si>
    <t xml:space="preserve">GAROSO, ANA LAURA </t>
  </si>
  <si>
    <t>GARRIDO AGUSTINA</t>
  </si>
  <si>
    <t>GARRIDO, AGUSTINA</t>
  </si>
  <si>
    <t>GARRIGO AGUSTINA</t>
  </si>
  <si>
    <t>GARRIGO, AGUSTINA</t>
  </si>
  <si>
    <t>GARRIGO, AGUSTINA MARIELA</t>
  </si>
  <si>
    <t>GASPAR, YESICA</t>
  </si>
  <si>
    <t>GATTELET, GUADALUPE</t>
  </si>
  <si>
    <t>GATTELET, GUADAUPE</t>
  </si>
  <si>
    <t>GAUNA SEBASTIAN</t>
  </si>
  <si>
    <t>Gauna Sebastian Rodrigo</t>
  </si>
  <si>
    <t>GAUNA, BELEN</t>
  </si>
  <si>
    <t>POLI</t>
  </si>
  <si>
    <t>GAUNA, SEBASTIAN</t>
  </si>
  <si>
    <t>GAUNA, SEBASTIAN RODRIGO</t>
  </si>
  <si>
    <t>GAUNA, SEBASTIAN RODRIGO Rodrigo</t>
  </si>
  <si>
    <t>GAVELLO, ANABELA</t>
  </si>
  <si>
    <t>Ghiglione Franco Leonel</t>
  </si>
  <si>
    <t>GHIGLIONE, FRANCO LEONEL</t>
  </si>
  <si>
    <t>GIGENA NICOLE</t>
  </si>
  <si>
    <t>GIGENA, NICOLE</t>
  </si>
  <si>
    <t>Gimenez Eve</t>
  </si>
  <si>
    <t>Gimenez Evelyn</t>
  </si>
  <si>
    <t>Gimenez Eveyln</t>
  </si>
  <si>
    <t>GIMENEZ, EVE</t>
  </si>
  <si>
    <t>GIMENEZ, EVELYN</t>
  </si>
  <si>
    <t>GISELLA VERONICA MORRONE</t>
  </si>
  <si>
    <t>GODOY LUCIA</t>
  </si>
  <si>
    <t xml:space="preserve">Godoy lucia </t>
  </si>
  <si>
    <t>GODOY RODRIGUEZ, LUCIA</t>
  </si>
  <si>
    <t>GODOY YANINA</t>
  </si>
  <si>
    <t>godoy, Lucia</t>
  </si>
  <si>
    <t>GODOY, YANINA</t>
  </si>
  <si>
    <t>gomez</t>
  </si>
  <si>
    <t>Gomez Brisa</t>
  </si>
  <si>
    <t>GOMEZ CECILIA</t>
  </si>
  <si>
    <t>GÓMEZ CECILIA</t>
  </si>
  <si>
    <t>GOMEZ CLAUDIA</t>
  </si>
  <si>
    <t>GOMEZ SANTIAGO</t>
  </si>
  <si>
    <t>GÓMEZ VALERIA</t>
  </si>
  <si>
    <t>GOMEZ, ALBA ARACELI</t>
  </si>
  <si>
    <t>GOMEZ, BRISA</t>
  </si>
  <si>
    <t>GÓMEZ, CECILIA</t>
  </si>
  <si>
    <t>GOMEZ, CLAUDIA</t>
  </si>
  <si>
    <t>GÓMEZ, CLAUDIA</t>
  </si>
  <si>
    <t>GOMEZ, FACUNDO</t>
  </si>
  <si>
    <t>GOMEZ, FIORELLA</t>
  </si>
  <si>
    <t>GÓMEZ, FIORELLA MAGALI</t>
  </si>
  <si>
    <t>GOMEZ, IVANA NAIR</t>
  </si>
  <si>
    <t>GOMEZ, KATHERINE</t>
  </si>
  <si>
    <t>GÓMEZ, KATHERINE MELISA</t>
  </si>
  <si>
    <t>GOMEZ, MELISSA</t>
  </si>
  <si>
    <t>GOMEZ, RAMIRO JESUS</t>
  </si>
  <si>
    <t>GÓMEZ, SANTIAGO</t>
  </si>
  <si>
    <t>GOMEZ, VALERIA</t>
  </si>
  <si>
    <t>GÓMEZ, VALERIA</t>
  </si>
  <si>
    <t>GOMEZ,RAMIRO</t>
  </si>
  <si>
    <t>GOMEZ. CECILIA</t>
  </si>
  <si>
    <t>Goncalves Valentin</t>
  </si>
  <si>
    <t xml:space="preserve">Goncalves Valentin </t>
  </si>
  <si>
    <t>GONCALVES, VALENTIN</t>
  </si>
  <si>
    <t>GONZALES MARIA DELFINA</t>
  </si>
  <si>
    <t xml:space="preserve">GONZALES MONICA </t>
  </si>
  <si>
    <t>GONZÁLES NN</t>
  </si>
  <si>
    <t>GONZALES SANDRA</t>
  </si>
  <si>
    <t>GONZALES, MARÍA DELFINA</t>
  </si>
  <si>
    <t>GONZALEZ ALEJANDRA</t>
  </si>
  <si>
    <t>GONZALEZ CAROLINA</t>
  </si>
  <si>
    <t>GONZALEZ EZEQUIEL WALTER</t>
  </si>
  <si>
    <t>GONZALEZ INFRAN, ALEXANDER</t>
  </si>
  <si>
    <t>GONZALEZ INSFRAN ALEXANDER</t>
  </si>
  <si>
    <t>GONZALEZ INSFRAN, ALEXANDER</t>
  </si>
  <si>
    <t>GONZALEZ MAIDANA, KAMILA</t>
  </si>
  <si>
    <t>GONZALEZ MAIDANA, KAMILA RAQUEL</t>
  </si>
  <si>
    <t>GONZALEZ MARIN, SOFIA</t>
  </si>
  <si>
    <t>GONZÁLEZ MARIN, SOFIA ALEJANDRA</t>
  </si>
  <si>
    <t>GONZALEZ MARTINA</t>
  </si>
  <si>
    <t>GONZÁLEZ MELANIE</t>
  </si>
  <si>
    <t>GONZALEZ MICHAEL, MARTINA GALA</t>
  </si>
  <si>
    <t>GONZALEZ MICHEL, MARTINA</t>
  </si>
  <si>
    <t>Gonzalez Michel, Martina Gala</t>
  </si>
  <si>
    <t>GONZALEZ MONICA</t>
  </si>
  <si>
    <t>GONZALEZ ROCIO</t>
  </si>
  <si>
    <t>GONZALEZ SANDRA</t>
  </si>
  <si>
    <t>Gonzalez Torales Araceli</t>
  </si>
  <si>
    <t>GONZALEZ TORALES, ARACELI</t>
  </si>
  <si>
    <t>GONZÁLEZ, ALEJANDRA</t>
  </si>
  <si>
    <t>GONZALEZ, ARACELI</t>
  </si>
  <si>
    <t>GONZALEZ, CAROLINA ALEJANDRA</t>
  </si>
  <si>
    <t>GONZALEZ, EMANUEL</t>
  </si>
  <si>
    <t>GONZALEZ, IARA</t>
  </si>
  <si>
    <t>GONZALEZ, IARA EDITH</t>
  </si>
  <si>
    <r>
      <rPr>
        <sz val="11"/>
        <color rgb="FF000000"/>
        <rFont val="Calibri"/>
        <family val="2"/>
      </rPr>
      <t>GONZALEZ, IARA EDITH</t>
    </r>
    <r>
      <rPr>
        <sz val="11"/>
        <color rgb="FF000000"/>
        <rFont val="Calibri"/>
        <family val="2"/>
      </rPr>
      <t xml:space="preserve"> </t>
    </r>
  </si>
  <si>
    <t>GONZALEZ, INFRAN ALEXANDER</t>
  </si>
  <si>
    <t>GONZALEZ, INSFRAN ALEXANDER</t>
  </si>
  <si>
    <t>GONZALEZ, KAMILA</t>
  </si>
  <si>
    <t>GONZALEZ, MARIANO</t>
  </si>
  <si>
    <t>GONZALEZ, MÓNICA</t>
  </si>
  <si>
    <t xml:space="preserve">Gonzalez, Monica </t>
  </si>
  <si>
    <t>GONZALEZ, NOEMI</t>
  </si>
  <si>
    <t>GONZALEZ, NOEMÍ NORMA</t>
  </si>
  <si>
    <t>GONZALEZ, ROCIO</t>
  </si>
  <si>
    <t>Gonzalez, Rocio Macarena</t>
  </si>
  <si>
    <t>GONZALEZ, ROCIO MACARENA CELES</t>
  </si>
  <si>
    <t>GONZALEZ, ROCIO MACARENA CELES Macarena</t>
  </si>
  <si>
    <t>GONZALEZ, SANDRA</t>
  </si>
  <si>
    <t xml:space="preserve">Gonzalez, Sandra </t>
  </si>
  <si>
    <t>GONZALEZ, SANTIAGO DANIEL</t>
  </si>
  <si>
    <t>GONZALEZ, SOFIA</t>
  </si>
  <si>
    <t>GONZALEZ, SOFÍA</t>
  </si>
  <si>
    <t>GONZALEZ, WALTER EZEQUIEL</t>
  </si>
  <si>
    <t>GORGA MELINA DANIELA</t>
  </si>
  <si>
    <t>GORGA, MELINA</t>
  </si>
  <si>
    <t>GOROSO, ANA LAURA</t>
  </si>
  <si>
    <t>GRATEROL GIL MAXIMILIANO</t>
  </si>
  <si>
    <t>GRATEROL GIL, MAXROBERTH</t>
  </si>
  <si>
    <t>GRATEROL GIL, MAXROBERTH JOSUE</t>
  </si>
  <si>
    <t>GRECO VENTURA, NAHUEN</t>
  </si>
  <si>
    <t>GRECO VENTURA, NEHUEN</t>
  </si>
  <si>
    <t>GRECO, JONATHAN ROBERTO</t>
  </si>
  <si>
    <t>GRECO, NEHUEN</t>
  </si>
  <si>
    <t>Greta Rojas</t>
  </si>
  <si>
    <t>GRILLO, NICOLAS</t>
  </si>
  <si>
    <t>GUAGLIANONE MATÍAS</t>
  </si>
  <si>
    <t>Guaglianone, Matías</t>
  </si>
  <si>
    <t>Guaymas Gabriel</t>
  </si>
  <si>
    <t xml:space="preserve">Guaymas Gabriel </t>
  </si>
  <si>
    <t>GUAYMAS, GABRIEL</t>
  </si>
  <si>
    <t>GUAYMAS, GABRIEL GONZALO</t>
  </si>
  <si>
    <t>GUERICK, LAUTARO</t>
  </si>
  <si>
    <t>GUERRA DAIANA</t>
  </si>
  <si>
    <t xml:space="preserve">GUERRA DAIANA </t>
  </si>
  <si>
    <t>GUERRA HIDALGO MARIA FLORENCIA</t>
  </si>
  <si>
    <t>GUERRA HIDALGO, MARIA</t>
  </si>
  <si>
    <t>GUERRA HIDALGO, MARIA FLORENCIA</t>
  </si>
  <si>
    <t>GUERRA ROCIO AGOSTINA</t>
  </si>
  <si>
    <t>GUERRA, DAIANA</t>
  </si>
  <si>
    <t>GUERRA, DAIANA JACQUELINE</t>
  </si>
  <si>
    <t xml:space="preserve">GUERRA, DAIANA JACQUELINE </t>
  </si>
  <si>
    <t>GUERRA, HIDALGO MARIA FLORENCIA</t>
  </si>
  <si>
    <t>GUERRA, ROCIO</t>
  </si>
  <si>
    <t>GUERRY</t>
  </si>
  <si>
    <t>GUERRY LUCIANA</t>
  </si>
  <si>
    <t>Guizado Centeno Aydee</t>
  </si>
  <si>
    <t>GURECKI, LAUTARO</t>
  </si>
  <si>
    <r>
      <rPr>
        <sz val="11"/>
        <color rgb="FF000000"/>
        <rFont val="Calibri"/>
        <family val="2"/>
      </rPr>
      <t>GURECKI, LAUTARO</t>
    </r>
    <r>
      <rPr>
        <sz val="11"/>
        <color rgb="FF000000"/>
        <rFont val="Calibri"/>
        <family val="2"/>
      </rPr>
      <t xml:space="preserve"> </t>
    </r>
  </si>
  <si>
    <t>GUTIERREZ FACUNDO</t>
  </si>
  <si>
    <t>GUTIERREZ GUEVARA, ADRIAN EZEQUIEL</t>
  </si>
  <si>
    <t>GUTIERREZ NADIA NAHIR</t>
  </si>
  <si>
    <t>Gutierrez Natalia</t>
  </si>
  <si>
    <t xml:space="preserve">Gutierrez Natalia </t>
  </si>
  <si>
    <t>GUTIERREZ, ADRIAN</t>
  </si>
  <si>
    <t>GUTIERREZ, AMELIA</t>
  </si>
  <si>
    <r>
      <rPr>
        <sz val="11"/>
        <color rgb="FF000000"/>
        <rFont val="Calibri"/>
        <family val="2"/>
      </rPr>
      <t>GUTIERREZ, BETINA</t>
    </r>
    <r>
      <rPr>
        <sz val="11"/>
        <color rgb="FF000000"/>
        <rFont val="Calibri"/>
        <family val="2"/>
      </rPr>
      <t xml:space="preserve"> </t>
    </r>
  </si>
  <si>
    <r>
      <rPr>
        <sz val="11"/>
        <color rgb="FF000000"/>
        <rFont val="Calibri"/>
        <family val="2"/>
      </rPr>
      <t>GUTIERREZ, FACUNDO</t>
    </r>
    <r>
      <rPr>
        <sz val="11"/>
        <color rgb="FF000000"/>
        <rFont val="Calibri"/>
        <family val="2"/>
      </rPr>
      <t xml:space="preserve"> </t>
    </r>
  </si>
  <si>
    <t>GUTIERREZ, FLORENCIA MICAELA</t>
  </si>
  <si>
    <t>GUTIERREZ, KARINA GLORIA</t>
  </si>
  <si>
    <t>GUTIERREZ, NADIA</t>
  </si>
  <si>
    <r>
      <rPr>
        <sz val="11"/>
        <color rgb="FF000000"/>
        <rFont val="Calibri"/>
        <family val="2"/>
      </rPr>
      <t>GUTIERREZ, NADIA NAHIR</t>
    </r>
    <r>
      <rPr>
        <sz val="11"/>
        <color rgb="FF000000"/>
        <rFont val="Calibri"/>
        <family val="2"/>
      </rPr>
      <t xml:space="preserve"> </t>
    </r>
  </si>
  <si>
    <t>GUTIERREZ, NATALIA</t>
  </si>
  <si>
    <t>GUTIERREZ, NATALIA SOLEDAD</t>
  </si>
  <si>
    <t>GUZMAN VALENTINA</t>
  </si>
  <si>
    <t>GUZMÁN, FERNANDO</t>
  </si>
  <si>
    <t>GUZMAN, VALENTINA</t>
  </si>
  <si>
    <t>Guzmán, Valentina</t>
  </si>
  <si>
    <t>HATAMELH, FATIMA</t>
  </si>
  <si>
    <t>HATAMELH, FÁTIMA</t>
  </si>
  <si>
    <t>Hatamleh Fatima</t>
  </si>
  <si>
    <t xml:space="preserve">HATAMLEH FATIMA </t>
  </si>
  <si>
    <t>HATAMLEH, FATIMA</t>
  </si>
  <si>
    <t>HATMLEH, FATIMA</t>
  </si>
  <si>
    <t>HEREDIA, MATÍAS</t>
  </si>
  <si>
    <t>HERMANN, ROXANA</t>
  </si>
  <si>
    <t>Hernandez Brenda</t>
  </si>
  <si>
    <t>Hernandez, Brenda</t>
  </si>
  <si>
    <t>HERNANDEZ, MAURO</t>
  </si>
  <si>
    <t>HERNANDEZ, MELISA</t>
  </si>
  <si>
    <t>HERNER, BIANCA</t>
  </si>
  <si>
    <t>HERRERA GERMAN</t>
  </si>
  <si>
    <t>HERRERA GERMAN HERNANDO</t>
  </si>
  <si>
    <t>HERRERA, GERMAN</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</si>
  <si>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</si>
  <si>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</si>
  <si>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</si>
  <si>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</si>
  <si>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</si>
  <si>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</si>
  <si>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</si>
  <si>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</si>
  <si>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</si>
  <si>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</si>
  <si>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</si>
  <si>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</si>
  <si>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t>
  </si>
  <si>
    <r>
      <rPr>
        <sz val="11"/>
        <color rgb="FF000000"/>
        <rFont val="Calibri"/>
        <family val="2"/>
      </rPr>
      <t>IBARRA, RAMON</t>
    </r>
    <r>
      <rPr>
        <sz val="11"/>
        <color rgb="FF000000"/>
        <rFont val="Calibri"/>
        <family val="2"/>
      </rPr>
      <t xml:space="preserve"> </t>
    </r>
  </si>
  <si>
    <t>IBARRA, RAMON ALBERTO</t>
  </si>
  <si>
    <t>IBARRA, VERONICA</t>
  </si>
  <si>
    <t>IBARRA, VERONICA GABRIELA</t>
  </si>
  <si>
    <t>IERACI FLORENCIA</t>
  </si>
  <si>
    <r>
      <rPr>
        <sz val="11"/>
        <color rgb="FF000000"/>
        <rFont val="Calibri"/>
        <family val="2"/>
      </rPr>
      <t>IERACI, FLORENCIA</t>
    </r>
    <r>
      <rPr>
        <sz val="11"/>
        <color rgb="FF000000"/>
        <rFont val="Calibri"/>
        <family val="2"/>
      </rPr>
      <t xml:space="preserve"> </t>
    </r>
  </si>
  <si>
    <t>INDA, LAUTARO</t>
  </si>
  <si>
    <t>INFANTE JONATHAN</t>
  </si>
  <si>
    <t>INFANTE, JONATHAN</t>
  </si>
  <si>
    <t>INFRAN ALEXANDER GONZALEZ</t>
  </si>
  <si>
    <t>INFRAN, ALEXANDER</t>
  </si>
  <si>
    <t>ISLEÑO</t>
  </si>
  <si>
    <t>ISLEÑO LUCAS</t>
  </si>
  <si>
    <t>IURATO, MICAELA</t>
  </si>
  <si>
    <t>JALIFF, CRISTIAN</t>
  </si>
  <si>
    <t>JAMAL DOMINGUEZ</t>
  </si>
  <si>
    <t>JONSEN, YANINA</t>
  </si>
  <si>
    <r>
      <rPr>
        <sz val="11"/>
        <color rgb="FF000000"/>
        <rFont val="Calibri"/>
        <family val="2"/>
      </rPr>
      <t>JONSEN, YANINA</t>
    </r>
    <r>
      <rPr>
        <sz val="11"/>
        <color rgb="FF000000"/>
        <rFont val="Calibri"/>
        <family val="2"/>
      </rPr>
      <t xml:space="preserve"> </t>
    </r>
  </si>
  <si>
    <t>JUAN MONTIEL</t>
  </si>
  <si>
    <t>JULIAN CAMINO</t>
  </si>
  <si>
    <t>JUNCO, CECILIA</t>
  </si>
  <si>
    <r>
      <rPr>
        <sz val="11"/>
        <color rgb="FF000000"/>
        <rFont val="Calibri"/>
        <family val="2"/>
      </rPr>
      <t>JUNOY</t>
    </r>
    <r>
      <rPr>
        <sz val="11"/>
        <color rgb="FF000000"/>
        <rFont val="Calibri"/>
        <family val="2"/>
      </rPr>
      <t xml:space="preserve"> </t>
    </r>
  </si>
  <si>
    <t>JUNOY FERNANDO</t>
  </si>
  <si>
    <t>JUNOY, FERNANDO</t>
  </si>
  <si>
    <t>KAREN LOPEZ</t>
  </si>
  <si>
    <t>Karen Stephanie Wagner</t>
  </si>
  <si>
    <t>Karschacoff Nahir</t>
  </si>
  <si>
    <t>Karschacoff, Nahir</t>
  </si>
  <si>
    <r>
      <rPr>
        <sz val="11"/>
        <color rgb="FF000000"/>
        <rFont val="Calibri"/>
        <family val="2"/>
      </rPr>
      <t>KARSCHACOFF, NAHIR</t>
    </r>
    <r>
      <rPr>
        <sz val="11"/>
        <color rgb="FF000000"/>
        <rFont val="Calibri"/>
        <family val="2"/>
      </rPr>
      <t xml:space="preserve"> </t>
    </r>
  </si>
  <si>
    <t>KESIB, YASMIN</t>
  </si>
  <si>
    <t>KESIB, YASMIN MARIEL</t>
  </si>
  <si>
    <t>KOLAK, MIRKO</t>
  </si>
  <si>
    <t>Kolisnyk Sofia Belén</t>
  </si>
  <si>
    <t>Kolisnyk, Sofia Belen</t>
  </si>
  <si>
    <t>KOSELSTEIN, SILVINA</t>
  </si>
  <si>
    <r>
      <rPr>
        <sz val="11"/>
        <color rgb="FF000000"/>
        <rFont val="Calibri"/>
        <family val="2"/>
      </rPr>
      <t>KOSELSTEIN, SILVINA</t>
    </r>
    <r>
      <rPr>
        <sz val="11"/>
        <color rgb="FF000000"/>
        <rFont val="Calibri"/>
        <family val="2"/>
      </rPr>
      <t xml:space="preserve"> </t>
    </r>
  </si>
  <si>
    <t>KOSELSTEIN, SILVINA EDITH</t>
  </si>
  <si>
    <t>KOSELTEIN, SILVINA EDITH</t>
  </si>
  <si>
    <t>KOTELCHUCK, MIRIAM ELIZABETH</t>
  </si>
  <si>
    <t>KRAKOVSKY FLORENCIA</t>
  </si>
  <si>
    <t>KRAKOVSKY MARTINA</t>
  </si>
  <si>
    <t xml:space="preserve">KRAKOVSKY, FLORENCIA </t>
  </si>
  <si>
    <t>KRAKOVSKY, FLORENCIA ABRIL</t>
  </si>
  <si>
    <t>KRAKOVSKY, MARTINA</t>
  </si>
  <si>
    <r>
      <rPr>
        <sz val="11"/>
        <color rgb="FF000000"/>
        <rFont val="Calibri"/>
        <family val="2"/>
      </rPr>
      <t>KRAKOVSKY, MARTINA</t>
    </r>
    <r>
      <rPr>
        <sz val="11"/>
        <color rgb="FF000000"/>
        <rFont val="Calibri"/>
        <family val="2"/>
      </rPr>
      <t xml:space="preserve"> </t>
    </r>
  </si>
  <si>
    <t>KRAKOVSY FLORENCIA</t>
  </si>
  <si>
    <t>KUMICHEL, CANDELA</t>
  </si>
  <si>
    <t xml:space="preserve">Kumichel, Candela </t>
  </si>
  <si>
    <t>LACABA, CAMILA</t>
  </si>
  <si>
    <t>LAMAS MENDEZ, DIANA</t>
  </si>
  <si>
    <t>LAMBOGLIA, LAUTARO MARTIN</t>
  </si>
  <si>
    <t>LAMELA AGUSTIN</t>
  </si>
  <si>
    <r>
      <rPr>
        <sz val="11"/>
        <color rgb="FF000000"/>
        <rFont val="Calibri"/>
        <family val="2"/>
      </rPr>
      <t>LAMELA AGUSTIN</t>
    </r>
    <r>
      <rPr>
        <sz val="11"/>
        <color rgb="FF000000"/>
        <rFont val="Calibri"/>
        <family val="2"/>
      </rPr>
      <t xml:space="preserve"> </t>
    </r>
  </si>
  <si>
    <t>LAMELA, AGUSTIN</t>
  </si>
  <si>
    <t>LARDAPIDE CECILIA</t>
  </si>
  <si>
    <t>LARDAPIDE, CECILIA</t>
  </si>
  <si>
    <r>
      <rPr>
        <sz val="11"/>
        <color rgb="FF000000"/>
        <rFont val="Calibri"/>
        <family val="2"/>
      </rPr>
      <t>LARDAPIDE, CECILIA</t>
    </r>
    <r>
      <rPr>
        <sz val="11"/>
        <color rgb="FF000000"/>
        <rFont val="Calibri"/>
        <family val="2"/>
      </rPr>
      <t xml:space="preserve"> </t>
    </r>
  </si>
  <si>
    <t>LARREA, YÉSICA</t>
  </si>
  <si>
    <t>LARREA, YESICA LUCIA</t>
  </si>
  <si>
    <t>LAUDANI TAMARA</t>
  </si>
  <si>
    <t>LAXAGUEBORDE, BRIAN</t>
  </si>
  <si>
    <t>LAZARTE, ABRIL</t>
  </si>
  <si>
    <t>LAZARTE, ABRIL AGUSTINA</t>
  </si>
  <si>
    <t>LEGUINA MARCELO</t>
  </si>
  <si>
    <t>LEGUINA MARCELO DANIEL</t>
  </si>
  <si>
    <t>LEGUINA. DANIEL</t>
  </si>
  <si>
    <t>LEGUINA.DANIEL</t>
  </si>
  <si>
    <t>LEGUIZAMON, FABIANA</t>
  </si>
  <si>
    <t>LEGUIZAMON, KARINA</t>
  </si>
  <si>
    <t>LEGUIZAMÓN, KARINA</t>
  </si>
  <si>
    <r>
      <rPr>
        <sz val="11"/>
        <color rgb="FF000000"/>
        <rFont val="Calibri"/>
        <family val="2"/>
      </rPr>
      <t>LEGUIZAMON, KARINA</t>
    </r>
    <r>
      <rPr>
        <sz val="11"/>
        <color rgb="FF000000"/>
        <rFont val="Calibri"/>
        <family val="2"/>
      </rPr>
      <t xml:space="preserve"> </t>
    </r>
  </si>
  <si>
    <t>LEIVA RAMIREZ CAROLINA</t>
  </si>
  <si>
    <t>Leiva Ramirez, Carolina</t>
  </si>
  <si>
    <t>LEIVA RAMIREZ, CAROLINA NOEMI</t>
  </si>
  <si>
    <t>LEIVA, CAROLINA</t>
  </si>
  <si>
    <t xml:space="preserve">LEIVA, CAROLINA </t>
  </si>
  <si>
    <t>LEIVA, MARIA NATALIA</t>
  </si>
  <si>
    <t>LEIVAS LUDMILA</t>
  </si>
  <si>
    <t>LEIVAS, LUDMILA</t>
  </si>
  <si>
    <t>LEIVAS, LUDMILA MAGALI</t>
  </si>
  <si>
    <t>LEMA ALEX</t>
  </si>
  <si>
    <t>LEMA ALEX IVAN</t>
  </si>
  <si>
    <t>LEMA ALEX IVÁN</t>
  </si>
  <si>
    <t>Lema, Alex Iván</t>
  </si>
  <si>
    <t>LENCINA</t>
  </si>
  <si>
    <t>LENCINA CRISTINA</t>
  </si>
  <si>
    <t>Lencina, Cristina.</t>
  </si>
  <si>
    <t>LENCINAS CAMILA</t>
  </si>
  <si>
    <t>LEON, FLORENCIA</t>
  </si>
  <si>
    <t>LIBEROV, DARIO GABRIEL</t>
  </si>
  <si>
    <t>LICHOWID</t>
  </si>
  <si>
    <t>LICHOWID FLORENCIA</t>
  </si>
  <si>
    <t xml:space="preserve">LICHOWID FLORENCIA </t>
  </si>
  <si>
    <t>LICHOWID, FLORENCIA</t>
  </si>
  <si>
    <t>LICHOWID, FLORENCIA BELEN</t>
  </si>
  <si>
    <t>LIGERON, SAMIRA</t>
  </si>
  <si>
    <t>LIGRESTI MAIRA</t>
  </si>
  <si>
    <t>LIGRESTI, MAIRA</t>
  </si>
  <si>
    <t>LIMA MARCELO</t>
  </si>
  <si>
    <t>Lima Marcelo Alejandro</t>
  </si>
  <si>
    <t>LIMA, ADRIANA</t>
  </si>
  <si>
    <t>LIMA, MARCELO</t>
  </si>
  <si>
    <t>LIMA, MARCELO ALEJANDRO</t>
  </si>
  <si>
    <t>LIMA, MARCELO ALEJANDRO Alejandro</t>
  </si>
  <si>
    <t>Linos Dolores del Carmen</t>
  </si>
  <si>
    <t>LINOS, DOLORES</t>
  </si>
  <si>
    <t xml:space="preserve">LINOS, DOLORES </t>
  </si>
  <si>
    <t>LINOS, DOLORES DEL CARMEN</t>
  </si>
  <si>
    <t>LOBO CARLOS</t>
  </si>
  <si>
    <t>LOBOS LUCRECIA</t>
  </si>
  <si>
    <r>
      <rPr>
        <sz val="11"/>
        <color rgb="FF000000"/>
        <rFont val="Calibri"/>
        <family val="2"/>
      </rPr>
      <t>LOBOS LUCRECIA</t>
    </r>
    <r>
      <rPr>
        <sz val="11"/>
        <color rgb="FF000000"/>
        <rFont val="Calibri"/>
        <family val="2"/>
      </rPr>
      <t xml:space="preserve"> </t>
    </r>
  </si>
  <si>
    <t>LOBOS NATALIA</t>
  </si>
  <si>
    <t xml:space="preserve">LOBOS NATALIA </t>
  </si>
  <si>
    <t>LOBOS, LUCRECIA</t>
  </si>
  <si>
    <t>LOBOS, NATALIA</t>
  </si>
  <si>
    <t>LOBOS, NATALIA NOEMÍ</t>
  </si>
  <si>
    <t>LOBOS,LUCRECIA</t>
  </si>
  <si>
    <t>LONGARETTI, CAROLINA</t>
  </si>
  <si>
    <t>LOPEZ CAMILA</t>
  </si>
  <si>
    <r>
      <rPr>
        <sz val="11"/>
        <color rgb="FF000000"/>
        <rFont val="Calibri"/>
        <family val="2"/>
      </rPr>
      <t>LOPEZ CAMILA</t>
    </r>
    <r>
      <rPr>
        <sz val="11"/>
        <color rgb="FF000000"/>
        <rFont val="Calibri"/>
        <family val="2"/>
      </rPr>
      <t xml:space="preserve"> </t>
    </r>
  </si>
  <si>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</si>
  <si>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</si>
  <si>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</si>
  <si>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</si>
  <si>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</si>
  <si>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</si>
  <si>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</si>
  <si>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</si>
  <si>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</si>
  <si>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</si>
  <si>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</si>
  <si>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</si>
  <si>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</si>
  <si>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</si>
  <si>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</si>
  <si>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</si>
  <si>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r>
      <rPr>
        <sz val="11"/>
        <color rgb="FF000000"/>
        <rFont val="Calibri"/>
        <family val="2"/>
      </rPr>
      <t>LORENA RAMOS</t>
    </r>
    <r>
      <rPr>
        <sz val="11"/>
        <color rgb="FF000000"/>
        <rFont val="Calibri"/>
        <family val="2"/>
      </rPr>
      <t xml:space="preserve"> </t>
    </r>
  </si>
  <si>
    <r>
      <rPr>
        <sz val="11"/>
        <color rgb="FF000000"/>
        <rFont val="Calibri"/>
        <family val="2"/>
      </rPr>
      <t>LUCA</t>
    </r>
    <r>
      <rPr>
        <sz val="11"/>
        <color rgb="FF000000"/>
        <rFont val="Calibri"/>
        <family val="2"/>
      </rPr>
      <t xml:space="preserve">  </t>
    </r>
    <r>
      <rPr>
        <sz val="11"/>
        <color rgb="FF000000"/>
        <rFont val="Calibri"/>
        <family val="2"/>
      </rPr>
      <t>CIAPPINI</t>
    </r>
  </si>
  <si>
    <t>LUCA CIAPPINI</t>
  </si>
  <si>
    <t>LUCA VIDAL</t>
  </si>
  <si>
    <t>LUCIA GODOY RODRIGUEZ</t>
  </si>
  <si>
    <t>Lucía Rodriguez</t>
  </si>
  <si>
    <t>Lucila Siciliano</t>
  </si>
  <si>
    <t>LUJAN, ALDANA NOELIA</t>
  </si>
  <si>
    <t>LURASCHI IGNACIO</t>
  </si>
  <si>
    <t>LURASCHI, IGNACIO</t>
  </si>
  <si>
    <t>LUZZI AGUSTIN</t>
  </si>
  <si>
    <t>LUZZI, AGUSTIN</t>
  </si>
  <si>
    <t>LUZZI,AGUSTIN</t>
  </si>
  <si>
    <t>MACIAS, SANTIAGO</t>
  </si>
  <si>
    <t>Maciel Jorge</t>
  </si>
  <si>
    <t xml:space="preserve">Maciel Jorge </t>
  </si>
  <si>
    <t>MACIEL, JORGE</t>
  </si>
  <si>
    <t>MACIEL. JORGE</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</si>
  <si>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</si>
  <si>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</si>
  <si>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</si>
  <si>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</si>
  <si>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</si>
  <si>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</si>
  <si>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</si>
  <si>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</si>
  <si>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</si>
  <si>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</si>
  <si>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</si>
  <si>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GASTON</t>
  </si>
  <si>
    <t>MANRIQUE, GASTÓN</t>
  </si>
  <si>
    <t>MARASCO</t>
  </si>
  <si>
    <r>
      <rPr>
        <sz val="11"/>
        <color rgb="FF000000"/>
        <rFont val="Calibri"/>
        <family val="2"/>
      </rPr>
      <t>MARASCO, MAXIMO</t>
    </r>
    <r>
      <rPr>
        <sz val="11"/>
        <color rgb="FF000000"/>
        <rFont val="Calibri"/>
        <family val="2"/>
      </rPr>
      <t xml:space="preserve"> </t>
    </r>
  </si>
  <si>
    <t>MARCOS TELLENDIN</t>
  </si>
  <si>
    <t>MARDIROSSIAN, MARIA</t>
  </si>
  <si>
    <t>Maria Belen Martinez Quintana</t>
  </si>
  <si>
    <t>MARIA DIAZ</t>
  </si>
  <si>
    <t>MARIA MILAGROS TRIPICCHIO</t>
  </si>
  <si>
    <t>MARIA TORELLI</t>
  </si>
  <si>
    <t>MARIANELA VILCHES</t>
  </si>
  <si>
    <r>
      <rPr>
        <sz val="11"/>
        <color rgb="FF000000"/>
        <rFont val="Calibri"/>
        <family val="2"/>
      </rPr>
      <t>MARINA PIPA SILVA</t>
    </r>
    <r>
      <rPr>
        <sz val="11"/>
        <color rgb="FF000000"/>
        <rFont val="Calibri"/>
        <family val="2"/>
      </rPr>
      <t xml:space="preserve"> </t>
    </r>
  </si>
  <si>
    <t>MARINERO, LUCIANA</t>
  </si>
  <si>
    <t>MARONE FRANCO ALESSANDRO</t>
  </si>
  <si>
    <t>MARONE, FRANCO</t>
  </si>
  <si>
    <t>MARQUEZ, BRIAN</t>
  </si>
  <si>
    <t>MARTÍN, AYRTON</t>
  </si>
  <si>
    <t>MARTIN, NOELIA</t>
  </si>
  <si>
    <t>MARTIN, NOELIA ALEJANDRA</t>
  </si>
  <si>
    <t>MARTINEZ ASTOLFO, JUAN</t>
  </si>
  <si>
    <t>MARTINEZ COHEN, BELEN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</si>
  <si>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</si>
  <si>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</si>
  <si>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</si>
  <si>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</si>
  <si>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</si>
  <si>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</si>
  <si>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</si>
  <si>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</si>
  <si>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</si>
  <si>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MARTINEZ RAQUEL</t>
  </si>
  <si>
    <t>Martinez Raquel Fernanda</t>
  </si>
  <si>
    <t>Martinez, Alvaro</t>
  </si>
  <si>
    <t>MARTÍNEZ, ALVARO MAXIMILIANO</t>
  </si>
  <si>
    <t>MARTÍNEZ, ÁLVARO MAXIMILIANO</t>
  </si>
  <si>
    <t>MARTINEZ, BELEN</t>
  </si>
  <si>
    <t>MARTINEZ, DAIANA</t>
  </si>
  <si>
    <t>MARTINEZ, DAIANA ELIZABETH</t>
  </si>
  <si>
    <t>MARTINEZ, DIEGO</t>
  </si>
  <si>
    <t>MARTÍNEZ, DYLAN</t>
  </si>
  <si>
    <t>MARTÍNEZ, JIMENA GISELLE</t>
  </si>
  <si>
    <t>MARTINEZ, MARIANELA</t>
  </si>
  <si>
    <t>MARTINEZ, RAQUEL FERNANDA</t>
  </si>
  <si>
    <t>MARTINEZ, RAQUEL FERNANDA Fernanda</t>
  </si>
  <si>
    <t>MAS, MIRTA</t>
  </si>
  <si>
    <t>MASCAREÑO GALEANO, QUIMEY NAHUEL</t>
  </si>
  <si>
    <t>MASCAREÑO, QUIMEY</t>
  </si>
  <si>
    <t>MASTROVICENZO PABLO</t>
  </si>
  <si>
    <t>Mastrovicenzo, Pablo</t>
  </si>
  <si>
    <t>MASTROVINCENZO PABLO</t>
  </si>
  <si>
    <t>MAXIMILIANO MARTINEZ</t>
  </si>
  <si>
    <t>MAZZELA BRIAN</t>
  </si>
  <si>
    <t>MAZZELLA BRIAN</t>
  </si>
  <si>
    <t>MAZZEO, FRANCO</t>
  </si>
  <si>
    <t>Mejia Gabriel</t>
  </si>
  <si>
    <t>Mejia, Gabriel</t>
  </si>
  <si>
    <r>
      <rPr>
        <sz val="11"/>
        <color rgb="FF000000"/>
        <rFont val="Calibri"/>
        <family val="2"/>
      </rPr>
      <t>MEJIA, GABRIEL</t>
    </r>
    <r>
      <rPr>
        <sz val="11"/>
        <color rgb="FF000000"/>
        <rFont val="Calibri"/>
        <family val="2"/>
      </rPr>
      <t xml:space="preserve"> </t>
    </r>
  </si>
  <si>
    <t>MELANIE SANCHEZ</t>
  </si>
  <si>
    <t>MELISA PEREYRA</t>
  </si>
  <si>
    <t>MENDIETA, MATIAS</t>
  </si>
  <si>
    <t>MENDIETA, MATIAS EZEQUIEL</t>
  </si>
  <si>
    <t>MENDIETTA, EZEQUIEL</t>
  </si>
  <si>
    <t>MENDOZA JUAN</t>
  </si>
  <si>
    <t>Mendoza Karina Laura</t>
  </si>
  <si>
    <t>MENDOZA NICOLAS</t>
  </si>
  <si>
    <t xml:space="preserve">MENDOZA, JUAN BAUTISTA  </t>
  </si>
  <si>
    <t>MENDOZA, KARINA</t>
  </si>
  <si>
    <t>MENDOZA, KARINA LAURA</t>
  </si>
  <si>
    <t>MENDOZA, NICOLÁS</t>
  </si>
  <si>
    <t>MENESES, WALTER</t>
  </si>
  <si>
    <t>MENGHI ,  Carla</t>
  </si>
  <si>
    <t>MENGHI , Carla</t>
  </si>
  <si>
    <t xml:space="preserve">MENGHI, CARLA </t>
  </si>
  <si>
    <t>MENGHI, CARLA ANTONELLA</t>
  </si>
  <si>
    <t>MERELES, FRANCO NAHUEL</t>
  </si>
  <si>
    <t>MERUBIA BRUNO</t>
  </si>
  <si>
    <t>MERUVIA BRUNO</t>
  </si>
  <si>
    <t>MERUVIA, BRUNO</t>
  </si>
  <si>
    <t>MERZARIO CABALLERO SILVIA</t>
  </si>
  <si>
    <t>MERZARIO, SILVIA</t>
  </si>
  <si>
    <t>MEZA ROMINA</t>
  </si>
  <si>
    <t>MEZA. ROMINA</t>
  </si>
  <si>
    <t>MICAELA DIAZ LEIS</t>
  </si>
  <si>
    <t>MICAELA LEIS</t>
  </si>
  <si>
    <t>MIGLIONI, ANDREA MARIA</t>
  </si>
  <si>
    <t>MILLAN, NANCY</t>
  </si>
  <si>
    <t>MILLAN, NANCY YANINA</t>
  </si>
  <si>
    <t>MILONE BECAAS, FRANCO</t>
  </si>
  <si>
    <t>MIÑO JOSE HERNAN</t>
  </si>
  <si>
    <t>MIÑO, JOSE HERNAN</t>
  </si>
  <si>
    <t>MIRANDA JAZMIN</t>
  </si>
  <si>
    <t xml:space="preserve">MIRANDA JAZMIN </t>
  </si>
  <si>
    <t>MIRANDA, JAZMIN</t>
  </si>
  <si>
    <t>MIRANDA, JAZMIN ANTONELLA</t>
  </si>
  <si>
    <t>MIRANDA, JAZMÍN ANTONELLA</t>
  </si>
  <si>
    <t>MIRANDA, PABLO</t>
  </si>
  <si>
    <t>MIRANDA, PABLO EZEQUIEL</t>
  </si>
  <si>
    <r>
      <rPr>
        <sz val="11"/>
        <color rgb="FF000000"/>
        <rFont val="Calibri"/>
        <family val="2"/>
      </rPr>
      <t>MOLIN, WARA</t>
    </r>
    <r>
      <rPr>
        <sz val="11"/>
        <color rgb="FF000000"/>
        <rFont val="Calibri"/>
        <family val="2"/>
      </rPr>
      <t xml:space="preserve"> </t>
    </r>
  </si>
  <si>
    <t>MOLINA HERNANDEZ, CAMILA ORIANA</t>
  </si>
  <si>
    <t>MOLINAS, ANALIA</t>
  </si>
  <si>
    <t>MONICA, GONZALEZ</t>
  </si>
  <si>
    <t>MONSALVO, SOFIA</t>
  </si>
  <si>
    <t>MONTERO RIOS, MELANIE</t>
  </si>
  <si>
    <t>MONTERO RÍOS, MELANIE</t>
  </si>
  <si>
    <t>MONTERO RIOS, MELANIE SOL</t>
  </si>
  <si>
    <t>MONTERO, MAYRA</t>
  </si>
  <si>
    <t>MONTEROS SELENE</t>
  </si>
  <si>
    <t>MONTEROS SELENE ORNELLA</t>
  </si>
  <si>
    <t>MONTEROS, SELENE</t>
  </si>
  <si>
    <t>MONTI, AGUSTIN</t>
  </si>
  <si>
    <t>MONTIEL , Noeilia</t>
  </si>
  <si>
    <t>MONTIEL , Noelia</t>
  </si>
  <si>
    <t>MONTIEL JUAN</t>
  </si>
  <si>
    <t xml:space="preserve">MONTIEL NOELIA </t>
  </si>
  <si>
    <t>MONTIEL, JUAN</t>
  </si>
  <si>
    <t>MONTIEL, JUAN RAMON</t>
  </si>
  <si>
    <t>MONTIEL, SARA</t>
  </si>
  <si>
    <t>MONTIEL,Noelia</t>
  </si>
  <si>
    <t>MONTUORO NICOLAS</t>
  </si>
  <si>
    <t>MONZALVO SOFIA</t>
  </si>
  <si>
    <t>Monzalvo, Sofia Abigail</t>
  </si>
  <si>
    <t>MONZALVO, SOFÍA ABIGAIL</t>
  </si>
  <si>
    <t>MONZON, NORA</t>
  </si>
  <si>
    <t>MONZON, NORA VIVIANA</t>
  </si>
  <si>
    <t>MORALES DARIO</t>
  </si>
  <si>
    <t>MORALES EZEQUIEL</t>
  </si>
  <si>
    <t>Morales Ezequiel Dario</t>
  </si>
  <si>
    <t>MORALES, EZEQUIEL</t>
  </si>
  <si>
    <r>
      <rPr>
        <sz val="11"/>
        <color rgb="FF000000"/>
        <rFont val="Calibri"/>
        <family val="2"/>
      </rPr>
      <t>MORALES, EZEQUIEL</t>
    </r>
    <r>
      <rPr>
        <sz val="11"/>
        <color rgb="FF000000"/>
        <rFont val="Calibri"/>
        <family val="2"/>
      </rPr>
      <t xml:space="preserve"> </t>
    </r>
  </si>
  <si>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</si>
  <si>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</si>
  <si>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</si>
  <si>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</si>
  <si>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</si>
  <si>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</si>
  <si>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</si>
  <si>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</si>
  <si>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</si>
  <si>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</si>
  <si>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</si>
  <si>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</si>
  <si>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</si>
  <si>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r>
      <rPr>
        <sz val="11"/>
        <color rgb="FF000000"/>
        <rFont val="Calibri"/>
        <family val="2"/>
      </rPr>
      <t>MORRONE, GISELA VERONICA</t>
    </r>
    <r>
      <rPr>
        <sz val="11"/>
        <color rgb="FF000000"/>
        <rFont val="Calibri"/>
        <family val="2"/>
      </rPr>
      <t xml:space="preserve"> </t>
    </r>
  </si>
  <si>
    <t>MOUMARY CECILIA ESPERANZA</t>
  </si>
  <si>
    <t>MOUMARY, CECILIA</t>
  </si>
  <si>
    <r>
      <rPr>
        <sz val="11"/>
        <color rgb="FF000000"/>
        <rFont val="Calibri"/>
        <family val="2"/>
      </rPr>
      <t>MOUMARY, CECILIA</t>
    </r>
    <r>
      <rPr>
        <sz val="11"/>
        <color rgb="FF000000"/>
        <rFont val="Calibri"/>
        <family val="2"/>
      </rPr>
      <t xml:space="preserve"> </t>
    </r>
  </si>
  <si>
    <t>MOUMARY, CECILIA ESPERANZA</t>
  </si>
  <si>
    <t>MOURE, FRANCO</t>
  </si>
  <si>
    <t>MOYA PRISCILA</t>
  </si>
  <si>
    <t>MOYA, PRISCILA</t>
  </si>
  <si>
    <r>
      <rPr>
        <sz val="11"/>
        <color rgb="FF000000"/>
        <rFont val="Calibri"/>
        <family val="2"/>
      </rPr>
      <t>MOYA, PRISCILA</t>
    </r>
    <r>
      <rPr>
        <sz val="11"/>
        <color rgb="FF000000"/>
        <rFont val="Calibri"/>
        <family val="2"/>
      </rPr>
      <t xml:space="preserve"> </t>
    </r>
  </si>
  <si>
    <t>MOYANO UBEDA, LIDIA LEONOR</t>
  </si>
  <si>
    <t>MUJICA DOMINGO, ELIAS</t>
  </si>
  <si>
    <t>MUJICA, DOMINGO</t>
  </si>
  <si>
    <t>MUNIAGURRIA PAZOS, ZAHIRA LUZ</t>
  </si>
  <si>
    <t>MUÑOZ AGOSTINA</t>
  </si>
  <si>
    <t>Muñoz Tomas</t>
  </si>
  <si>
    <t>MUÑOZ, AGOSTINA</t>
  </si>
  <si>
    <t>MUÑOZ, AGOSTINA BELEN</t>
  </si>
  <si>
    <t>Muñoz, Agostina Belén</t>
  </si>
  <si>
    <t>MUÑOZ, THOMAS</t>
  </si>
  <si>
    <t>MUÑOZ, TOMAS</t>
  </si>
  <si>
    <r>
      <rPr>
        <sz val="11"/>
        <color rgb="FF000000"/>
        <rFont val="Calibri"/>
        <family val="2"/>
      </rPr>
      <t>NABILA, DALIA</t>
    </r>
    <r>
      <rPr>
        <sz val="11"/>
        <color rgb="FF000000"/>
        <rFont val="Calibri"/>
        <family val="2"/>
      </rPr>
      <t xml:space="preserve"> </t>
    </r>
  </si>
  <si>
    <t>NACARELLA, ROMINA</t>
  </si>
  <si>
    <t>NAHIR KARSCHACOFF</t>
  </si>
  <si>
    <t>NAHUEL LOPEZ DIAZ</t>
  </si>
  <si>
    <t>NARANJO JENNIFER</t>
  </si>
  <si>
    <t>NARANJO LUCIANO</t>
  </si>
  <si>
    <t>NARANJO LUCIANO ROBERTO</t>
  </si>
  <si>
    <t>Naranjo, Jeniffer</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</si>
  <si>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</si>
  <si>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</si>
  <si>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</si>
  <si>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</si>
  <si>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</si>
  <si>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</si>
  <si>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</si>
  <si>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</si>
  <si>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</si>
  <si>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</si>
  <si>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</si>
  <si>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</si>
  <si>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</si>
  <si>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OBISPO, VALERIA</t>
  </si>
  <si>
    <t>OBISPO, VALERIA SOLEDAD</t>
  </si>
  <si>
    <t>OBREGON, GUSTAVO</t>
  </si>
  <si>
    <t>OBRONSKY, KATHERINE</t>
  </si>
  <si>
    <t>OCTAVIO, MARCELO</t>
  </si>
  <si>
    <t>OJEDA DAIANA</t>
  </si>
  <si>
    <t>OJEDA ROCIO</t>
  </si>
  <si>
    <t xml:space="preserve">OJEDA ROCIO </t>
  </si>
  <si>
    <r>
      <rPr>
        <sz val="11"/>
        <color rgb="FF000000"/>
        <rFont val="Calibri"/>
        <family val="2"/>
      </rPr>
      <t>OJEDA, DAIANA</t>
    </r>
    <r>
      <rPr>
        <sz val="11"/>
        <color rgb="FF000000"/>
        <rFont val="Calibri"/>
        <family val="2"/>
      </rPr>
      <t xml:space="preserve"> </t>
    </r>
  </si>
  <si>
    <t>OJEDA, ROCIO</t>
  </si>
  <si>
    <t>OJEDA, ROCÍO</t>
  </si>
  <si>
    <t>OLIVA, CATERINA</t>
  </si>
  <si>
    <r>
      <rPr>
        <sz val="11"/>
        <color rgb="FF000000"/>
        <rFont val="Calibri"/>
        <family val="2"/>
      </rPr>
      <t>OLIVA, CATERINA</t>
    </r>
    <r>
      <rPr>
        <sz val="11"/>
        <color rgb="FF000000"/>
        <rFont val="Calibri"/>
        <family val="2"/>
      </rPr>
      <t xml:space="preserve"> </t>
    </r>
  </si>
  <si>
    <t>OLIVA, CATERINA ESTAFANIA</t>
  </si>
  <si>
    <t>OLIVA, CATERINA ESTEFANÍA</t>
  </si>
  <si>
    <t>OLIVARES, SABRINA</t>
  </si>
  <si>
    <t>OLIVIERI, EZEQUIEL</t>
  </si>
  <si>
    <t>ORDOÑEZ BULENTINI, VALENTINA</t>
  </si>
  <si>
    <t xml:space="preserve">Ordoñez Bulentini, Valentina </t>
  </si>
  <si>
    <t xml:space="preserve">ORDOÑEZ BULENTINI, VALENTINA       </t>
  </si>
  <si>
    <r>
      <rPr>
        <sz val="11"/>
        <color rgb="FF000000"/>
        <rFont val="Calibri"/>
        <family val="2"/>
      </rPr>
      <t>Ordóñez Débora</t>
    </r>
    <r>
      <rPr>
        <sz val="11"/>
        <color rgb="FF000000"/>
        <rFont val="Calibri"/>
        <family val="2"/>
      </rPr>
      <t xml:space="preserve"> </t>
    </r>
  </si>
  <si>
    <t>Ordóñez Débora Andrea</t>
  </si>
  <si>
    <t>ORDOÑEZ LUCAS</t>
  </si>
  <si>
    <t>ORDÓÑEZ LUCAS</t>
  </si>
  <si>
    <t>ORDOÑEZ VALENTINA</t>
  </si>
  <si>
    <r>
      <rPr>
        <sz val="11"/>
        <color rgb="FF000000"/>
        <rFont val="Calibri"/>
        <family val="2"/>
      </rPr>
      <t>ORDOÑEZ VALENTINA</t>
    </r>
    <r>
      <rPr>
        <sz val="11"/>
        <color rgb="FF000000"/>
        <rFont val="Calibri"/>
        <family val="2"/>
      </rPr>
      <t xml:space="preserve"> </t>
    </r>
  </si>
  <si>
    <t>ORDOÑEZ VALETINA</t>
  </si>
  <si>
    <t>ORDOÑEZ, DEBORA</t>
  </si>
  <si>
    <t>Ordóñez, Débora</t>
  </si>
  <si>
    <t>ORDÓÑEZ, DÉBORA ANDREA</t>
  </si>
  <si>
    <t>ORDÓÑEZ, LUCAS</t>
  </si>
  <si>
    <t>ORDOÑEZ, LUCAS MATIAS</t>
  </si>
  <si>
    <t>ORDOÑEZ, LUCAS MATÍAS</t>
  </si>
  <si>
    <t>ORDO脩EZ BULENTINI, VALENTINA</t>
  </si>
  <si>
    <t>ORELLANO, MARÍA</t>
  </si>
  <si>
    <t>ORLANDONI, GONZALO JAVIER</t>
  </si>
  <si>
    <t>ORREGO, PAMELA</t>
  </si>
  <si>
    <t>ORTIZ, RAQUEL ELIZABETH</t>
  </si>
  <si>
    <t>Ortubia Eugenia Miriam</t>
  </si>
  <si>
    <t>ORTUBIA, EUGENIA</t>
  </si>
  <si>
    <t>ORTUBIA, EUGENIA MARIAM</t>
  </si>
  <si>
    <t>Ortubia, Eugenia Miriam</t>
  </si>
  <si>
    <t>OZON, FERNANDO</t>
  </si>
  <si>
    <t>PAES, HECTOR</t>
  </si>
  <si>
    <t>Paes, Hector Daniel</t>
  </si>
  <si>
    <r>
      <rPr>
        <sz val="11"/>
        <color rgb="FF000000"/>
        <rFont val="Calibri"/>
        <family val="2"/>
      </rPr>
      <t>PAEZ MARIA</t>
    </r>
    <r>
      <rPr>
        <sz val="11"/>
        <color rgb="FF000000"/>
        <rFont val="Calibri"/>
        <family val="2"/>
      </rPr>
      <t xml:space="preserve"> </t>
    </r>
  </si>
  <si>
    <t>PALACIO SOFIA</t>
  </si>
  <si>
    <t>PALACIOS LEILA</t>
  </si>
  <si>
    <t>PALACIOS SOFIA</t>
  </si>
  <si>
    <t>PALACIOS, LEYLA</t>
  </si>
  <si>
    <t>PALACIOS, SOFIA</t>
  </si>
  <si>
    <t xml:space="preserve">Palacios, Sofia </t>
  </si>
  <si>
    <t>PALAVECINO DAMIAN</t>
  </si>
  <si>
    <r>
      <rPr>
        <sz val="11"/>
        <color rgb="FF000000"/>
        <rFont val="Calibri"/>
        <family val="2"/>
      </rPr>
      <t>PALAVECINO DAMIAN</t>
    </r>
    <r>
      <rPr>
        <sz val="11"/>
        <color rgb="FF000000"/>
        <rFont val="Calibri"/>
        <family val="2"/>
      </rPr>
      <t xml:space="preserve"> </t>
    </r>
  </si>
  <si>
    <t>Palavecino Damian Emmanuel</t>
  </si>
  <si>
    <t>PALAVECINO, DAMIAN</t>
  </si>
  <si>
    <t>PALAVECINO, DAMIAN EMANUEL</t>
  </si>
  <si>
    <t>PANDO, GABRIELA</t>
  </si>
  <si>
    <t>PARADA ENZO</t>
  </si>
  <si>
    <t>PARADA, ENZO</t>
  </si>
  <si>
    <t>PATRICIA CANAGLIA</t>
  </si>
  <si>
    <t>PAULA GARCIA</t>
  </si>
  <si>
    <t>PAULA VELTRI</t>
  </si>
  <si>
    <t>PAZ PRISCILA MAGALI</t>
  </si>
  <si>
    <t>PAZ, AGUSTIN DANIEL</t>
  </si>
  <si>
    <r>
      <rPr>
        <sz val="11"/>
        <color rgb="FF000000"/>
        <rFont val="Calibri"/>
        <family val="2"/>
      </rPr>
      <t>PAZ, AGUSTIN DANIEL</t>
    </r>
    <r>
      <rPr>
        <sz val="11"/>
        <color rgb="FF000000"/>
        <rFont val="Calibri"/>
        <family val="2"/>
      </rPr>
      <t xml:space="preserve"> </t>
    </r>
  </si>
  <si>
    <t>PAZ, PRISCILA</t>
  </si>
  <si>
    <t>PAZ, PRISCILA MAGALI</t>
  </si>
  <si>
    <t xml:space="preserve">Paz, Priscila Magali </t>
  </si>
  <si>
    <t xml:space="preserve">PAZ, PRISCILA MAGALI Magali </t>
  </si>
  <si>
    <t>PEDEMONTE, MAYRA</t>
  </si>
  <si>
    <r>
      <rPr>
        <sz val="11"/>
        <color rgb="FF000000"/>
        <rFont val="Calibri"/>
        <family val="2"/>
      </rPr>
      <t>PEDEMONTE, MAYRA SOFIA</t>
    </r>
    <r>
      <rPr>
        <sz val="11"/>
        <color rgb="FF000000"/>
        <rFont val="Calibri"/>
        <family val="2"/>
      </rPr>
      <t xml:space="preserve"> </t>
    </r>
  </si>
  <si>
    <t>PEDRAZA , YESICA</t>
  </si>
  <si>
    <t>PEDRAZA YESICA</t>
  </si>
  <si>
    <t>PEDRAZA YESICA AYELEN</t>
  </si>
  <si>
    <t>PEDRAZA, YESICA</t>
  </si>
  <si>
    <t>PELOSI, ESTEFANIA</t>
  </si>
  <si>
    <t>PERALTA NOELIA</t>
  </si>
  <si>
    <t>PERALTA, EZEQUIEL</t>
  </si>
  <si>
    <t>PERALTA, NOELIA</t>
  </si>
  <si>
    <r>
      <rPr>
        <sz val="11"/>
        <color rgb="FF000000"/>
        <rFont val="Calibri"/>
        <family val="2"/>
      </rPr>
      <t>PERALTA, NOELIA</t>
    </r>
    <r>
      <rPr>
        <sz val="11"/>
        <color rgb="FF000000"/>
        <rFont val="Calibri"/>
        <family val="2"/>
      </rPr>
      <t xml:space="preserve"> </t>
    </r>
  </si>
  <si>
    <t>PERALTA, NOEMÍ</t>
  </si>
  <si>
    <t>PEREIRA DINIZ, BRISA FLORENCIA</t>
  </si>
  <si>
    <r>
      <rPr>
        <sz val="11"/>
        <color rgb="FF000000"/>
        <rFont val="Calibri"/>
        <family val="2"/>
      </rPr>
      <t>PEREIRA DINIZ, BRISA FLORENCIA</t>
    </r>
    <r>
      <rPr>
        <sz val="11"/>
        <color rgb="FF000000"/>
        <rFont val="Calibri"/>
        <family val="2"/>
      </rPr>
      <t xml:space="preserve"> </t>
    </r>
  </si>
  <si>
    <t>PEREIRA, ANALÍA</t>
  </si>
  <si>
    <t>Pereyra Melisa</t>
  </si>
  <si>
    <t>PEREZ AGUSTINA</t>
  </si>
  <si>
    <t xml:space="preserve">PEREZ AGUSTINA </t>
  </si>
  <si>
    <t>PEREZ FEDERICO</t>
  </si>
  <si>
    <t>PEREZ FLAVIA</t>
  </si>
  <si>
    <t>PEREZ JULIERTA AGUSTINA</t>
  </si>
  <si>
    <t>PEREZ JULIETA</t>
  </si>
  <si>
    <t>PEREZ KIARA</t>
  </si>
  <si>
    <t>PEREZ MATIAS</t>
  </si>
  <si>
    <t>PEREZ, AGUSTINA</t>
  </si>
  <si>
    <t>PEREZ, AGUSTINA ABIGAI</t>
  </si>
  <si>
    <t xml:space="preserve">PEREZ, AGUSTINA ABIGAI </t>
  </si>
  <si>
    <t>PEREZ, AGUSTINA ABIGAIL</t>
  </si>
  <si>
    <t>PEREZ, CELESTE</t>
  </si>
  <si>
    <t>PEREZ, DANIEL</t>
  </si>
  <si>
    <t>PÉREZ, FEDERICO</t>
  </si>
  <si>
    <t>PEREZ, FEDERICO HERNAN</t>
  </si>
  <si>
    <t>PEREZ, JULIETA</t>
  </si>
  <si>
    <r>
      <rPr>
        <sz val="11"/>
        <color rgb="FF000000"/>
        <rFont val="Calibri"/>
        <family val="2"/>
      </rPr>
      <t>PEREZ, JULIETA</t>
    </r>
    <r>
      <rPr>
        <sz val="11"/>
        <color rgb="FF000000"/>
        <rFont val="Calibri"/>
        <family val="2"/>
      </rPr>
      <t xml:space="preserve"> </t>
    </r>
  </si>
  <si>
    <t>PEREZ, KIARA</t>
  </si>
  <si>
    <t>PEREZ, KIARA BRISA</t>
  </si>
  <si>
    <t>PEREZ, MARIANA</t>
  </si>
  <si>
    <t>PEREZ, MATIAS</t>
  </si>
  <si>
    <t>PEREZ, MATÍAS FABIÁN</t>
  </si>
  <si>
    <t>PÉREZ, MATÍAS FABIÁN</t>
  </si>
  <si>
    <t>Perez. Matias Fabian</t>
  </si>
  <si>
    <t xml:space="preserve">PERGOLA , BRIAN </t>
  </si>
  <si>
    <t>PÉRGOLA BRIAN SEBASTIÁN</t>
  </si>
  <si>
    <t>Pergola, Brian</t>
  </si>
  <si>
    <t>PERGOLA, BRIAN SEBASTIAN</t>
  </si>
  <si>
    <t>PERGOLA, BRIAN SEBASTIÀN</t>
  </si>
  <si>
    <r>
      <rPr>
        <sz val="11"/>
        <color rgb="FF000000"/>
        <rFont val="Calibri"/>
        <family val="2"/>
      </rPr>
      <t>PERGOLA, BRIAN SEBASTIÀN</t>
    </r>
    <r>
      <rPr>
        <sz val="11"/>
        <color rgb="FF000000"/>
        <rFont val="Calibri"/>
        <family val="2"/>
      </rPr>
      <t xml:space="preserve"> </t>
    </r>
  </si>
  <si>
    <t>PERGOLA, BRIAN SEBASTI脌N</t>
  </si>
  <si>
    <t>PERGOLA, NAHUEL</t>
  </si>
  <si>
    <t>PERGOLA, SEBASTIAN</t>
  </si>
  <si>
    <t>PERGOLA. BRIAN</t>
  </si>
  <si>
    <t>PEROTTI CANDELA</t>
  </si>
  <si>
    <t>PEROTTI, CANDELA</t>
  </si>
  <si>
    <t>PEROTTI, CANDELA AYLEN</t>
  </si>
  <si>
    <t>PERPOLI, RICARDO</t>
  </si>
  <si>
    <t>PERRONE TAMARA</t>
  </si>
  <si>
    <t>PIACENTE FRANCO</t>
  </si>
  <si>
    <t>PIANESI CASSANO NICOLÁS</t>
  </si>
  <si>
    <t>PIANESI CASSANO, NICOLAS</t>
  </si>
  <si>
    <t>PIANESI, NICOLAS</t>
  </si>
  <si>
    <t>PICCO PATRICIA</t>
  </si>
  <si>
    <r>
      <rPr>
        <sz val="11"/>
        <color rgb="FF000000"/>
        <rFont val="Calibri"/>
        <family val="2"/>
      </rPr>
      <t>PICCO PATRICIA</t>
    </r>
    <r>
      <rPr>
        <sz val="11"/>
        <color rgb="FF000000"/>
        <rFont val="Calibri"/>
        <family val="2"/>
      </rPr>
      <t xml:space="preserve"> </t>
    </r>
  </si>
  <si>
    <t>PINEDO, AGUSTINA</t>
  </si>
  <si>
    <t>PINEL MILAGROS</t>
  </si>
  <si>
    <t>PINEL MILAGROS BELEN</t>
  </si>
  <si>
    <t>PINEL, MILAGROS</t>
  </si>
  <si>
    <t>PINEL, MILAGROS BELÉN</t>
  </si>
  <si>
    <t>PINTADO SANTIAGO</t>
  </si>
  <si>
    <t>PINTADO, SANTIAGO</t>
  </si>
  <si>
    <t>PIÑEIRO, NOELIA</t>
  </si>
  <si>
    <r>
      <rPr>
        <sz val="11"/>
        <color rgb="FF000000"/>
        <rFont val="Calibri"/>
        <family val="2"/>
      </rPr>
      <t>PIÑEIRO, NOELIA</t>
    </r>
    <r>
      <rPr>
        <sz val="11"/>
        <color rgb="FF000000"/>
        <rFont val="Calibri"/>
        <family val="2"/>
      </rPr>
      <t xml:space="preserve"> </t>
    </r>
  </si>
  <si>
    <t>PIÑEYRO, CELESTE</t>
  </si>
  <si>
    <t>Pipa Marina Lidia</t>
  </si>
  <si>
    <t xml:space="preserve">PIPA MARINA LIDIA </t>
  </si>
  <si>
    <r>
      <rPr>
        <sz val="11"/>
        <color rgb="FF000000"/>
        <rFont val="Calibri"/>
        <family val="2"/>
      </rPr>
      <t>PIPA SILVA MARINA</t>
    </r>
    <r>
      <rPr>
        <sz val="11"/>
        <color rgb="FF000000"/>
        <rFont val="Calibri"/>
        <family val="2"/>
      </rPr>
      <t xml:space="preserve"> </t>
    </r>
  </si>
  <si>
    <t>PIPA SILVA, LIDIA MARINA</t>
  </si>
  <si>
    <t>PIPA SILVA, MARINA</t>
  </si>
  <si>
    <r>
      <rPr>
        <sz val="11"/>
        <color rgb="FF000000"/>
        <rFont val="Calibri"/>
        <family val="2"/>
      </rPr>
      <t>PIPA SILVA, MARINA</t>
    </r>
    <r>
      <rPr>
        <sz val="11"/>
        <color rgb="FF000000"/>
        <rFont val="Calibri"/>
        <family val="2"/>
      </rPr>
      <t xml:space="preserve"> </t>
    </r>
  </si>
  <si>
    <t>PIZZINATO, MATEO DANILO</t>
  </si>
  <si>
    <t>PLESCIA, MICAELA</t>
  </si>
  <si>
    <r>
      <rPr>
        <sz val="11"/>
        <color rgb="FF000000"/>
        <rFont val="Calibri"/>
        <family val="2"/>
      </rPr>
      <t>PLOMER LAURA</t>
    </r>
    <r>
      <rPr>
        <sz val="11"/>
        <color rgb="FF000000"/>
        <rFont val="Calibri"/>
        <family val="2"/>
      </rPr>
      <t xml:space="preserve"> </t>
    </r>
  </si>
  <si>
    <t xml:space="preserve">Plomer, Laura </t>
  </si>
  <si>
    <t>POLARI ULISES</t>
  </si>
  <si>
    <t>POLARI, ULISES</t>
  </si>
  <si>
    <t>POLARI, ULISES GONZALO</t>
  </si>
  <si>
    <t>POLIDOR MARIA EVA</t>
  </si>
  <si>
    <t>POLIDOR, MARIA EVA</t>
  </si>
  <si>
    <t xml:space="preserve">POLIDOR, MARIA EVA </t>
  </si>
  <si>
    <t>Ponce Candela</t>
  </si>
  <si>
    <t>Ponce de León Cindy Maribel</t>
  </si>
  <si>
    <t>PONCE DE LEON, CINDY</t>
  </si>
  <si>
    <t>Ponce de Leon, Cindy Maribel</t>
  </si>
  <si>
    <t>PONCE DE LEÓN, CINDY MARIBEL</t>
  </si>
  <si>
    <t>PONCE VANESA PAOLA</t>
  </si>
  <si>
    <t>PONCE, CANDELA</t>
  </si>
  <si>
    <t xml:space="preserve">Ponce, Candela </t>
  </si>
  <si>
    <t>PONCE, CANDELA AYLEN</t>
  </si>
  <si>
    <t>PONCE, PAOLA</t>
  </si>
  <si>
    <t>PONCE, VANESA</t>
  </si>
  <si>
    <t>PORTO, ROCIO</t>
  </si>
  <si>
    <t>POTEL, ROCIO</t>
  </si>
  <si>
    <t>POTEL, ROCÍO SOL</t>
  </si>
  <si>
    <t>PREZAVENTO SERGIO</t>
  </si>
  <si>
    <t>PREZZAVENTO SERGIO</t>
  </si>
  <si>
    <t>PREZZAVENTO,SERGIO</t>
  </si>
  <si>
    <t>PUYOL ANAHI</t>
  </si>
  <si>
    <r>
      <rPr>
        <sz val="11"/>
        <color rgb="FF000000"/>
        <rFont val="Calibri"/>
        <family val="2"/>
      </rPr>
      <t>PUYOL ANAHI</t>
    </r>
    <r>
      <rPr>
        <sz val="11"/>
        <color rgb="FF000000"/>
        <rFont val="Calibri"/>
        <family val="2"/>
      </rPr>
      <t xml:space="preserve"> </t>
    </r>
  </si>
  <si>
    <t>QUAGLIA TOMAS EZEQUIEL</t>
  </si>
  <si>
    <t>QUAGLIA, TOMAS EZEQUIEL</t>
  </si>
  <si>
    <t>QUEVEDO, DELFINA</t>
  </si>
  <si>
    <t xml:space="preserve">Quevedo, Delfina </t>
  </si>
  <si>
    <t>QUINTANA, MARÍA BELÉN</t>
  </si>
  <si>
    <t>QUINTERO VARGAS, MARCELO EMANUEL</t>
  </si>
  <si>
    <t>QUINTEROS, JULIETA</t>
  </si>
  <si>
    <t xml:space="preserve">Quinteros, Julieta </t>
  </si>
  <si>
    <t>QUIÑONEZ MARIA FLORENCIA</t>
  </si>
  <si>
    <t>QUIROGA VICTORIA</t>
  </si>
  <si>
    <t>QUIROGA, ADRIANA CELINA</t>
  </si>
  <si>
    <t>QUIROGA, FRANCO</t>
  </si>
  <si>
    <t>Quiroga, Jacquelina</t>
  </si>
  <si>
    <t>QUIROGA, JAQUELINE</t>
  </si>
  <si>
    <t>QUIROGA, MICAELA</t>
  </si>
  <si>
    <t>QUIROGA, VICTORIA</t>
  </si>
  <si>
    <t>RAMIREZ, DAVID EZEQUIEL</t>
  </si>
  <si>
    <t>RAMOS LORENA</t>
  </si>
  <si>
    <r>
      <rPr>
        <sz val="11"/>
        <color rgb="FF000000"/>
        <rFont val="Calibri"/>
        <family val="2"/>
      </rPr>
      <t>RAMOS LORENA</t>
    </r>
    <r>
      <rPr>
        <sz val="11"/>
        <color rgb="FF000000"/>
        <rFont val="Calibri"/>
        <family val="2"/>
      </rPr>
      <t xml:space="preserve"> </t>
    </r>
  </si>
  <si>
    <t>RAMOS, ALEJANDRA</t>
  </si>
  <si>
    <t>RAMOS, ALEJANDRA BEATRIZ</t>
  </si>
  <si>
    <t>RAMOS, LORENA ELIZABETH VICTORIA</t>
  </si>
  <si>
    <t>RAVALLO LUCIANO</t>
  </si>
  <si>
    <t>RAVALLO, LUCIANO</t>
  </si>
  <si>
    <t>RAVALLO, LUCIANO ALFIO</t>
  </si>
  <si>
    <r>
      <rPr>
        <sz val="11"/>
        <color rgb="FF000000"/>
        <rFont val="Calibri"/>
        <family val="2"/>
      </rPr>
      <t>RECCHIA</t>
    </r>
    <r>
      <rPr>
        <sz val="11"/>
        <color rgb="FF000000"/>
        <rFont val="Calibri"/>
        <family val="2"/>
      </rPr>
      <t xml:space="preserve"> </t>
    </r>
  </si>
  <si>
    <t>RECCHIA, AGUSTÍN</t>
  </si>
  <si>
    <t>REGUEIRA, CAMILA</t>
  </si>
  <si>
    <t>REINOSO IVAN</t>
  </si>
  <si>
    <r>
      <rPr>
        <sz val="11"/>
        <color rgb="FF000000"/>
        <rFont val="Calibri"/>
        <family val="2"/>
      </rPr>
      <t>REINOSO IVAN</t>
    </r>
    <r>
      <rPr>
        <sz val="11"/>
        <color rgb="FF000000"/>
        <rFont val="Calibri"/>
        <family val="2"/>
      </rPr>
      <t xml:space="preserve"> </t>
    </r>
  </si>
  <si>
    <t>Reinoso Matías</t>
  </si>
  <si>
    <t>REINOSO, IVAN MAURO</t>
  </si>
  <si>
    <t>Reinoso, Matías</t>
  </si>
  <si>
    <r>
      <rPr>
        <sz val="11"/>
        <color rgb="FF000000"/>
        <rFont val="Calibri"/>
        <family val="2"/>
      </rPr>
      <t>REINOSO, MATIAS</t>
    </r>
    <r>
      <rPr>
        <sz val="11"/>
        <color rgb="FF000000"/>
        <rFont val="Calibri"/>
        <family val="2"/>
      </rPr>
      <t xml:space="preserve"> </t>
    </r>
  </si>
  <si>
    <t>REINOZO IVAN</t>
  </si>
  <si>
    <r>
      <rPr>
        <sz val="11"/>
        <color rgb="FF000000"/>
        <rFont val="Calibri"/>
        <family val="2"/>
      </rPr>
      <t>REINOZO IVAN</t>
    </r>
    <r>
      <rPr>
        <sz val="11"/>
        <color rgb="FF000000"/>
        <rFont val="Calibri"/>
        <family val="2"/>
      </rPr>
      <t xml:space="preserve"> </t>
    </r>
  </si>
  <si>
    <t>REINOZO, IVAN MAURO</t>
  </si>
  <si>
    <t>Rejala Efrain Juan Carlos</t>
  </si>
  <si>
    <t xml:space="preserve">Rejala Efrain Juan Carlos </t>
  </si>
  <si>
    <t>REJALA, EFRAIN</t>
  </si>
  <si>
    <t>REJALA, EFRAIN JUAN CARLOS</t>
  </si>
  <si>
    <t>REJALA, EFRAÍN JUAN CARLOS</t>
  </si>
  <si>
    <t>RENFIJES, BELEN</t>
  </si>
  <si>
    <t>Revainera Florencia</t>
  </si>
  <si>
    <t xml:space="preserve">Revainera Florencia </t>
  </si>
  <si>
    <t>REVAINERA, FLORENCIA</t>
  </si>
  <si>
    <t>REVAINERA, FLORENCIA ELIANA</t>
  </si>
  <si>
    <t>REY, JORGE</t>
  </si>
  <si>
    <t>REY, JORGE LUIS</t>
  </si>
  <si>
    <t>REY, THOMAS LEONEL</t>
  </si>
  <si>
    <t>REYES, CLAUDIA</t>
  </si>
  <si>
    <t>REYNA, EZEQUIEL FERNANDO</t>
  </si>
  <si>
    <t>RIBEIRO CECILIA</t>
  </si>
  <si>
    <t>RIBEIRO GUADALUPE</t>
  </si>
  <si>
    <r>
      <rPr>
        <sz val="11"/>
        <color rgb="FF000000"/>
        <rFont val="Calibri"/>
        <family val="2"/>
      </rPr>
      <t>RIBEIRO GUADALUPE</t>
    </r>
    <r>
      <rPr>
        <sz val="11"/>
        <color rgb="FF000000"/>
        <rFont val="Calibri"/>
        <family val="2"/>
      </rPr>
      <t xml:space="preserve"> </t>
    </r>
  </si>
  <si>
    <t xml:space="preserve">RIBEIRO, CECILIA </t>
  </si>
  <si>
    <t>RIBEIRO, GUADALUPE</t>
  </si>
  <si>
    <t>RIGONI, VALENTINA</t>
  </si>
  <si>
    <t>RINALDI, SANTIAGO</t>
  </si>
  <si>
    <r>
      <rPr>
        <sz val="11"/>
        <color rgb="FF000000"/>
        <rFont val="Calibri"/>
        <family val="2"/>
      </rPr>
      <t>RINALDI, SANTIAGO</t>
    </r>
    <r>
      <rPr>
        <sz val="11"/>
        <color rgb="FF000000"/>
        <rFont val="Calibri"/>
        <family val="2"/>
      </rPr>
      <t xml:space="preserve"> </t>
    </r>
  </si>
  <si>
    <t>RIOS GABRIELA</t>
  </si>
  <si>
    <t>RÍOS GABRIELA</t>
  </si>
  <si>
    <t>RIOS MESA, MALCOM</t>
  </si>
  <si>
    <t>RÍOS MESA, MALCOM MIGUEL</t>
  </si>
  <si>
    <t>RIOS MEZA, MALCOM</t>
  </si>
  <si>
    <t>RÍOS PÉREZ, KARINA</t>
  </si>
  <si>
    <t xml:space="preserve">RIOS, GABRIELA </t>
  </si>
  <si>
    <t>RIOSRIOS PEREZ, KARINA ALDANA</t>
  </si>
  <si>
    <t>RIPARI MARIA</t>
  </si>
  <si>
    <t>RIPARI VICTORIA</t>
  </si>
  <si>
    <t>RIPARI, VICTORIA</t>
  </si>
  <si>
    <t>RITA AUGUSTO, SOFÍA FLORENCIA</t>
  </si>
  <si>
    <t>RITA SOFIA</t>
  </si>
  <si>
    <t xml:space="preserve">RIVAINERA FLORENCIA </t>
  </si>
  <si>
    <t>RIVAS CARLETTO ALBA</t>
  </si>
  <si>
    <t>RIVAS, ALBA</t>
  </si>
  <si>
    <t xml:space="preserve">RIVERA , Karen </t>
  </si>
  <si>
    <t>RIVERA DANIELA ALEJANDRA</t>
  </si>
  <si>
    <t>RIVERA KAREN</t>
  </si>
  <si>
    <t>RIVERA MARIA FLORENCIA</t>
  </si>
  <si>
    <t xml:space="preserve">RIVERA MARIA FLORENCIA </t>
  </si>
  <si>
    <t>RIVERA MARÍA, FLORENCIA</t>
  </si>
  <si>
    <t>RIVERA, DANIEL DANIELA ALEJANDRA</t>
  </si>
  <si>
    <t>Rivera, Daniela Alejandra</t>
  </si>
  <si>
    <t>RIVERA, DANIELA ALEJANDRA.</t>
  </si>
  <si>
    <t xml:space="preserve">RIVERA, DANIELA ALEJANDRA. </t>
  </si>
  <si>
    <t>RIVERA, KAREN</t>
  </si>
  <si>
    <t>RIVERA, MARIA</t>
  </si>
  <si>
    <t>RIVERA, MARÍA FLORENCIA</t>
  </si>
  <si>
    <t>ROA ABRIL</t>
  </si>
  <si>
    <t>ROA, ABRIL</t>
  </si>
  <si>
    <t xml:space="preserve">ROA, ABRIL </t>
  </si>
  <si>
    <t>ROBLES, LARA VALENTINA</t>
  </si>
  <si>
    <t xml:space="preserve">ROBLES, LARA VALENTINA </t>
  </si>
  <si>
    <t>ROCA, BERNARDO</t>
  </si>
  <si>
    <t>RODRIGUEZ BAEZ, MAXIMA</t>
  </si>
  <si>
    <t xml:space="preserve">RODRIGUEZ BAEZ, MAXIMA </t>
  </si>
  <si>
    <t>RODRIGUEZ NATALIA</t>
  </si>
  <si>
    <r>
      <rPr>
        <sz val="11"/>
        <color rgb="FF000000"/>
        <rFont val="Calibri"/>
        <family val="2"/>
      </rPr>
      <t>RODRIGUEZ PABLO</t>
    </r>
    <r>
      <rPr>
        <sz val="11"/>
        <color rgb="FF000000"/>
        <rFont val="Calibri"/>
        <family val="2"/>
      </rPr>
      <t xml:space="preserve"> </t>
    </r>
  </si>
  <si>
    <t>RODRIGUEZ PATRICIA</t>
  </si>
  <si>
    <t>RODRIGUEZ PATRICIA ELIZABETH</t>
  </si>
  <si>
    <t>RODRIGUEZ SOFIA</t>
  </si>
  <si>
    <t>RODRIGUEZ TARRES MATIAS</t>
  </si>
  <si>
    <t>RODRÍGUEZ TARRES, MATÍAS</t>
  </si>
  <si>
    <t>RODRIGUEZ, ADRIANA MABEL</t>
  </si>
  <si>
    <t>RODRIGUEZ, ANDREA</t>
  </si>
  <si>
    <t>RODRIGUEZ, ELIANA</t>
  </si>
  <si>
    <t>RODRIGUEZ, GABRIEL DARIO</t>
  </si>
  <si>
    <t>RODRIGUEZ, LUCIA</t>
  </si>
  <si>
    <t>RODRIGUEZ, NATALIA</t>
  </si>
  <si>
    <t>RODRIGUEZ, NATALIA LOURDES</t>
  </si>
  <si>
    <t>RODRIGUEZ, PABLO JULIAN</t>
  </si>
  <si>
    <t>RODRIGUEZ, PATRICIA</t>
  </si>
  <si>
    <r>
      <rPr>
        <sz val="11"/>
        <color rgb="FF000000"/>
        <rFont val="Calibri"/>
        <family val="2"/>
      </rPr>
      <t>RODRIGUEZ, PATRICIA</t>
    </r>
    <r>
      <rPr>
        <sz val="11"/>
        <color rgb="FF000000"/>
        <rFont val="Calibri"/>
        <family val="2"/>
      </rPr>
      <t xml:space="preserve"> </t>
    </r>
  </si>
  <si>
    <t>RODRIGUEZ, PATRICIA.</t>
  </si>
  <si>
    <t>Rodriguez, Sofía</t>
  </si>
  <si>
    <t>ROJAS ANTONELLA</t>
  </si>
  <si>
    <t>ROJAS EMILIANO</t>
  </si>
  <si>
    <t>ROJAS EMILIANO JOSE</t>
  </si>
  <si>
    <r>
      <rPr>
        <sz val="11"/>
        <color rgb="FF000000"/>
        <rFont val="Calibri"/>
        <family val="2"/>
      </rPr>
      <t>ROJAS EMILIANO JOSE</t>
    </r>
    <r>
      <rPr>
        <sz val="11"/>
        <color rgb="FF000000"/>
        <rFont val="Calibri"/>
        <family val="2"/>
      </rPr>
      <t xml:space="preserve"> </t>
    </r>
  </si>
  <si>
    <t>ROJAS GISELA</t>
  </si>
  <si>
    <t>ROJAS GISELA ANTONELLA</t>
  </si>
  <si>
    <t>Rojas Greta</t>
  </si>
  <si>
    <t>ROJAS MELANIE</t>
  </si>
  <si>
    <r>
      <rPr>
        <sz val="11"/>
        <color rgb="FF000000"/>
        <rFont val="Calibri"/>
        <family val="2"/>
      </rPr>
      <t>ROJAS MELANIE</t>
    </r>
    <r>
      <rPr>
        <sz val="11"/>
        <color rgb="FF000000"/>
        <rFont val="Calibri"/>
        <family val="2"/>
      </rPr>
      <t xml:space="preserve"> </t>
    </r>
  </si>
  <si>
    <t>Rojas Paula</t>
  </si>
  <si>
    <t>ROJAS, ANTONELLA</t>
  </si>
  <si>
    <r>
      <rPr>
        <sz val="11"/>
        <color rgb="FF000000"/>
        <rFont val="Calibri"/>
        <family val="2"/>
      </rPr>
      <t>ROJAS, ANTONELLA</t>
    </r>
    <r>
      <rPr>
        <sz val="11"/>
        <color rgb="FF000000"/>
        <rFont val="Calibri"/>
        <family val="2"/>
      </rPr>
      <t xml:space="preserve"> </t>
    </r>
  </si>
  <si>
    <t>ROJAS, GISELA</t>
  </si>
  <si>
    <r>
      <rPr>
        <sz val="11"/>
        <color rgb="FF000000"/>
        <rFont val="Calibri"/>
        <family val="2"/>
      </rPr>
      <t>ROJAS, GISELA ANTONELLA</t>
    </r>
    <r>
      <rPr>
        <sz val="11"/>
        <color rgb="FF000000"/>
        <rFont val="Calibri"/>
        <family val="2"/>
      </rPr>
      <t xml:space="preserve"> </t>
    </r>
  </si>
  <si>
    <t>ROJAS, GRETA</t>
  </si>
  <si>
    <t>ROJAS, MELANIE</t>
  </si>
  <si>
    <t xml:space="preserve">ROJAS, MELANIE </t>
  </si>
  <si>
    <t>ROJAS, PAULA</t>
  </si>
  <si>
    <t>ROJAS, PAULA GABRIELA</t>
  </si>
  <si>
    <t>ROJAS, PRISCILA</t>
  </si>
  <si>
    <t>ROJAS, SHEILA</t>
  </si>
  <si>
    <t>ROMAN, DIANA</t>
  </si>
  <si>
    <t>ROMANO, AXEL ADRIAN</t>
  </si>
  <si>
    <t>ROMANO, BRIAN NICOLAS ERIK</t>
  </si>
  <si>
    <t>ROMANOS BRIAN</t>
  </si>
  <si>
    <t>ROMANOS BRIAN NICOLAS ERIK</t>
  </si>
  <si>
    <t>ROMANOS, BRIAN</t>
  </si>
  <si>
    <t>ROMANOS, BRIAN NICOLAS ERIK</t>
  </si>
  <si>
    <t>ROMERO ALEJANDRA</t>
  </si>
  <si>
    <t>ROMERO ESTEFANIA</t>
  </si>
  <si>
    <t>ROMERO GRACIELA</t>
  </si>
  <si>
    <t>ROMERO LUCAS</t>
  </si>
  <si>
    <t>ROMERO VALENTINA</t>
  </si>
  <si>
    <t>ROMERO VALENTINA LUDMILA</t>
  </si>
  <si>
    <t>ROMERO, BRANDON</t>
  </si>
  <si>
    <t>ROMERO, CARLOS</t>
  </si>
  <si>
    <t>ROMERO, ESTEFANIA</t>
  </si>
  <si>
    <r>
      <rPr>
        <sz val="11"/>
        <color rgb="FF000000"/>
        <rFont val="Calibri"/>
        <family val="2"/>
      </rPr>
      <t>ROMERO, GRACIELA</t>
    </r>
    <r>
      <rPr>
        <sz val="11"/>
        <color rgb="FF000000"/>
        <rFont val="Calibri"/>
        <family val="2"/>
      </rPr>
      <t xml:space="preserve"> </t>
    </r>
  </si>
  <si>
    <t>ROMERO, GRISELDA</t>
  </si>
  <si>
    <t>ROMERO, KARINA</t>
  </si>
  <si>
    <t xml:space="preserve">ROMERO, KARINA </t>
  </si>
  <si>
    <t>ROMERO, KARINA GISELLE</t>
  </si>
  <si>
    <t xml:space="preserve">Romero, Karina Giselle </t>
  </si>
  <si>
    <t xml:space="preserve">ROMERO, KARINA GISELLE Giselle </t>
  </si>
  <si>
    <t>ROMERO, LUCAS.</t>
  </si>
  <si>
    <t>Romero, Nasrala Estefania</t>
  </si>
  <si>
    <t>ROMERO, VALENTINA</t>
  </si>
  <si>
    <t>ROMERO, VALENTINA LUDMILA</t>
  </si>
  <si>
    <t>ROSSI LUCÍA</t>
  </si>
  <si>
    <t>ROSSI, CANDELA</t>
  </si>
  <si>
    <t>ROSSI, CANDELA ALEJANDRA</t>
  </si>
  <si>
    <t>ROSSI, LUCIA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</si>
  <si>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</si>
  <si>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</si>
  <si>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</si>
  <si>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</si>
  <si>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</si>
  <si>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</si>
  <si>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</si>
  <si>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</si>
  <si>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</si>
  <si>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</si>
  <si>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</si>
  <si>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</si>
  <si>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t>
  </si>
  <si>
    <t>SABELLA ROSA MARIA</t>
  </si>
  <si>
    <t>Sabella Rosa, Maria Noe</t>
  </si>
  <si>
    <t>SABELLA, ROSA MARÍA</t>
  </si>
  <si>
    <t>SALERNO, KEVIN</t>
  </si>
  <si>
    <t>SALGUERO, ADRIANA</t>
  </si>
  <si>
    <t>SALINAS FRANCO</t>
  </si>
  <si>
    <t>SALINAS, FRANCO</t>
  </si>
  <si>
    <t xml:space="preserve">SALINAS, FRANCO GABRIEL </t>
  </si>
  <si>
    <t>SALINAS, PRESENTE GABRIEL</t>
  </si>
  <si>
    <t>SALINAS,FRANCO</t>
  </si>
  <si>
    <t>SALVATIERRA, BLAS</t>
  </si>
  <si>
    <t>SANABRIA ANGELES</t>
  </si>
  <si>
    <t>SANABRIA MELINA</t>
  </si>
  <si>
    <t xml:space="preserve">Sanabria Melina </t>
  </si>
  <si>
    <t>SANABRIA, MACARENA MILAGROS</t>
  </si>
  <si>
    <t>SANABRIA, MELINA</t>
  </si>
  <si>
    <t>SANCHEZ IONA VICTORIA</t>
  </si>
  <si>
    <t>SANCHEZ MELANY YAMILA</t>
  </si>
  <si>
    <t>SANCHEZ, CHRISTIAN</t>
  </si>
  <si>
    <t>SANCHEZ, FEDERICO EMANUEL</t>
  </si>
  <si>
    <t>SANCHEZ, IONA VICTORIA</t>
  </si>
  <si>
    <t xml:space="preserve">SANCHEZ, IONA VICTORIA </t>
  </si>
  <si>
    <t>SANCHEZ, MELANY</t>
  </si>
  <si>
    <t>SANCHEZ, NOEL EMILIANO</t>
  </si>
  <si>
    <t>SANDOVAL JEREMÍAS</t>
  </si>
  <si>
    <t>SANDOVAL, JEREMÍAS</t>
  </si>
  <si>
    <t>SANDOVAL, NICOLAS</t>
  </si>
  <si>
    <t>SANDRA FEDELLE</t>
  </si>
  <si>
    <t>SANTELLAN JONATHAN</t>
  </si>
  <si>
    <t>SANTELLAN, JONATHAN SEBASTIAN</t>
  </si>
  <si>
    <t>SANTILLAN JONATHAN</t>
  </si>
  <si>
    <t xml:space="preserve">SANTILLAN JONATHAN </t>
  </si>
  <si>
    <t>SANTILLÁN LEÓN, LUIS EZEQUIEL</t>
  </si>
  <si>
    <t>SANTUCHO RODRIGO</t>
  </si>
  <si>
    <t>Santucho, Rodrigo</t>
  </si>
  <si>
    <t>SASTRE RODRIGUEZ, CAMILO EZEQUIEL</t>
  </si>
  <si>
    <t>SAYUS , Yanina</t>
  </si>
  <si>
    <t>SAYUS YANINA</t>
  </si>
  <si>
    <t xml:space="preserve">SAYUS, Yanina </t>
  </si>
  <si>
    <t>SAYUS,YANINA</t>
  </si>
  <si>
    <t>SCHIAVONI, BELEN</t>
  </si>
  <si>
    <t>SCHIRRIPA, ESTEBAN</t>
  </si>
  <si>
    <t>Schirripa,Esteban</t>
  </si>
  <si>
    <t xml:space="preserve">Schirripa,Esteban  </t>
  </si>
  <si>
    <t>SEBASTIA MARIANA</t>
  </si>
  <si>
    <t>SEGOVIA NOELIA</t>
  </si>
  <si>
    <t>SEGOVIA, MELISA BEATRIZ</t>
  </si>
  <si>
    <t>SEGURADO, JUAN IGNACIO</t>
  </si>
  <si>
    <t>SELIS SOLANGE</t>
  </si>
  <si>
    <t>SELIS, SOLANGE NAHIR</t>
  </si>
  <si>
    <t>SENA, BENJAMIN</t>
  </si>
  <si>
    <t>SHIRLY, SALINAS</t>
  </si>
  <si>
    <t>SICILIANO LUCIA</t>
  </si>
  <si>
    <t>SILVA MILENA</t>
  </si>
  <si>
    <t>SILVA VANESA NOEMÍ</t>
  </si>
  <si>
    <t>SILVA, MILENA</t>
  </si>
  <si>
    <t>SILVA, VANESA NOEMÍ</t>
  </si>
  <si>
    <t>SILVIA GABRIELA FRIAS</t>
  </si>
  <si>
    <t>SIQUILA FLORENCIA</t>
  </si>
  <si>
    <t>SIQUILA FLORENCIA AGUSTINA</t>
  </si>
  <si>
    <t>SIQUILA, FLORENCIA</t>
  </si>
  <si>
    <t>SIVIERO , Agustina</t>
  </si>
  <si>
    <t xml:space="preserve">SIVIERO , Agustina </t>
  </si>
  <si>
    <t>SIVIERO AGUSTINA</t>
  </si>
  <si>
    <t>Solari Oriana</t>
  </si>
  <si>
    <t>SOLARI, ORIANA</t>
  </si>
  <si>
    <t>SOLDANI, CLARA</t>
  </si>
  <si>
    <t>SOLDANI, CLARA LUCIA</t>
  </si>
  <si>
    <t>SORIA ANA VALERIA</t>
  </si>
  <si>
    <t>SORIA, ANA</t>
  </si>
  <si>
    <t>SORIA, LAURA</t>
  </si>
  <si>
    <t>SORIA, LAURA BELÉN</t>
  </si>
  <si>
    <t>SORIA, LEILA</t>
  </si>
  <si>
    <t>SOSA DÉBORA SABRINA</t>
  </si>
  <si>
    <t>SOSA MIGUEL LEON</t>
  </si>
  <si>
    <t>SOSA NOELIA ROXANA</t>
  </si>
  <si>
    <t>SOSA ROXANA</t>
  </si>
  <si>
    <t>Sosa Sabrina</t>
  </si>
  <si>
    <t>SOSA, DEBORA</t>
  </si>
  <si>
    <t>SOSA, DÉBORA</t>
  </si>
  <si>
    <t>SOSA, DEBORA SABRINA</t>
  </si>
  <si>
    <t>SOSA, NOELIA ROXANA</t>
  </si>
  <si>
    <t>Sosa, Roxana</t>
  </si>
  <si>
    <t>SOSA, TAMARA</t>
  </si>
  <si>
    <t>SOTILLO, KAMILA</t>
  </si>
  <si>
    <t>SOTO AILEN</t>
  </si>
  <si>
    <t>SPADARO, CAMILA</t>
  </si>
  <si>
    <t>STUCHETTI, FLORENCIA SOLEDAD</t>
  </si>
  <si>
    <t>Suarez Marcos Nahuel</t>
  </si>
  <si>
    <t>SUAREZ SABRINA</t>
  </si>
  <si>
    <t>SUAREZ, MARCOS</t>
  </si>
  <si>
    <t>SUAREZ, MARCOS NAHUEL</t>
  </si>
  <si>
    <t>SUAREZ, SABRINA</t>
  </si>
  <si>
    <t>SUAREZ, SABRINA GISELA</t>
  </si>
  <si>
    <t xml:space="preserve">SUAREZ, SABRINA GISELA </t>
  </si>
  <si>
    <t xml:space="preserve">SUAREZ, SABRINA GISELA Gisela </t>
  </si>
  <si>
    <t>TABOADA FEDERICO</t>
  </si>
  <si>
    <t>TABOADA, FEDERICO</t>
  </si>
  <si>
    <t>Taiel, Claro</t>
  </si>
  <si>
    <t xml:space="preserve">Takach Agustin </t>
  </si>
  <si>
    <t>TAKACH SABORIDO AGUSTIN</t>
  </si>
  <si>
    <t>TAKACH, AGUSTIN</t>
  </si>
  <si>
    <t>TALLARICO, FRANCISCO</t>
  </si>
  <si>
    <t>TARRES RODRIGUEZ</t>
  </si>
  <si>
    <t xml:space="preserve">TARRES RODRIGUEZ </t>
  </si>
  <si>
    <t>TARRES RODRIGUEZ, QUE???????</t>
  </si>
  <si>
    <t>TAULAMET, JOSE MARIA</t>
  </si>
  <si>
    <r>
      <rPr>
        <sz val="11"/>
        <color rgb="FF000000"/>
        <rFont val="Calibri"/>
        <family val="2"/>
      </rPr>
      <t>TEJEDA, MATIAS</t>
    </r>
    <r>
      <rPr>
        <sz val="11"/>
        <color rgb="FF000000"/>
        <rFont val="Calibri"/>
        <family val="2"/>
      </rPr>
      <t xml:space="preserve"> </t>
    </r>
  </si>
  <si>
    <r>
      <rPr>
        <sz val="11"/>
        <color rgb="FF000000"/>
        <rFont val="Calibri"/>
        <family val="2"/>
      </rPr>
      <t>TELLELDIN MARCOS NICOLAS</t>
    </r>
    <r>
      <rPr>
        <sz val="11"/>
        <color rgb="FF000000"/>
        <rFont val="Calibri"/>
        <family val="2"/>
      </rPr>
      <t xml:space="preserve"> </t>
    </r>
  </si>
  <si>
    <t>TELLO, SOFIA BELEN</t>
  </si>
  <si>
    <t>TENEB, LAUTARO NAHUEL</t>
  </si>
  <si>
    <t>TIRAVANTI JAZMIN</t>
  </si>
  <si>
    <t>TIRAVANTI MEDINA, INGRID JAZMIN</t>
  </si>
  <si>
    <r>
      <rPr>
        <sz val="11"/>
        <color rgb="FF000000"/>
        <rFont val="Calibri"/>
        <family val="2"/>
      </rPr>
      <t>TIRAVANTI MEDINA, INGRID JAZMIN</t>
    </r>
    <r>
      <rPr>
        <sz val="11"/>
        <color rgb="FF000000"/>
        <rFont val="Calibri"/>
        <family val="2"/>
      </rPr>
      <t xml:space="preserve"> </t>
    </r>
  </si>
  <si>
    <t>TIRAVANTI MEDINA, INGRYD JAZMÍN</t>
  </si>
  <si>
    <t>TOBARES SABRINA</t>
  </si>
  <si>
    <t>TOCONÁS, MARISA</t>
  </si>
  <si>
    <t>TOFALO, MAURICIO OSCAR</t>
  </si>
  <si>
    <t>TOLEDO GONZALEZ, CINTHIA</t>
  </si>
  <si>
    <t>TOMARO COSTA, FATIMA</t>
  </si>
  <si>
    <t>TORELLI, MARÍA SOL</t>
  </si>
  <si>
    <t>TORRES, NAYRA</t>
  </si>
  <si>
    <t>TORRES, PAOLA</t>
  </si>
  <si>
    <t>TORRES, PAOLA HERMINIA</t>
  </si>
  <si>
    <t>TORREZ HURTADO</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</si>
  <si>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</si>
  <si>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</si>
  <si>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</si>
  <si>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</si>
  <si>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</si>
  <si>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</si>
  <si>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</si>
  <si>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</si>
  <si>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</si>
  <si>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</si>
  <si>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</si>
  <si>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</si>
  <si>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r>
      <rPr>
        <sz val="11"/>
        <color rgb="FF000000"/>
        <rFont val="Calibri"/>
        <family val="2"/>
      </rPr>
      <t>UEZ, FLORENCIA</t>
    </r>
    <r>
      <rPr>
        <sz val="11"/>
        <color rgb="FF000000"/>
        <rFont val="Calibri"/>
        <family val="2"/>
      </rPr>
      <t xml:space="preserve"> </t>
    </r>
  </si>
  <si>
    <t>UEZ, FLORENCIA.</t>
  </si>
  <si>
    <t>ustina Isabel RociO Villarrubia</t>
  </si>
  <si>
    <t>UZCATEGUI  FLORANYELY</t>
  </si>
  <si>
    <t>Uzcategui Floranyely</t>
  </si>
  <si>
    <t xml:space="preserve">Uzcategui Floranyely </t>
  </si>
  <si>
    <t>UZCATEGUI, FLORANYELY</t>
  </si>
  <si>
    <t>UZCATEGUI, FLORYANELY</t>
  </si>
  <si>
    <t>VACA GAONA CHIRA</t>
  </si>
  <si>
    <t>VALDEZ, FABIANA</t>
  </si>
  <si>
    <t>VALDIVIEZO, HECTOR</t>
  </si>
  <si>
    <t>Valentina Guzmán</t>
  </si>
  <si>
    <t>VALENTINA, ROMERO</t>
  </si>
  <si>
    <t>VALERIA SOLEDAD</t>
  </si>
  <si>
    <t>Vallejo Rocio Ayelen</t>
  </si>
  <si>
    <t>VALLEJOS, ELENA BELEN</t>
  </si>
  <si>
    <t>VALLEJOS, PATRICIA</t>
  </si>
  <si>
    <t>VALLS FACUNDO</t>
  </si>
  <si>
    <t>VANESA, CHAUQUE</t>
  </si>
  <si>
    <t>VARAS LUCIANA</t>
  </si>
  <si>
    <t>VAZQUEZ MARIA JOSE</t>
  </si>
  <si>
    <t>VAZQUEZ, MARY</t>
  </si>
  <si>
    <t>VEDDA JAVIER</t>
  </si>
  <si>
    <t>VEDDA, JAVIER</t>
  </si>
  <si>
    <t>VEGA BRISA</t>
  </si>
  <si>
    <t>VEGA, BRISA</t>
  </si>
  <si>
    <t>Veidovsky Ruben Maximo</t>
  </si>
  <si>
    <t>VEIDOVSKY, MAXIMO</t>
  </si>
  <si>
    <t>VEIDOVSKY, MÁXIMO</t>
  </si>
  <si>
    <t>VEIDOVSKY, RUBEN MAXIMO</t>
  </si>
  <si>
    <t>VELASQUEZ, ANTONIO</t>
  </si>
  <si>
    <t>VELIZ , Rocio</t>
  </si>
  <si>
    <t>Veliz Ayala Rocio Soledad</t>
  </si>
  <si>
    <t>VELIZ AYALA, Rocio</t>
  </si>
  <si>
    <t>Veliz Ayala, Rocio Soledad</t>
  </si>
  <si>
    <t>VELIZ AYALA,Rocio</t>
  </si>
  <si>
    <t>VELIZ, DAMIAN</t>
  </si>
  <si>
    <t>VELIZ, ROCIO</t>
  </si>
  <si>
    <t>VELOSO CORDOBA, BRIAN</t>
  </si>
  <si>
    <t>VELTRI</t>
  </si>
  <si>
    <t>VELTRI , Paula</t>
  </si>
  <si>
    <t>VELTRI PAULA</t>
  </si>
  <si>
    <t>veltri, p</t>
  </si>
  <si>
    <t>VELTRI, PAULA</t>
  </si>
  <si>
    <t>VENTRE, MARIA JOSE</t>
  </si>
  <si>
    <t>VENTURINI, NICOLAS</t>
  </si>
  <si>
    <t>VERA, DAIANA</t>
  </si>
  <si>
    <t>VERAMENDI ENZO</t>
  </si>
  <si>
    <t>VERAMENDI, ENZO</t>
  </si>
  <si>
    <t>VERDES, BARBARA NADIR</t>
  </si>
  <si>
    <t>VERDURA ELIAS</t>
  </si>
  <si>
    <t xml:space="preserve">VERDURA ELIAS </t>
  </si>
  <si>
    <t>VERDURA, ELIAS</t>
  </si>
  <si>
    <t>VERDURA, ELIAS URIEL</t>
  </si>
  <si>
    <t>VERON, BIANCA</t>
  </si>
  <si>
    <t>VERTI GASTON</t>
  </si>
  <si>
    <t>VERTI, GASTÓN</t>
  </si>
  <si>
    <t>Vesga Ivana</t>
  </si>
  <si>
    <t>VESGA, IVANA</t>
  </si>
  <si>
    <t>VIALE, GISELA</t>
  </si>
  <si>
    <t>VIEZZOLI, DIEGO</t>
  </si>
  <si>
    <t>VIFNOLLES, MACARENA</t>
  </si>
  <si>
    <t>Vignolles Macarena</t>
  </si>
  <si>
    <t>VIGNOLLES, MACARENA</t>
  </si>
  <si>
    <t>VILARO, LUDMILA</t>
  </si>
  <si>
    <t>VILARO, LUDMILA MAGALÍ</t>
  </si>
  <si>
    <t>VILARRUBIA JUSTINA</t>
  </si>
  <si>
    <r>
      <rPr>
        <sz val="11"/>
        <color rgb="FF000000"/>
        <rFont val="Calibri"/>
        <family val="2"/>
      </rPr>
      <t>VILCHES MARIELA</t>
    </r>
    <r>
      <rPr>
        <sz val="11"/>
        <color rgb="FF000000"/>
        <rFont val="Calibri"/>
        <family val="2"/>
      </rPr>
      <t xml:space="preserve"> </t>
    </r>
  </si>
  <si>
    <t>VILCHES, MARIANELA</t>
  </si>
  <si>
    <t>VILCHES, MARIELA</t>
  </si>
  <si>
    <t>VILLAGRA IARA</t>
  </si>
  <si>
    <t>VILLALBA, GUADALUPE AYELEN</t>
  </si>
  <si>
    <t>VILLALBA, GUSTAVO GABRIEL</t>
  </si>
  <si>
    <t>VILLALVA GABRIEL</t>
  </si>
  <si>
    <t>VILLALVA GABRIEL EZEQUIEL</t>
  </si>
  <si>
    <t>VILLANUEVA, CELESTE</t>
  </si>
  <si>
    <t>VILLANUEVA, CELESTE YAMILA</t>
  </si>
  <si>
    <t>VILLAR RODRIGO</t>
  </si>
  <si>
    <t>VILLAR, RODRIGO</t>
  </si>
  <si>
    <r>
      <rPr>
        <sz val="11"/>
        <color rgb="FF000000"/>
        <rFont val="Calibri"/>
        <family val="2"/>
      </rPr>
      <t>VILLAR, RODRIGO</t>
    </r>
    <r>
      <rPr>
        <sz val="11"/>
        <color rgb="FF000000"/>
        <rFont val="Calibri"/>
        <family val="2"/>
      </rPr>
      <t xml:space="preserve"> </t>
    </r>
  </si>
  <si>
    <t>VILLAROEL EZEQUIEL</t>
  </si>
  <si>
    <t>villaroel Oliveri Ezequiel Oliveri</t>
  </si>
  <si>
    <t>VILLARROEL OLIVERI, EZEQUIEL AGUSTIN</t>
  </si>
  <si>
    <t>Villarroel Olivieri Ezequiel Agustin</t>
  </si>
  <si>
    <t>VILLARROEL OLIVIERI, EZEQUIEL AGUSTIN</t>
  </si>
  <si>
    <t>VILLARRUBIA, JUSTINA</t>
  </si>
  <si>
    <t>VILLARUBIA JUSTINA</t>
  </si>
  <si>
    <t>VILLARUBIA, JUSTINA</t>
  </si>
  <si>
    <t>VILLEGAS RODRIGO</t>
  </si>
  <si>
    <t>VILLORDO</t>
  </si>
  <si>
    <t>WAGNER, KAREN</t>
  </si>
  <si>
    <t>WAGNER, KAREN STEPHANIE</t>
  </si>
  <si>
    <t>WOLANIK, MATIAS</t>
  </si>
  <si>
    <t>WOLANINK MATÍAS</t>
  </si>
  <si>
    <t>WOLANINK, MATÍAS</t>
  </si>
  <si>
    <t>YAÑEZ</t>
  </si>
  <si>
    <t>YAÑEZ VICENTE</t>
  </si>
  <si>
    <t>Yañez Vicente Juan Manuel</t>
  </si>
  <si>
    <t>YAÑEZ VICENTE, JUAN MANUEL</t>
  </si>
  <si>
    <t>YAÑEZ VICENTE, JUAN MANUEL Juan Manuel</t>
  </si>
  <si>
    <t>YAÑEZ. VICENTE</t>
  </si>
  <si>
    <t>YAPURA, JOHANNA</t>
  </si>
  <si>
    <t>YASKULOWSKI, SILVIA</t>
  </si>
  <si>
    <t>YASKULOWSKI, SILVIA DANIELA</t>
  </si>
  <si>
    <t>Yaskulowski. Silvia Daniela</t>
  </si>
  <si>
    <t>YUDI GISELLE</t>
  </si>
  <si>
    <t>YUFRA YOHANA</t>
  </si>
  <si>
    <t>YUFRA, YOHANA BELEN</t>
  </si>
  <si>
    <t>YUFRA, YOHANNA</t>
  </si>
  <si>
    <t>YUFRA,YOHANNA</t>
  </si>
  <si>
    <t>ZABALETA GUTIERREZ, MICHELLE STHEPHANY</t>
  </si>
  <si>
    <t>ZABALETA, MICHELLE</t>
  </si>
  <si>
    <t>Zabaleta, Michelle Sthephany</t>
  </si>
  <si>
    <t>ZAMERO, DAIANA</t>
  </si>
  <si>
    <t>ZAMORA STELLA SOLEDAD</t>
  </si>
  <si>
    <t>ZAMUDIO, ALEJANDRO</t>
  </si>
  <si>
    <t>ZAMUDIO, ALEJANDRO GASTON</t>
  </si>
  <si>
    <t>ZANUY</t>
  </si>
  <si>
    <t>ZANUY JERONIMO</t>
  </si>
  <si>
    <r>
      <rPr>
        <sz val="11"/>
        <color rgb="FF000000"/>
        <rFont val="Calibri"/>
        <family val="2"/>
      </rPr>
      <t>ZANUY JERONIMO</t>
    </r>
    <r>
      <rPr>
        <sz val="11"/>
        <color rgb="FF000000"/>
        <rFont val="Calibri"/>
        <family val="2"/>
      </rPr>
      <t xml:space="preserve"> </t>
    </r>
  </si>
  <si>
    <r>
      <rPr>
        <sz val="11"/>
        <color rgb="FF000000"/>
        <rFont val="Calibri"/>
        <family val="2"/>
      </rPr>
      <t>ZANUY, JERONIMO</t>
    </r>
    <r>
      <rPr>
        <sz val="11"/>
        <color rgb="FF000000"/>
        <rFont val="Calibri"/>
        <family val="2"/>
      </rPr>
      <t xml:space="preserve"> </t>
    </r>
  </si>
  <si>
    <t>ZARZOLI FLORENCIA</t>
  </si>
  <si>
    <t>ZASLAVSKY, SANDRA</t>
  </si>
  <si>
    <t>Zavaleta Gutierrez, Michelle Sthephany</t>
  </si>
  <si>
    <t>ZAVLASKY, SANDRA</t>
  </si>
  <si>
    <t>ZELARAYAN, MIRELLA</t>
  </si>
  <si>
    <t>ZORAIRE MICAELA</t>
  </si>
  <si>
    <t>ZORAIRE, MICAELA</t>
  </si>
  <si>
    <t>ZORAIRE, ROMINA</t>
  </si>
  <si>
    <t>ZORZOLI FLORENCIA</t>
  </si>
  <si>
    <r>
      <rPr>
        <sz val="11"/>
        <color rgb="FF000000"/>
        <rFont val="Calibri"/>
        <family val="2"/>
      </rPr>
      <t>ZORZOLI, FLORENCIA</t>
    </r>
    <r>
      <rPr>
        <sz val="11"/>
        <color rgb="FF000000"/>
        <rFont val="Calibri"/>
        <family val="2"/>
      </rPr>
      <t xml:space="preserve"> </t>
    </r>
  </si>
  <si>
    <t>SITUACION DE CALLE/VULNERABILIDAD</t>
  </si>
  <si>
    <t>TIPIFICACION</t>
  </si>
  <si>
    <t>UBICACION</t>
  </si>
  <si>
    <t>TOTAL ARRIBO</t>
  </si>
  <si>
    <t>TOTAL EVENTOS</t>
  </si>
  <si>
    <t>MODALIDAD</t>
  </si>
  <si>
    <t>MOTOCHORRO</t>
  </si>
  <si>
    <t>ARREBATO</t>
  </si>
  <si>
    <t>CANGURO</t>
  </si>
  <si>
    <t>MECHERO/MOSTACERO</t>
  </si>
  <si>
    <t>AUTOMOTOR/AUTOPARTE</t>
  </si>
  <si>
    <t>MANO ARMADA</t>
  </si>
  <si>
    <t>PIRAÑA</t>
  </si>
  <si>
    <t>AUSENCIA MORADOR</t>
  </si>
  <si>
    <t>ESCALAMIENTO</t>
  </si>
  <si>
    <t>BRONCE/PICAPORTE</t>
  </si>
  <si>
    <t>OTRO</t>
  </si>
  <si>
    <t>-</t>
  </si>
  <si>
    <t>AMENAZA DE BOMBA/INTIMIDACION</t>
  </si>
  <si>
    <t>IDENTIFICACION VEHICULAR</t>
  </si>
  <si>
    <t>TOBILLERA</t>
  </si>
  <si>
    <t>SALIDERA BANCARIA</t>
  </si>
  <si>
    <t>BICICLETA</t>
  </si>
  <si>
    <t>PROPIEDAD PRIVADA</t>
  </si>
  <si>
    <t>COMERCIO</t>
  </si>
  <si>
    <t>CHACARITA</t>
  </si>
  <si>
    <t>U</t>
  </si>
  <si>
    <t>CARTA</t>
  </si>
  <si>
    <t>Villa Luro</t>
  </si>
  <si>
    <t>10C</t>
  </si>
  <si>
    <t>PUERTO MADERO</t>
  </si>
  <si>
    <t>VILLA LUGANO</t>
  </si>
  <si>
    <t>RODRIGUEZ CRISTIAN</t>
  </si>
  <si>
    <t>CACERES, SOFIA</t>
  </si>
  <si>
    <t xml:space="preserve">LAHITTE HECTOR </t>
  </si>
  <si>
    <t>ANDRADE JOHANNA</t>
  </si>
  <si>
    <t xml:space="preserve">ROJAS MELANIE </t>
  </si>
  <si>
    <t>CISNEROS, HECTOR</t>
  </si>
  <si>
    <t>F</t>
  </si>
  <si>
    <t>EN CURSO</t>
  </si>
  <si>
    <t>San Telmo</t>
  </si>
  <si>
    <t>1F</t>
  </si>
  <si>
    <t>15C</t>
  </si>
  <si>
    <t>SISEP</t>
  </si>
  <si>
    <t>Constitucion</t>
  </si>
  <si>
    <t>San Cristobal</t>
  </si>
  <si>
    <t>3B</t>
  </si>
  <si>
    <t>Caballito</t>
  </si>
  <si>
    <t>6A</t>
  </si>
  <si>
    <t>Balvanera</t>
  </si>
  <si>
    <t>3A</t>
  </si>
  <si>
    <t>MONITOREO</t>
  </si>
  <si>
    <t>Parque Chacabuco</t>
  </si>
  <si>
    <t>7B</t>
  </si>
  <si>
    <t>San Nicolas</t>
  </si>
  <si>
    <t>1B</t>
  </si>
  <si>
    <t>Nueva Pompeya</t>
  </si>
  <si>
    <t>4B</t>
  </si>
  <si>
    <t>Villa Lugano</t>
  </si>
  <si>
    <t>8A</t>
  </si>
  <si>
    <t>Villa Soldati</t>
  </si>
  <si>
    <t>8B</t>
  </si>
  <si>
    <t>5A</t>
  </si>
  <si>
    <t>1 DETENIDO</t>
  </si>
  <si>
    <t>Flores</t>
  </si>
  <si>
    <t>7A</t>
  </si>
  <si>
    <t>Monserrat</t>
  </si>
  <si>
    <t>3C</t>
  </si>
  <si>
    <t>Villa Pueyrredon</t>
  </si>
  <si>
    <t>12B</t>
  </si>
  <si>
    <t>Belgrano</t>
  </si>
  <si>
    <t>14C</t>
  </si>
  <si>
    <t>Floresta</t>
  </si>
  <si>
    <t>Palermo</t>
  </si>
  <si>
    <t>6B</t>
  </si>
  <si>
    <t>Villa Devoto</t>
  </si>
  <si>
    <t>11B</t>
  </si>
  <si>
    <t>Chacarita</t>
  </si>
  <si>
    <t>15A</t>
  </si>
  <si>
    <t>CONSTITUCION 32</t>
  </si>
  <si>
    <t>1C</t>
  </si>
  <si>
    <t>FRECUENCIA</t>
  </si>
  <si>
    <t>Colegiales</t>
  </si>
  <si>
    <t>13C</t>
  </si>
  <si>
    <t>13A</t>
  </si>
  <si>
    <t>FLORES O256</t>
  </si>
  <si>
    <t>Boedo</t>
  </si>
  <si>
    <t>La Boca</t>
  </si>
  <si>
    <t>4C</t>
  </si>
  <si>
    <t>14A</t>
  </si>
  <si>
    <t>Almagro</t>
  </si>
  <si>
    <t>Mataderos</t>
  </si>
  <si>
    <t>9A</t>
  </si>
  <si>
    <t>5B</t>
  </si>
  <si>
    <t>Parque Avellaneda</t>
  </si>
  <si>
    <t>9C</t>
  </si>
  <si>
    <t>Villa Crespo</t>
  </si>
  <si>
    <t>15B</t>
  </si>
  <si>
    <t>14B</t>
  </si>
  <si>
    <t>Puerto Madero</t>
  </si>
  <si>
    <t>1E</t>
  </si>
  <si>
    <t>Saavedra</t>
  </si>
  <si>
    <t>12A</t>
  </si>
  <si>
    <t>Recoleta</t>
  </si>
  <si>
    <t>10A</t>
  </si>
  <si>
    <t>Parque Chas</t>
  </si>
  <si>
    <t>CONSTITUCION35</t>
  </si>
  <si>
    <t>7C</t>
  </si>
  <si>
    <t>La Paternal</t>
  </si>
  <si>
    <t>Retiro</t>
  </si>
  <si>
    <t>1A</t>
  </si>
  <si>
    <t>4D</t>
  </si>
  <si>
    <t>2A</t>
  </si>
  <si>
    <t>CONSTITUCION 74</t>
  </si>
  <si>
    <t>Parque Patricios</t>
  </si>
  <si>
    <t>4A</t>
  </si>
  <si>
    <t>1D</t>
  </si>
  <si>
    <t>MARTINEZ</t>
  </si>
  <si>
    <t>HERRERA FLORENCIA</t>
  </si>
  <si>
    <t>QUINTANA, GILDA</t>
  </si>
  <si>
    <t>MOLINA, JOSE MANUEL</t>
  </si>
  <si>
    <t>VAZQUEZ ELIANA</t>
  </si>
  <si>
    <t>V. SOLDATI 52/ ATI O115</t>
  </si>
  <si>
    <t>CONSTITUCION49</t>
  </si>
  <si>
    <t>FLORESO165</t>
  </si>
  <si>
    <t>1 DETENIDO.</t>
  </si>
  <si>
    <t>BALVANERA69</t>
  </si>
  <si>
    <t>BALVANERA27/O145</t>
  </si>
  <si>
    <t>FLORESO254</t>
  </si>
  <si>
    <t>1 TRASLADO DE SAME</t>
  </si>
  <si>
    <t>PALERMO15</t>
  </si>
  <si>
    <t>V DEVOTO15CAM02</t>
  </si>
  <si>
    <t>BOCA46/113</t>
  </si>
  <si>
    <t>COLEGIALES34</t>
  </si>
  <si>
    <t>transito</t>
  </si>
  <si>
    <t>MONSERRAT48</t>
  </si>
  <si>
    <t>BALVANERAO141</t>
  </si>
  <si>
    <t>V. DEL PARQUE65</t>
  </si>
  <si>
    <t>Villa del Parque</t>
  </si>
  <si>
    <t>ALMAGRO36</t>
  </si>
  <si>
    <t>2 DETENIDOS.</t>
  </si>
  <si>
    <t>BARRACAS18</t>
  </si>
  <si>
    <t>Barracas</t>
  </si>
  <si>
    <t>BOCA 59 CAM01</t>
  </si>
  <si>
    <t>RECOLETA42</t>
  </si>
  <si>
    <t>2B</t>
  </si>
  <si>
    <t>PALERMO240</t>
  </si>
  <si>
    <t>P. CHACABUCO51</t>
  </si>
  <si>
    <t>PALERMOO240</t>
  </si>
  <si>
    <t>1 CONTRAVENTOR.</t>
  </si>
  <si>
    <t>CABALLITO41</t>
  </si>
  <si>
    <t>FLORES76</t>
  </si>
  <si>
    <t>RECOLETA17</t>
  </si>
  <si>
    <t>BUSTAMANTE, LIS</t>
  </si>
  <si>
    <t>CUELLOS, JOAQUIN</t>
  </si>
  <si>
    <t xml:space="preserve">ESPINOLA CAROLINA </t>
  </si>
  <si>
    <t>ALCOBA</t>
  </si>
  <si>
    <t>MONSERRAT 33</t>
  </si>
  <si>
    <t>PALERMO 18</t>
  </si>
  <si>
    <t>PALERMO O235</t>
  </si>
  <si>
    <t>PALERMO O210</t>
  </si>
  <si>
    <t>BALVANERA 50</t>
  </si>
  <si>
    <t>ALMAGRO81 CAM02</t>
  </si>
  <si>
    <t>BALVANERA29 CAM02</t>
  </si>
  <si>
    <t>ALMAGRO 85</t>
  </si>
  <si>
    <t>BALVANERA 57</t>
  </si>
  <si>
    <t>BALVANERA 56</t>
  </si>
  <si>
    <t>BARRACAS 79 CAM01</t>
  </si>
  <si>
    <t>BALVANERA O114</t>
  </si>
  <si>
    <t>V. SOLDATI 19</t>
  </si>
  <si>
    <t>PALERMO O226</t>
  </si>
  <si>
    <t>FLORES O118/CAM 01 03</t>
  </si>
  <si>
    <t>BALVANERA O149</t>
  </si>
  <si>
    <t>FLORES O264</t>
  </si>
  <si>
    <t>BALVANERA 75</t>
  </si>
  <si>
    <t>RETIRO 05</t>
  </si>
  <si>
    <t>S. TELMO 18 CAM02</t>
  </si>
  <si>
    <t>CABALLITO O152</t>
  </si>
  <si>
    <t>PALERMO 33</t>
  </si>
  <si>
    <t xml:space="preserve">PALERMO 92 </t>
  </si>
  <si>
    <t>PALERMO O123</t>
  </si>
  <si>
    <t>BOEDO O127</t>
  </si>
  <si>
    <t>FLORESTA 35</t>
  </si>
  <si>
    <t>P. CHACABUCO O145</t>
  </si>
  <si>
    <t>FLORES O101 CAM01/03</t>
  </si>
  <si>
    <t>PALERMO O240</t>
  </si>
  <si>
    <t>BALVANERA 72</t>
  </si>
  <si>
    <t>PATERNAL 17</t>
  </si>
  <si>
    <t>PALERMO 53</t>
  </si>
  <si>
    <t>MATADEROS O178 CAM 01</t>
  </si>
  <si>
    <t>NUEVA POMPEYA 16</t>
  </si>
  <si>
    <t>FLORES O102 CAM02</t>
  </si>
  <si>
    <t>PALERMO 98 CAM01</t>
  </si>
  <si>
    <t>CONSTITUCION O135</t>
  </si>
  <si>
    <t>CABALLITO74 CAM01</t>
  </si>
  <si>
    <t>V. PUEYRREDON 10 CAM01</t>
  </si>
  <si>
    <t>FLORESTA 50</t>
  </si>
  <si>
    <t>S. CRISTOBAL 19</t>
  </si>
  <si>
    <t>FLORESO189</t>
  </si>
  <si>
    <t>SAN NICOLAS42</t>
  </si>
  <si>
    <t>ALMAGRO59</t>
  </si>
  <si>
    <t>NUEVA POMPEYA 70</t>
  </si>
  <si>
    <t>S. NICOLAS 40</t>
  </si>
  <si>
    <t>CONSTITUCION O122</t>
  </si>
  <si>
    <t>V. CRESPO 09</t>
  </si>
  <si>
    <t>PALERMO O118</t>
  </si>
  <si>
    <t xml:space="preserve">CONSTITUCION 17 </t>
  </si>
  <si>
    <t>BALVANERA02</t>
  </si>
  <si>
    <t>NUEVA POMPEYA 59</t>
  </si>
  <si>
    <t>V. SOLDATI O115</t>
  </si>
  <si>
    <t>V. LUGANO O 241</t>
  </si>
  <si>
    <t>P. AVELLANEDA 54</t>
  </si>
  <si>
    <t>FLORES 75</t>
  </si>
  <si>
    <t>BALVANERA 53</t>
  </si>
  <si>
    <t>CHACARITA 20</t>
  </si>
  <si>
    <t xml:space="preserve">S. NICOLAS 89 </t>
  </si>
  <si>
    <t>BALVANERA O117</t>
  </si>
  <si>
    <t>V. LUGANO O154</t>
  </si>
  <si>
    <t>CABALLITO 07</t>
  </si>
  <si>
    <t>P. CHACABUCO 54 CAM02</t>
  </si>
  <si>
    <t>CABALLITO O145</t>
  </si>
  <si>
    <t>CABALLITO 55</t>
  </si>
  <si>
    <t>V. CRESPO 20 CAM 01</t>
  </si>
  <si>
    <t>VILLA LURO 20CAM 2</t>
  </si>
  <si>
    <t>VILLA DEVOTO 119</t>
  </si>
  <si>
    <t xml:space="preserve">MONSERRAT51 </t>
  </si>
  <si>
    <t>RECOLETA 33</t>
  </si>
  <si>
    <t>PATRICIOS 66</t>
  </si>
  <si>
    <t>MADERO 51</t>
  </si>
  <si>
    <t>RECOLETA O118</t>
  </si>
  <si>
    <t>FLORES03</t>
  </si>
  <si>
    <t>V. LUGANO O104</t>
  </si>
  <si>
    <t>BALVANERA 45</t>
  </si>
  <si>
    <t>CONSTITUCION27</t>
  </si>
  <si>
    <t>P. CHACABUCO O128</t>
  </si>
  <si>
    <t>CHACARITA 42</t>
  </si>
  <si>
    <t>BALVANERA 66 CAM 03</t>
  </si>
  <si>
    <t>FLORES 24</t>
  </si>
  <si>
    <t>LINEA E_RETIRO CAM5</t>
  </si>
  <si>
    <t>Subte</t>
  </si>
  <si>
    <t>AGRONOMIA 17</t>
  </si>
  <si>
    <t>Agronomia</t>
  </si>
  <si>
    <t>CABALLITO 68</t>
  </si>
  <si>
    <t>CONSTITUCION 27</t>
  </si>
  <si>
    <t>CONSTITUCION 19</t>
  </si>
  <si>
    <t>V. LUGANO O128</t>
  </si>
  <si>
    <t>MATADEROS O178CAM02</t>
  </si>
  <si>
    <t>FLORESTA43</t>
  </si>
  <si>
    <t>P. CHAS 30</t>
  </si>
  <si>
    <t>V. LUGANO O187</t>
  </si>
  <si>
    <t xml:space="preserve">CONSTITUCION 54 </t>
  </si>
  <si>
    <t>N. POMPEYA O103</t>
  </si>
  <si>
    <t>BELGRANO 78</t>
  </si>
  <si>
    <t>SE TOMA CONOCIMIENTO MEDIANTE CARTA SAE FEMENINA REF QUE HABRIA UN PACIENTE DE 30 AÑOS QUE TIENE TRASTORNO DE LA CONDUCTA. SE AMPLIA: INF M 1113A EN INTERIOR DEPARTAMENTO CON FEM, NEGATIVO PERSONA EN TENTATIVA DE SUICIDIO. SE ENCUENTRA ENTREVISTANDO A PERSONAL DE ACUDIR QUE INDICO LA NOTIFICACION EN PRIMERA INSTANCIA</t>
  </si>
  <si>
    <t>SE TOMA CONOCIMIENTO MEDIANTE CARTA SAE HT IRRADIA ALERTA POR EXTRAVIO DE MASC. SE AMPLIA: HT IRRADIA ALERTA PARA DETENCION E IDENTIFICACION DE MASC EL CUAL RESPONDE AL NOMBRE DE SOSA BENITEZ MARCOS LEONEL EL CUAL PADECE RETRASO MADURATIVO DE 1,8 METROS DE ALTURA CONTEXTURA ROBUSTA POSEE UNA CICATRIZ EN EL ROSTRO, CABELLO CORTO Y EL CUAL VESTIA PANTALON AZUL DE GIMNASIA Y ZAPATILLAS CELESTES</t>
  </si>
  <si>
    <t>PATRICIOS 82</t>
  </si>
  <si>
    <t xml:space="preserve">SE TOMA CONOCIMIENTO MEDIANTE CARTA POR 2 MACULINOS INTENTANDO FORZAR UNA MOTO. SIENDO LAS 17:12 SE TOMA CAMARA PÁRQUE PATRICIOS 82 VISUALIZANDO A LA DENUNCIANTE CON LA MOTO.CMU AMPLIA MEDIANTE LINEA DE TIEMPO SIENDO LAS 17:08 MEDIANTE CAMARA PARQUE PATRICIOS 82 CAM 03 SE VISUALIZA APROXIMARSE DOS MASCULINOS HACIA LA MOTOVEHICULO Y COMENZANDO A MANIPULARLA , UNO DE ELLOS SE SUBE ABORDO DEL MOTOVEHICULO COMENZANDO A MANIPULARLO Y TRATANDO DE ROMPER EL TRABAVOLANTE EL MISMO VISTE DE PANTALON OSCURO CON FRANJA CLARA EN LOS COSTADOS , BUZO OSCURO Y EL SEGUNDO MASCULINO ROPAS OSCURAS CON UNA BOLSA EN MANO . SIENDO LAS 17:21 SE VISUELAIZA EL ARRIBO DE PERSONAL POLICIAL. SIENDO LAS 17:17 SE VISUALIZA EL RETIRO DE PERSONAL POLICIAL </t>
  </si>
  <si>
    <t>SAAVEDRA 30</t>
  </si>
  <si>
    <t xml:space="preserve">SE TOMA CONOCIMIENTO MEDIANTE CARTA SAE CM2012269 SOLICITA APOYO UNA PAREJA MOTOCICLISTA QUIENES AL QUERER DARSE A LA FUGA PIERDEN EL CONTROL A GRAN VELOCIDAD SOLICITANDO SAME POR TAL MOTIVO. SE AMPLIA: </t>
  </si>
  <si>
    <t>CONSTITUCION 91</t>
  </si>
  <si>
    <t>CMU BRINDA APOYO OLPTICO AL PERSONAL POLICIAL MEDIANTE CAMARA CONSTITUCION91 , HAY UN MASC REDUCIDO SIN NOVEDAD. SE TRATA DE UNA INCIDENCIA</t>
  </si>
  <si>
    <t>V. SARSFIELD 18</t>
  </si>
  <si>
    <t>Velez Sarsfield</t>
  </si>
  <si>
    <t>SE TOMA CONOCIMEINTO POR CARTA LLAMANTE INDICA QUE SU PADRE DE 80 AÑOS ESTARIA EN LA CAMA CON BAJOS SIGNOS VITALES,</t>
  </si>
  <si>
    <t xml:space="preserve">FLORES O112 </t>
  </si>
  <si>
    <t xml:space="preserve">SE TOMA COMNOCIMIENTO POR CARTA : CAJERO ELECTRICO INCENDIANDOSE. ARRIBA BOMBEROS . SE AMPLIA: </t>
  </si>
  <si>
    <t>CHACARITA 37</t>
  </si>
  <si>
    <t xml:space="preserve">SE VISUALIZA A PERSONA EN SITUACION DE VULNERABILIDAD. SE AMPLIA: </t>
  </si>
  <si>
    <t>S. NICOLAS 81</t>
  </si>
  <si>
    <t>SE TOMA CONOCIMIENTO POR HT ID 1381 SE ENCUENTRA CON UN MENOR DE 17 AÑOS CON PARADERO SOLICITA SAME</t>
  </si>
  <si>
    <t>S. CRISTOBAL 62</t>
  </si>
  <si>
    <t>BELGRANO 98/02</t>
  </si>
  <si>
    <t>SE VISUALIZA TRES FEMENINAS INGRESAR Y EGRESAR DE COMERCIOS MOMENTO EN EL CUAL DOS DE ELLAS SE RETIRA A LA VELOZ CARRERA CON BOLSAS. ARRIBA PERSONAL DANDO CON LAS DOS FEMENINOS Y MERCADERIA.</t>
  </si>
  <si>
    <t>CHACARITA 56</t>
  </si>
  <si>
    <t>FALTA GAP</t>
  </si>
  <si>
    <t>NO CARGA COMUNA</t>
  </si>
  <si>
    <t>NO CARGA ORIGEN</t>
  </si>
  <si>
    <t>AT Y RES-PORT. ARMA NO CONV- LEY 23737</t>
  </si>
  <si>
    <t>ROBO MOTOVEHICULO</t>
  </si>
  <si>
    <t>MOTO SIN DOMINIO</t>
  </si>
  <si>
    <t>MAL TIPIFICADO</t>
  </si>
  <si>
    <t>MAL TIPIFICADO-NOCARGA IMPUTADO</t>
  </si>
  <si>
    <t>MAL TIPIFICADO-NO CARGA IMPUTADO</t>
  </si>
  <si>
    <t>MOTO REMITIDA FALTA DE DOCUMENTACION</t>
  </si>
  <si>
    <t>FALTA GAP-HS</t>
  </si>
  <si>
    <t>1 DETENIDO POR LINEA DE TIEMPO.- * PERSONAL POLICIAL SE ENCONTRABA EN EL LUGAR DEL FOCO- *NO TIENE CIERRE NUESTRO</t>
  </si>
  <si>
    <t>COLABORACION CON INTERVENCION DIRECTA CON IMPUTADOS</t>
  </si>
  <si>
    <t>LO VEMOS ANTES QUE ARRIBE EL PERSONAL POLICIAL Y LE DAMOS LAS DESCRIPCIONES AL PERSONAL</t>
  </si>
  <si>
    <t>1 TRASLADO 1 IMPUTADO</t>
  </si>
  <si>
    <t>*NO CARGA IMPUTADO, *NO CARGA TRASLADO.</t>
  </si>
  <si>
    <t>1 IMPUTADO</t>
  </si>
  <si>
    <t>*NO CARGA IMPUTADO</t>
  </si>
  <si>
    <t>1 INFRACTOR MUNICIPAL</t>
  </si>
  <si>
    <t>NO CARGA COMUNA- * NO CARGA DETENIDO</t>
  </si>
  <si>
    <t>ANTONELLA</t>
  </si>
  <si>
    <t>ALCARAZ, ARIEL</t>
  </si>
  <si>
    <t>PERRONE, JULIANA</t>
  </si>
  <si>
    <t>CAMPOS MARIA EUGENIA</t>
  </si>
  <si>
    <t>RODRIGUEZ, JOSEFINA</t>
  </si>
  <si>
    <t>CACERES MATIAS</t>
  </si>
  <si>
    <t>VILLA LUGANOO159</t>
  </si>
  <si>
    <t>01 TRASLADO SAME</t>
  </si>
  <si>
    <t>NUEVA POMPEYA 41</t>
  </si>
  <si>
    <t>NUEVA POMPEYA 94</t>
  </si>
  <si>
    <t>VILLA DEVOTO 92</t>
  </si>
  <si>
    <t>SAN NICOLAS 60</t>
  </si>
  <si>
    <t>CONSTITUCION 23</t>
  </si>
  <si>
    <t>COLEGIALES 15</t>
  </si>
  <si>
    <t>CONSTITUCION 65</t>
  </si>
  <si>
    <t>BELGRANO O111</t>
  </si>
  <si>
    <t>LINIERS73</t>
  </si>
  <si>
    <t>Liniers</t>
  </si>
  <si>
    <t>9B</t>
  </si>
  <si>
    <t>V CRESPO 51</t>
  </si>
  <si>
    <t>RETIRO 58</t>
  </si>
  <si>
    <t>FLORES 20</t>
  </si>
  <si>
    <t>SAN NICOLAS 10</t>
  </si>
  <si>
    <t>RECOLETA 40</t>
  </si>
  <si>
    <t>ALMAGRO 17</t>
  </si>
  <si>
    <t>CABALLITO 47</t>
  </si>
  <si>
    <t>BOEDO O116</t>
  </si>
  <si>
    <t>VILLA LUGANO 59</t>
  </si>
  <si>
    <t>BALVANERA O106</t>
  </si>
  <si>
    <t>PALERMO O230</t>
  </si>
  <si>
    <t>03 CONTRAVENTORES</t>
  </si>
  <si>
    <t>PALERMO O233</t>
  </si>
  <si>
    <t>FLORES 03</t>
  </si>
  <si>
    <t>NUÑEZ 37</t>
  </si>
  <si>
    <t>Nuñez</t>
  </si>
  <si>
    <t>13B</t>
  </si>
  <si>
    <t>01 DETENIDO</t>
  </si>
  <si>
    <t>FLORES O119</t>
  </si>
  <si>
    <t>ALMAGRO 28</t>
  </si>
  <si>
    <t>VILLA LUGANOO104</t>
  </si>
  <si>
    <t>ALMAGRO 71</t>
  </si>
  <si>
    <t>FLORESTA 38</t>
  </si>
  <si>
    <t>PALERMO O144</t>
  </si>
  <si>
    <t>VELEZ SARSFIELD 02</t>
  </si>
  <si>
    <t>VILLA LUGANO O234</t>
  </si>
  <si>
    <t>CABALLITO O138</t>
  </si>
  <si>
    <t xml:space="preserve">BOEDO 75 </t>
  </si>
  <si>
    <t>CHACARITA 48</t>
  </si>
  <si>
    <t xml:space="preserve">BALVANERA 18 </t>
  </si>
  <si>
    <t>MONSERRAT 61</t>
  </si>
  <si>
    <t>RETIRO 31/59</t>
  </si>
  <si>
    <t>SAN CRISTOBAL 58</t>
  </si>
  <si>
    <t>COLEGIALES 31</t>
  </si>
  <si>
    <t>ALMAGRO 03</t>
  </si>
  <si>
    <t xml:space="preserve">BALVANERA 41 </t>
  </si>
  <si>
    <t>PALERMO O133</t>
  </si>
  <si>
    <t>SAN NICOLAS 97</t>
  </si>
  <si>
    <t>PUERTO MADERO 44</t>
  </si>
  <si>
    <t>SAN NICOLAS 92</t>
  </si>
  <si>
    <t>SAN TELMO 01</t>
  </si>
  <si>
    <t>CONSTITUCION 46</t>
  </si>
  <si>
    <t>BARRACAS O122</t>
  </si>
  <si>
    <t>BALVANERA 89</t>
  </si>
  <si>
    <t>PATERNAL 28 CAM01/02</t>
  </si>
  <si>
    <t>COGHLAN 46</t>
  </si>
  <si>
    <t>Coghlan</t>
  </si>
  <si>
    <t>FLORES 05</t>
  </si>
  <si>
    <t>AGUERO EDITH</t>
  </si>
  <si>
    <t>01 TRASLADO SAME- 1 IMPUTADO</t>
  </si>
  <si>
    <t>NO CARGA IMPUTADO</t>
  </si>
  <si>
    <t>*NO CARGA IMPUTADO NI TRASLADO</t>
  </si>
  <si>
    <t>1 IMPUTADO 1 TRASLADO SAME</t>
  </si>
  <si>
    <t>* NO CARGA COMUNA</t>
  </si>
  <si>
    <t>COMPLETA CON DETENIDOS</t>
  </si>
  <si>
    <t>FINALIZA CON IMPUTADOS</t>
  </si>
  <si>
    <t>SE TOMA CONOCIMIENTO MEDIANTE CARTA SAE N.° 48299818, EN LA CUAL EL DENUNCIANTE REFIERE QUE A UN MASCULINO LE HABRÍAN ROBADO Y GOLPEADO EN LA FRENTE CON UN ARMA DE FUEGO. 
A LAS 00:03 SE TOMA CÁMARA VILLA SOLDATI52, EMPLAZADA EN MARIANO ACOSTA 3402 Y R. TRIANA, VISUALIZÁNDOSE AL MASCULINO DAMNIFICADO EN EL SUELO Y A DOS PERSONAS ASISTIENDO EN EL LUGAR. 
A LAS 00:07 ARRIBA PERSONAL POLICIAL Y SE TOMA CÁMARA VILLA SOLDATI115, EMPLAZADA EN VERACRUZ 3427 Y MARIANO ACOSTA, OBSERVÁNDOSE AL PERSONAL POLICIAL ACOMPAÑAR AL DAMNIFICADO HACIA EL INTERIOR DEL BARRIO, PERDIÉNDOSE DE LA VISUAL DE LAS CÁMARAS. 
A LAS 00:19 EL PERSONAL REGRESA CON EL DAMNIFICADO Y UN MOTOVEHÍCULO; 
A LAS 00:22 SE RETIRA PERSONAL POLICIAL CON TRASLADO DEL MOTOVEHÍCULO Y DEL DAMNIFICADO. POSTERIORMENTE, MEDIANTE AMPLIACIÓN DE CARTA SAE, MÓVIL 608 INFORMA QUE EL MASCULINO HABÍA ACORDADO UNA CITA CON UN FEMENINO MEDIANTE APLICACIÓN; AL CAMINAR UNOS METROS INGRESA A UN EDIFICIO NO IDENTIFICADO Y, AL SUBIR AL PRIMER PISO, TRES MASCULINOS, UNO ARMADO CON UN ARMA DE FUEGO, LE SUSTRAEN UN TELÉFONO CELULAR SAMSUNG A04 VERDE OSCURO Y LE PROPINAN UN GOLPE CON EL ARMA EN LA FRENTE. EL MISMO MÓVIL INFORMA QUE PERSONAL DE SAME, INTERNO 414 PROVENIENTE DEL CESAC 3 A CARGO DE LA DRA. SOSA MÍRIAM MN 131360, ASISTE Y DERIVA AL HOSPITAL GRIERSON CON DIAGNÓSTICO DE CONTUSIÓN Y HEMORRAGIA SANGRANTE. SE REALIZÓ CONSULTA CON LA FISCALÍA NACIONAL CRIMINAL Y CORRECCIONAL N.° 52, A CARGO DE LA DRA. MONTELEONE ROMINA, SECRETARIA ÚNICA A CARGO DE LA DRA. SÁNCHEZ, DISPONIÉNDOSE ACTUACIONES POR ROBO Y LESIONES.</t>
  </si>
  <si>
    <t>SE TOMA CONOCIMIENTO MEDIANTE CARTA SAE N°48299935. FEMENINA INDICA QUE ESTARÍAN LAS PUERTAS DE LA ESCUELA ABIERTAS. 
00:30. SE TOMA CÁMARA CONSTITUCION49 EMPLAZADA EN ENTRE RÍOS 1338 Y COCHABAMBA DONDE SE VISUALIZA ARRIBO DEL PERSONAL POLICIAL. 
00:37. SE RETIRA PERSONAL POLICIAL DANDO ASÍ POR FINALIZADO ESTE EVENTO. POSTERIORMENTE SE NOTIFICA MEDIANTE AMPLIACIÓN SAE MOVIL603 INFORMA. SE ENTREVISTÓ CON EL PORTERO E INFORMA NEGATIVO LO MENCIONADO.</t>
  </si>
  <si>
    <t>SE TOMA CONOCIMIENTO MEDIANTE CARTA SAE N.° 48299989, FEMENINO REFIERE QUE UN MASCULINO CON FRAZADA MARRÓN Y GORRO SE HABRÍA ROBADO LOS FUSIBLES DE LUZ Y SE DIRIGIÓ POR RECUERO HACIA RIVERA INDARTE. 
A LAS 00:45 SE TOMA CÁMARA FLORESO252 EMPLAZADA EN EVA PERÓN 2397 Y RIVERA INDARTE, DONDE SE VISUALIZA AL PERSONAL POLICIAL CON UN MASCULINO DE SIMILARES CARACTERÍSTICAS DEMORADO EN EL LUGAR. 
SE REALIZA LÍNEA DE TIEMPO POR LA CÁMARA FLORESO165CAM02 EMPLAZADA EN CASIMIRO RECUERO 2380 Y ROBERTSON, 
SIENDO LAS 00:38 CUANDO SE VISUALIZA EL LUGAR CON LUZ ENCENDIDA, LUEGO SE CORTA, Y POSTERIORMENTE, 
A LAS 00:40, SE VISUALIZA AL MASCULINO DESCRIPTO SALIR DEL LUGAR, DANDO POR FINALIZADA LA LÍNEA DE TIEMPO. A LA 
01:31 SE RETIRA MÓVIL POLICIAL CON TRASLADO DEL MASCULINO EN CALIDAD DE DETENIDO. POSTERIORMENTE, SE AMPLÍA MEDIANTE CARTA SAE QUE MÓVIL 907ª INFORMA QUE SE REALIZÓ CONSULTA CON LA FISCALÍA N.° 30 A CARGO DEL DR. RECINI Y SECRETARIA ÚNICA DEL DR. CAMPANA, QUIENES DISPONEN ACTUACIONES POR TENTATIVA DE ROBO, AVALAN LA DETENCIÓN DEL MASCULINO Y SOLICITAN REGISTRO FÍLMICO DE CMU.</t>
  </si>
  <si>
    <t>SE TOMA CONOCIMIENTO MEDIANTE MODULACIÓN HT DE PERSONAL POLICIAL EN PERSECUCIÓN EN VIRREY CEVALLOS E INDEPENDENCIA. 
SIENDO LAS 01:17, MEDIANTE CÁMARA CONSTITUCIÓN 94 CAM03 EMPLAZADA EN ESTADOS UNIDOS Y SOLÍS, SE VISUALIZA A UN MOTOVEHÍCULO CIRCULAR EN CONTRAMANO POR SOLÍS, DOBLANDO EN ESTADOS UNIDOS HACIA ENTRE RÍOS EN CONTRAMANO, PERSEGUIDO POR MÓVIL POLICIAL. SE DA AVISO A COMANDO GENERANDO CARTA SAE N.° 48300083. POSTERIORMENTE, MEDIANTE CÁMARA SAN CRISTÓBAL 15 EMPLAZADA EN ENTRE RÍOS E INDEPENDENCIA, SE VISUALIZA AL MOTOVEHÍCULO CIRCULAR POR ENTRE RÍOS SENTIDO A RIVADAVIA. 
SIENDO LAS 01:18, MEDIANTE CÁMARA MONSERRAT 20 EMPLAZADA EN RIVADAVIA Y ENTRE RÍOS, SE VISUALIZA EL MOTOVEHÍCULO POR CALLAO SENTIDO A CORRIENTES. 
A LAS 01:19, MEDIANTE CÁMARA SAN NICOLÁS 50 EMPLAZADA EN CALLAO Y LAVALLE, SE VISUALIZA AL MOTOVEHÍCULO CIRCULAR POR LAVALLE SENTIDO A RIOBAMBA. 
A LAS 01:20, MEDIANTE CÁMARA BALVANERA 69 EMPLAZADA EN VIAMONTE Y JUNÍN, SE VISUALIZA A PERSONAL POLICIAL CON UN MASCULINO REDUCIDO Y UN MOTOVEHÍCULO EN EL SUELO. 
SE REALIZA LÍNEA DE TIEMPO MEDIANTE CÁMARA BALVANERA 69 CAM01, DONDE SE OBSERVA AL MÓVIL CAER Y DETENERSE. MEDIANTE CÁMARA CONSTITUCIÓN 68 CAM03, EMPLAZADA EN CONSTITUCIÓN Y SAN JOSÉ, SE VISUALIZA EL PASO DEL MOTOVEHÍCULO EN PERSECUCIÓN CON MÓVIL POLICIAL. 
A LAS 01:59, SE VISUALIZA EL ARRIBO DE SAME Y 
A LAS 02:55 SE RETIRA SAME CON TRASLADO DEL MASCULINO. POSTERIORMENTE, MEDIANTE AMPLIACIÓN DE CARTA SAE, MÓVIL 601 INFORMA QUE ARRIBÓ SAME INTERNO 379 DE BASE CÓRDOBA, QUIEN ASISTE Y DERIVA A CARGO DEL DR. MOLINA AL HOSPITAL RAMOS MEJÍA MASCULINO CON DIAGNÓSTICO DE POLITRAUMATISMO; SAME INTERNO 380 DE BASE CÓRDOBA ASISTE Y DERIVA A CARGO DE LA DRA. PEREYRA AL HOSPITAL RAMOS MEJÍA FEMENINO CON DIAGNÓSTICO DE TRAUMATISMO MODERADO. QUEDA CONSIGNA POLICIAL DEL MASCULINO DEMORADO. SE EFECTUÓ CONSULTA CON UNIDAD DE FLAGRANCIA ESTE A CARGO DEL DR. DE BRASSI, QUIEN LABRA ACTUACIONES POR ARTÍCULO 239 ATENTADO Y RESISTENCIA, INFRACCIÓN AL ARTÍCULO 103 POR PORTACIÓN DE ARMA CONVENCIONAL, INFRACCIÓN A LA LEY 23.797 ARTÍCULO 14 PÁRRAFO 2 POR CONSUMO Y INFRACCIÓN AL ARTÍCULO 103 POR ARMA NO CONVENCIONAL.</t>
  </si>
  <si>
    <t>SE TOMA CONOCIMIENTO MEDIANTE CÁMARA BALVANERA27, EMPLAZADA EN SAN JUAN 2008 Y SARANDÍ, DONDE 
A LAS 01:18 SE VISUALIZAN DOS MASCULINOS EN ACTITUD DE MERODEO, APROXIMÁNDOSE A COMERCIOS CON APARENTES INTENCIONES DE COMERCIALIZAR UNA CÁMARA. SE DA AVISO A COMANDO, GENERANDO CARTA SAE N.° 48300128 A FIN DE IDENTIFICAR. EL PRIMER MASCULINO VESTÍA VISERA NEGRA, CAMPERA NEGRA, PANTALÓN BLANCO Y ZAPATILLAS NEGRAS CON DETALLES ROJOS; EL SEGUNDO, VISERA NEGRA, CAMPERA MARRÓN Y ZAPATILLAS NEGRAS, PORTANDO UNA RIÑONERA NEGRA CON EL OBJETO A COMERCIALIZAR. 
A LAS 01:20 LOS MASCULINOS SE SEPARAN; EL PRIMERO CON LA RIÑONERA SE JUNTA CON OTRO MASCULINO VESTIDO CON CAMPERA GRIS Y PANTALÓN NEGRO, PERDIÉNDOSE AMBOS DE LA VISUAL DE LA CÁMARA POR AVENIDA BELGRANO SENTIDO A SAAVEDRA. 
A LAS 01:35 SE TOMA CÁMARA BALVANERAO146 EN SAAVEDRA 502 Y VENEZUELA, VISUALIZÁNDOLOS POR SAAVEDRA SENTIDO A VENEZUELA Y LUEGO TOMANDO ESTA ÚLTIMA HACIA ALBERTI. 
A LAS 01:37, CÁMARA BALVANERAO145 EN VENEZUELA 2799 Y CATAMARCA MUESTRA PARCIALMENTE, POR OBSTRUCCIÓN DE ARBOLEDA, A PERSONAL POLICIAL DANDO CON LOS MASCULINOS. 
A LAS 01:48 PERSONAL POLICIAL SE RETIRA DEL LUGAR, DANDO SOLTURA A LOS MASCULINOS, QUIENES SE RETIRAN POR SUS PROPIOS MEDIOS, FINALIZANDO EL EVENTO. POSTERIORMENTE, MEDIANTE AMPLIACIÓN SAE, SE INFORMA QUE EL MÓVIL 1003 DIO CON EL ELEMENTO: UNA CÁMARA FOTOGRÁFICA ANTIGUA SIN FUNCIONAMIENTO Y CON NOTABLES DAÑOS; LOS MASCULINOS FUERON IDENTIFICADOS Y NO POSEEN ELEMENTOS CONSTITUTIVOS DE DELITO. CONSTANCIA EN PARTE.</t>
  </si>
  <si>
    <t>SE TOMA CONOCIMIENTO MEDIANTE FRECUENCIA HT 7008, DONDE SE SOLICITA SAME EN PRIORIDAD POR MASCULINO CON BAJOS SIGNOS VITALES. 
A LAS 01:22 SE TOMA CÁMARA FLORESO254 EMPLAZADA EN YERBAL 2394 Y FRAY CAYETANO, VISUALIZÁNDOSE A PERSONAL POLICIAL JUNTO A MASCULINO APARENTEMENTE INCONSCIENTE. SE DA AVISO A COMANDO MEDIANTE CARTA SAE N.° 48300065. 
A LAS 01:30 ARRIBA SAME, Y 
A LAS 01:39 SE RETIRA SAME, ASÍ COMO PERSONAL POLICIAL, DANDO POR FINALIZADO ESTE EVENTO. POSTERIORMENTE SE TOMA CONOCIMIENTO MEDIANTE AMPLIACIÓN SAE QUE HT ID 2007008 INFORMA ARRIBO SAME INTERNO 389, A CARGO DE LA DRA. CARDOZO PATRICIA, MATRÍCULA NACIONAL 137523, QUIEN ASISTE Y DERIVA CON DIAGNÓSTICO DE INTOXICACIÓN ALCOHÓLICA A MASCULINO DE APROXIMADAMENTE 50 AÑOS, EN SITUACIÓN DE CALLE, VESTIDO CON BUZO BLANCO Y BUZO ROJO, SIENDO TRASLADADO AL HOSPITAL ÁLVAREZ.</t>
  </si>
  <si>
    <t>SE TOMA CONOCIMIENTO MEDIANTE CARTA SAE N.° 48300059, DONDE EL DENUNCIANTE REFIERE QUE EN UNA CASA DE PUERTA GRIS CON TIMBRE SE ENCONTRARÍA UN MASCULINO CON DOLOR EN EL PECHO. 
A LAS 01:27 SE TOMA CÁMARA PALERMO15, EMPLAZADA EN CÓRDOBA 5799 Y ÁNGEL CARRANZA, DONDE SE VISUALIZA A PERSONAL POLICIAL Y SAME EN EL LUGAR. 
A LAS 01:36 SE RETIRA SAME Y 
A LAS 01:38 SE RETIRA PERSONAL POLICIAL, DANDO POR FINALIZADO EL EVENTO. SE TOMA CONOCIMIENTO MEDIANTE AMPLIACIÓN SAE QUE M1015 INFORMA ARRIBO SAME INTERNO 378 DE BASE JUAN B. JUSTO, A CARGO DE LA DRA. DEMELO MN 164129, QUIEN ASISTE EN EL LUGAR SIN REQUERIR DERIVACIÓN, CON DIAGNÓSTICO DE DOLOR TORÁCICO.</t>
  </si>
  <si>
    <t>SE TOMA CONOCIMIENTO MEDIANTE CARTA SAE N.° 48300230, MÓVIL HT 1065 SOLICITA BOMBEROS POR CONTENEDOR INCENDIÁNDOSE. 
A LAS 02:25 SE POSEE LA CÁMARA VILLA DEVOTO15 CAM02 EMPLAZADA EN BAHÍA BLANCA 4098 Y SALVADOR MARÍA DEL CARRIL, DONDE SE VISUALIZA UN CONTENEDOR DE RESIDUOS INCENDIÁNDOSE Y PERSONAL POLICIAL EN EL LUGAR. 
A LAS 02:27 ARRIBA BOMBEROS. 
SE REALIZA LÍNEA DE TIEMPO MEDIANTE CÁMARA VILLA DEVOTO15 CAM02 Y SE VERIFICA QUE, 
SIENDO LAS 02:06, UN MASCULINO DE ROPAS OSCURAS Y CALZADO NEGRO CON SUELA BLANCA SE APROXIMA AL CONTENEDOR, MANIPULA UN ELEMENTO INCENDIADO QUE POSTERIORMENTE ARROJA AL CONTENEDOR, RETIRÁNDOSE LUEGO HACIA EL INTERIOR DE LA PLAZA; FIN DE LÍNEA DE TIEMPO. MÓVIL 2011136 SE DESPLAZA A PEDRO MORAN Y MARCOS PAZ PARA IDENTIFICAR AL MASCULINO DE CARACTERÍSTICAS SIMILARES, 
SIENDO LAS 02:34 MEDIANTE CÁMARA VILLA DEVOTO104 CAM03 EMPLAZADA EN PEDRO MORAN 4493 Y MARCOS PAZ, POSITIVO PARA PERSONAL POLICIAL COMO AUTOR DEL HECHO. 
A LAS 02:48 SE RETIRAN BOMBEROS Y PERSONAL POLICIAL, DANDO ASÍ POR FINALIZADO EL EVENTO. POSTERIORMENTE, MEDIANTE AMPLIACIÓN DE CARTA SAE, HT 1065 INFORMA QUE ARRIBO BOMBEROS DEL DEPARTAMENTO DEVOTO, INTERNO 945 A CARGO DEL TENIENTE LP 75594 RODRÍGUEZ MATÍAS, QUIEN SOFOCÓ LAS LLAMAS SIN NOVEDAD, REFIRIENDO ÚNICAMENTE QUE EL INCENDIO FUE INTENCIONAL. MÓVIL 911 INFORMA QUE SE REALIZÓ CONSULTA CON UNIDAD DE FLAGRANCIA OESTE, A CARGO DE LA DRA. ULLUA, QUIEN DISPUSO LA DETENCIÓN DEL MASCULINO POR INFRACCIÓN AL ARTÍCULO 186 CP (INCENDIO), SIN NOVEDAD EN SERVICIOS AL LUGAR.</t>
  </si>
  <si>
    <t>SE TOMA CONOCIMIENTO MEDIANTE CARTA SAE Nº 48300251 POR UN CONVENTILLO INCENDIÁNDOSE. 
SIENDO LAS 02:31. SE VISUALIZA POR MEDIO DE CÁMARA BOCA46 EMPLAZADA EN LAMADRID 410 Y ALTE BROWN UN EDIFICIO DEL MISMO ESTARÍA EMANANDO HUMO. SE DA AVISO A COMANDO. 
SIENDO LAS 02:38. ARRIBA BOMBEROS. 
02:54. ARRIBA SAME. 
03:34. SE RETIRA BOMBEROS SAME Y PERSONAL POLICIAL DANDO POR FINALIZADO ESTE EVENTO. SE TOMA CONOCIMIENTO MEDIANTE AMPLIACIÓN DE CARTA SAE ARRIBO SAME UMAT 1 INTERNO 51 A CARGO DEL DR. GRANDIOLLO MATRICULA NACIONAL 136112 ASISTE EN EL LUGAR A LA TOTALIDAD DE LAS PARTES CONTROL CLÍNICO. FOCO ÍGNEO SOFOCADO SE PRODUJO A RAÍZ DE EXCESIVA EXPOCICION CALORICA.-</t>
  </si>
  <si>
    <t>SE TOMA CONOCIMIENTO MEDIANTE CARTA SAE N°48300260 QUE FEMENINA AGENTE DE TRÁNSITO RODRÍGUEZ JENNIFER REFIERE QUE HABRÍA PARADO A UNA FEMENINO Y QUE TENDRÍA UNA LICENCIA APÓCRIFA. 
SIENDO LAS 02:37 SE TOMA LA CÁMARA COLEGIALES34CAM02 EMPLAZADA EN CABILDO 918 Y TEODORO GARCÍA DONDE SE VISUALIZA UN VEHÍCULO OSCURO DETENIDO UN PERSONAL DE TRÁNSITO. 
03:28 SE RETIRA EL VEHÍCULO DANDO POR FINALIZADO EL EVENTO. POSTERIORMENTE SE AMPLÍA MEDIANTE CARTA SAE MÓVIL 614 SE COOPERA CON EL AGENTE DE TRÁNSITO VALLEJOS CAD 03443 SIN NOVEDAD.</t>
  </si>
  <si>
    <t>SE TOMA CONOCIMIENTO MEDIANTE CARTA SAE N.° 48300268, HT SOLICITA PERSONAL PARA IDENTIFICAR A UN FEMENINO. 
A LAS 02:38 SE TOMA LA CÁMARA MONSERRAT48 EMPLAZADA EN PASEO COLÓN 591 Y MÉXICO, EN LA CUAL SE VISUALIZA PARCIALMENTE PERSONAL POLICIAL EN EL LUGAR POR OBSTRUCCIÓN DE ARBOLEDA. 
A LAS 02:57 ARRIBA SAME AL LUGAR Y 
A LAS 03:26 SE RETIRA SAME CON TRASLADO DEL FEMENINO, ASÍ COMO PERSONAL POLICIAL, DANDO POR FINALIZADO EL EVENTO. POSTERIORMENTE, MEDIANTE AMPLIACIÓN DE CARTA SAE, SE INFORMA QUE SAME INTERNO 394 DE ZONA CENTRO, A CARGO DEL DR. RIVERO, MATRÍCULA N.° 196342, ASISTE Y DERIVA AL FEMENINO CON DIAGNÓSTICO DE DETERIORO SENSORIAL AL HOSPITAL ARGERICH.</t>
  </si>
  <si>
    <t>SE TOMA CONOCIMIENTO MEDIANTE CARTA SAE N.° 48300265. CMU VISUALIZA MEDIANTE CÁMARA BALVANERA O141 A MASCULINOS EN EL INTERIOR DE UN VEHÍCULO VW LÍNEA VIEJA, DOMINIO COLOCADO DQD585, EN APARENTE COMERCIALIZACIÓN DE SUSTANCIA ESTUPEFACIENTE. 
A LAS 02:40 SE TOMA CÁMARA BALVANERA O141, EMPLAZADA EN SAAVEDRA 540 Y MÉXICO, VISUALIZANDO A PERSONAL POLICIAL EN EL LUGAR. 
SE REALIZA LÍNEA DE TIEMPO, OBSERVÁNDOSE 
A LAS 02:32 A DOS MASCULINOS APROXIMARSE AL VEHÍCULO Y REALIZAR ALGÚN TIPO DE PASAMANOS CON UN MASCULINO DE CAMPERA AZUL EN EL INTERIOR DEL VEHÍCULO, RETIRÁNDOSE CON UN ENVOLTORIO COLOR BLANCO EN MANO. 
A LAS 03:00 SE RETIRA PERSONAL POLICIAL, DANDO POR FINALIZADO EL EVENTO. POSTERIORMENTE, SE AMPLÍA MEDIANTE SAE M903 QUE EN EL LUGAR SE IDENTIFICÓ A LOS MASCULINOS Y EL RODADO, SIN POSEER IMPEDIMENTOS NI ELEMENTOS CONSTITUTIVOS DE DELITO; CONSTANCIA EN PARTE.</t>
  </si>
  <si>
    <t>SE TOMA CONOCIMIENTO MEDIANTE CARTA SAE N.° 48300276, EN LA CUAL UN MASCULINO INDICA QUE VISUALIZÓ A OTRO MASCULINO CORRIENDO POR LAS VÍAS DEL TREN CON UN TELÉFONO EN MANO, VISTIENDO ROPA NEGRA Y PANTALÓN VERDE MILITAR, RESULTÁNDOLE SOSPECHOSO. 
A LAS 02:46 SE TOMA CÁMARA VILLA DEL PARQUE65, EMPLAZADA EN CUENCA 3401 Y J.P. VARELA, VISUALIZÁNDOSE AL PERSONAL POLICIAL IDENTIFICANDO A UN MASCULINO DE SIMILARES CARACTERÍSTICAS. 
A LAS 02:48 SE RETIRA EL MASCULINO POR SUS PROPIOS MEDIOS EN CONJUNTO CON PERSONAL POLICIAL, DANDO POR FINALIZADO ESTE EVENTO. POSTERIORMENTE, MEDIANTE AMPLIACIÓN SAE, MÓVIL INFORMA QUE SE IDENTIFICÓ AL MASCULINO SIN NOVEDAD; CORRESPONDE, NO POSEE IMPEDIMENTO Y SE CONSTATA NEGATIVO ELEMENTO CONSTITUTIVO DE DELITO.</t>
  </si>
  <si>
    <t>SE TOMA CONOCIMIENTO MEDIANTE CARTA SAE N° 48300358. MASCULINO INFORMA QUE HABRÍA ESCUCHADO GENTE QUE ENTRÓ AL DOMICILIO LINDERO ESCUCHO RUIDOS. 
SIENDO LAS 03:26. SE TOMA CÁMARA ALMAGRO36 EMPLAZADA EN VENEZUELA 4101 Y BOCAYUVA DONDE SE VISUALIZA A PERSONAL POLICIAL EN EL LUGAR. 
03:54 ARRIBO SAME. SE REALIZÓ LÍNEA DE TIEMPO POR CÁMARA ALMAGRO36 DOMO EMPLAZADA EN VENEZUELA 4101 Y BOCAYUVA DONDE 
SIENDO LAS 02:48:38. SE VISUALIZA EL PASO DE DOS MASCULINOS EL PRIMERO DE ROPAS GORRA NEGRA CAMPERA BLANCA BOLSO CRUZADO NEGRO PANTALÓN NEGRO ZAPATILLAS NEGRAS SUELA BLANCA EL SEGUNDO MASCULINO ROPAS OSCURAS PANTALÓN LARGO NEGRO CON FRANJAS VERTICALES BLANCAS EN LOS LATERALES CALZADO SUELA BLANCA LOS MISMO SE APROXIMAN A LA FINCA. 
02:52:33. SE VISUALIZA MASCULINO DE ROPAS OSCURAS CERRAR LA PUERTA DE LA FINCA. 
04:06. SE RETIRA SAME. 
05:10. SE RETIRA PERSONAL POLICIAL CON TRASLADO DE DETENIDOS. SE DA POR FINALIZADO ESTE EVENTO. SE AMPLÍA POR SAE 605 SAME INTERNO 390 DEL DURAND DOCTOR TURRACA MN 86840 ASISTIÓ SR PÉREZ ALMA JAZMÍN DNI 50581511 DE 15 AÑOS DIAGNOSTICO HERIDA LEVE EN OJO IZQUIERDO Y CRISIS DE NERVIOS SE HIZO PRESENTE EL PADRE SR PÉREZ LUIS DNI 23556034 605 JUZGADO NUMERO 40 DOCTOR GONZALES SEC 139 DR. DESIMONI ACTUACIONES ROBO AGRAVADO DETENCIÓN DE AMBOS SOLICITA RASTROS POC 1171663722. ESTE EVENTO FUE MONITOREADO POR TAMARA CASTRO LAUDANI DNI 40.015.710 EN COLABORACIÓN DE MALCOM MIGUEL RÍOS MESA.</t>
  </si>
  <si>
    <t>SE TOMA CONOCIMIENTO MEDIANTE CARTA SAE N° 48300356 MÓVIL CON VEHÍCULO VIOLENTADO. 
SE REALIZA LÍNEA DE TIEMPO EN CÁMARA BARRACAS18 EMPLAZADA EN MONTES DE OCA 291 E ITUZAINGO DONDE SE VISUALIZA EN HORAS DE 
03:28:05. A UN MASCULINO VIOLENTAR UN VEHÍCULO COLOR NEGRO ESTACIONADO SOBRE ITUZAINGO. EL MISMO VISTE CON UNA PRENDA SUPERIOR ROJA Y PANTALÓN OSCURO. NO LOGRA VISUALIZARCE SENTIDO DE FUGA DEBIDO A QUE EL DOMO SE ENCUENTRA EN MODO PATRÓN. POSTERIORMENTE SE TOMA CONOCIMIENTO MEDIANTE AMPLIACIÓN DE CARTA SAE QUE PERSONAL POLICIAL INTERVENTOR INFORMA QUE SE REALIZA CONSULTA CON LA FISCALÍA CRIMINAL Y CORRECCIONAL N° 21 A CARGO DEL DOCTOR BASER. SECRETARÍA ÚNICA A CARGO DEL DOCTOR PEREZ. SE LABRAN ACTUACIONES POR AVERIGUACIÓN DE ILÍCITO. SE IMPLANTA CONSIGNA POLICIAL LP 57712 SOSA. SE SOLICITA RASTROS.</t>
  </si>
  <si>
    <t>SE TOMA CONOCIMIENTO MEDIANTE CARTA SAE Nº 48300357 POR DOS MASCULINOS QUE HABRÍAN VIOLENTADO Y SUSTRAÍDO PERTENENCIAS DEL INTERIOR DE UN VEHÍCULO. 
SIENDO LAS 03:29. SE TOMA CÁMARA BOCA59 EMPLAZADA EN CABOTO 400 Y 20 DE SEPTIEMBRE DONDE SE VISUALIZA VARIOS VEHÍCULOS EN EL LUGAR. SE PROCEDE A REALIZAR LINEA DE TIEMPO MEDIANTE CÁMARA BOCA 59 CAM01 DONDE 
SIENDO LAS 03:27. SE VISUALIZA A DOS MASCULINOS LOS CUALES SE APROXIMAN A UN VEHÍCULO PRIMER MASCULINO VISTE BUZO NEGRO PANTALÓN GRIS ZAPATILLAS BLANCAS EL MISMO SE APROXIMA A LA ALTURA DE LA VENTANILLA APARENTEMENTE VIOLENTANDO LA MISMA MIENTRAS QUE EL SEGUNDO MASCULINO QUE VISTE BUZO NEGRO Y PANTALÓN BEIGE ZAPATILLA BLANCAS SE QUEDA EN LA ESQUINA DE LA INTERSECCIÓN OFICIANDO DE CAMPANA POSTERIORMENTE EL SEGUNDO MASCULINO SE APROXIMA AL VEHÍCULO VIOLENTADO E INGRESA AL INTERIOR DEL RODADO SUSTRAYENDO PERTENENCIAS Y SE RETIRAN DEL LUGAR LOS DOS MASCULINOS HACIA EL INTERIOR DE LA PLAZA PERDIÉNDOSE DE LA VISUAL DE LAS CÁMARAS. 
00:31. ARRIBA PERSONAL POLICIAL AL LUGAR. SE TOMA CONOCIMIENTO MEDIANTE MODULACIÓN HT PERSONAL POLICIAL LOGRA DAR CON UNO DE LOS MASCULINOS MENCIONADOS. SIENDO LA 
04:52. SE DA POR FINALIZADO ESTE EVENTO QUEDANDO PERSONAL POLICIAL DE CONSIGNA EN EL LUGAR. SE TOMA CONOCIMIENTO MEDIANTE AMPLIACIÓN DE CARTA SAE SE REALIZA CONSULTA CON LA FISCALÍA LA BOCA A CARGO DEL DR. BURGOS QUIEN DISPONE LA DETENCIÓN DEL MASCULINO Y ACTUACIONES POR ROBO NO REQUIERE RASTROS Y SE IMPLANTA CONSIGNA HASTA EL ARRIBO DE PROPIETARIOS.</t>
  </si>
  <si>
    <t>SE TOMA CONOCIMIENTO MEDIANTE CARTA SAE N°48300380 LLAMANTE SOLICITA MOVIL EN GUARDIA CLINICA SWISS MEDICAL SE HABRIA FUGADO UN PACIENTE : VERA BLANCO NOAH A CARGO DEL MEDICO ZARAGOZO FLORENCIA . 
SIENDO LAS 03:59. SE AGARRA CAMARA RECOLETA42 EMPLAZADA EN PUEYRREDON 1398 Y SANTA FE SE VISUALIZA A PERSONAL POLICIAL DENTRO DE LA CLINICA.
05:16. SE RETIRA PERSONAL POLICIAL DEL LUGAR. POSTERIORMENTE SE AMPLIA MEDIANTE SAE 602 EN EL LUGAR SE REALIZO CONSULTA CON LA UNIDAD DE FLAGRANCIA ESTE A CARGO DOCTOR DEBRASI QUIEN DISPUSO QUE LABREN ACTUACIONES POR AVERIGUACION LESIONES.</t>
  </si>
  <si>
    <t>SE TOMA CONOCIMIENTO MEDIANTE CARTA SAE N° 48300389 DENUNCIANTE REIRÉ QUE HABRÍA UN MASCULINO TOCANDO TIMBRES DE EDIFICIO. 
SIENDO LAS 03:58. SE TOMA CÁMARA PALARMOO240 EMPLAZADA EN LIBERTADOR 4801 Y MAURE VISUALIZANDO A PERSONAL POLICIAL EN EL LUGAR.
04:25. ARRIBA SAME. 
04:31. SE RETIRA SAME. 
SIENDO LAS 05:07. SE RETIRA PERSONAL POLICIAL CON EL MASCULINO DETENIDO DANDO ASÍ POR FINALIZADO EL EVENTO. POSTERIORMENTE SE AMPLÍA MEDIANTE CARTA SAE MÓVIL 614 ARRIBO SAME INTERNO 337 DE BASE RURAL DR. FLORES DR. 191660 ASISTE Y NO DERIVA DIAGNOSTICA TRAUMATISMO MANO DERECHA SIN TRASLADO SE HACE CONSULTA CON LA UNIDAD DE FLAGRANCIA NORTE DR. SÁNCHEZ SE LABRA ACTUACIONES POR DAÑO MASCULINO QUEDA DETENIDO CONSIGNA OFICIAL LP 58362 MEDIANA LUCAS. ESTE EVENTO FUE MONITOREADO POR MONTIEL JUAN 46252382</t>
  </si>
  <si>
    <t>SE TOMA CONOCIMIENTO MEDIANTE FRECUENCIA. MOVIL 607 B SOLICITA BOMBEROS EN PRIORIDAD. INCENDIO DE CONTENEDOR DE RESIDUOS PROXIMO A VEHICULO. 
04:19. SE TOMA CAMARA PARQUE CHACABUCO51 EMPLAZADA EN ASAMBLEA 1002 Y EMILIO MITRE VISUALIZANDOSE A CONTENDER DE RESIDUOS CON LLAMAS GENERALIZADAS. SE DA AVISO A COMANDO MEDIANTE CARTA SAE Nº 48300415. ASI MISMO SE VISUALIZA VEHICULO PROXIMO AL CONTENEDOR Y A PERSONAL POLICIAL EN EL LUGAR Y A UN MASCULINO INTENTANDO SOFOCAR EL FUEGO EN PRESENCIA DE LOS MISMOS. 
SE REALIZA LINEA DE TIEMPO MEDIANTE CAMARA PARQUE CHACABUCO51CAM03 EMPLAZADA EN ASAMBLEA 1002 Y EMILIO MITRE 
SIENDO LAS 04:03. SE VISUALIZA EL MASCULINO MENCIONADO EL CUAL VISTE GORRA NEGRA CAMPERA NEGRA REMERA CELESTE PANTALON NEGRO MOCHILA COLOR ROJA COLOCADA Y ZAPATILLAS BLANCAS. EL MISMO SE ACERCA AL CONTENEDOR MANIPULA EL MISMO Y SE RETIRA DEL LUGAR PARA A POSTERIOR COMENZAR A VISUALIZARSE HUMO Y LLAMAS EMANAR DEL INTERIOR DEL CONTENEDOR. 
04:27. SE VISUALIZA A PERSONAL POLICIAL CON EL MASCULINO DEMORADO Y A SU VEZ SE OBSERVA EL ARRIBO DE BOMBEROS. 
04:44. SE RETIRA EL PERSONAL DE BOMBEROS. 
05:00. SE RETIRA PERSONAL POLICIAL CON TRASLADO DE MASCULINO DANDO ASI POR FINALIZADO ESTE EVENTO. POSTERIORMENTE SE TOMA CONOCIMIENTO MEDIANTE AMPLIACION SAE 607B ARRIBO BOMBEROS INT 2644 GER CABALLITO A CARGO DEL TENIENTE ARLIAS LP 24961 SOFOCA EL FOCO IGNEO. REALIZA CONSULTA CON LA UNIDAD DE FLAGRANCIA OESTE A CARGO DOCTORA ULLOA. REALIZA ACTUACIONES POR EL ARTICULO 186 INCENDIO Y AVALA DETENCION DEL MASCULINO.</t>
  </si>
  <si>
    <t>SE TOMA CONOCIMIENTO MEDIANTE CARTA SAE N° 48300304 DENUNCIANTE REFIERE QUE HABRÍA UNA PERSONA FUE QUE FUE A UN KIOSKO CON UNA TARJETA TRUCHA E HIZO LLORAR A LA EMPLEADA PERSONAS EN EL LUGAR LO TIENEN RETENIDO. 
SIENDO LAS 03:02. SE TOMA CÁMARA PALARMOO240 EMPLAZADA EN LIBERTADOR 4801 Y MAURE VISUALIZANDO A PERSONAL POLICIAL EN EL LUGAR. 
SE REALIZA LÍNEA DE TIEMPO MEDIANTE CÁMARA PALERMOO240 CAM02 MEDIADOS DE LAS 
02:56. SE VISUALIZA UN FORCEJEO ENTRE UN MASCULINO Y UN FEMENINO. 
SIENDO LAS 03:58. SE RETIRA EL MASCULINO POR SUS PROPIOS MEDIOS QUEDANDO PERSONAL POLICIAL EN CONSIGNA DANDO ASÍ POR FINALIZADO EL EVENTO. POSTERIORMENTE SE AMPLÍA MEDIANTE CARTA SAE 914 INFORMA REALIZO CONSULTA CON LA UNIDAD DE FLAGRANCIA NORTE A CARGO DR. FERNANDA SÁNCHEZ DISPONE CONTRAVENCIÓN ART. 54 POR MALTRATO CONSIGNA HASTA FINALIZAR EL SERVICIO OFICIAL LP 56370 JUÁREZ LEONEL POC 1156583191. ESTE EVENTO FUE MONITOREADO POR MONTIEL JUAN 46252382</t>
  </si>
  <si>
    <t>SIENDO LAS 05:13. SE VISUALIZA MEDIANTE CÁMARA CABALLITO41 EMPLAZADA EN ARANGUREN 197 Y OTAMENDI DONDE SE VISUALIZA PERSONA EN SITUACIÓN DE VULNERABILIDAD EN PUERTA DE EDIFICIO DESCANSANDO. SE DA AVISO A COMANDO GENERANDO CARTA SAE N°48300496. 
05:20. ARRIBA PERSONAL POLICIAL DANDO CON MASCULINO. 
05:24 SE RETIRA PERSONAL POLICIAL DANDO POR FINALIZADO ESTE EVENTO. POSTERIORMENTE SE AMPLÍA MEDIANTE CARTA SAE MÓVIL 1006A INFORMA ARRIBADO AL LUGAR SE TRATÓ DE UN MASCULINO EL CUAL SE ENCONTRABA DESCANSANDO MISMO INVITADO A RETIRARSE DEL LUGAR SIN NOVEDAD PANORAMA NORMAL. NO SE REQUIERE INTERVENCIÓN DEL 108. ESTE EVENTO FUE MONITOREADO POR CLAUDIA REYES EN COLABORACIÓN CON GAIDAI DIEGO AGENTE DE PREVENCIÓN.</t>
  </si>
  <si>
    <t>SIENDO LAS 05:24. SE TOMA LA CÁMARA RECOLETA17 EMPLAZADA EN ARENALES 2001 Y AYACUCHO EN LA CUAL SE VISUALIZA A UNA PERSONA EN SITUACIÓN DE CALLE. SE DA AVISO A COMANDO GENERANDO CARTA SAE N° 48300512. 
05:45. SE DA POR FINALIZADO EL EVENTO SIN LOGRAR VISUALIZAR ARRIBO DE PERSONAL POLICIAL. SE TOMA CONOCIMIENTO MEDIANTE AMPLIACIÓN CARTA SAE MÓVIL 602A INFORMA EN EL LUGAR SE IDENTIFICÓ A UN MASCULINO EN ESTADO DE CALLE SE RETIRA DEL LUGAR NO REQUIERE BAP.</t>
  </si>
  <si>
    <t>SE TOMA CONOCIMIENTO MEDIANTE CARTA SAE N° 48300453 DENUNCIANTE FEMENINA REFIERE POR MASCULINO QUE ESTARÍA CON EL TORSO DESNUDO GRITANDO PIDIENDO AYUDA EN VÍA PÚBLICA INDICA QUE TENDRÍA UN BRAZO HINCHADO DESCONOCE QUE LE SUCEDE. 
04:42. SE TOMA CÁMARA FLORES 76 EMPLAZADA EN ARANGUREN 2698 Y CONDARCO DONDE SE VISUALIZA AL MASCULINO CON EL TORSO DESNUDO. 
04:45 ARRIBA PERSONAL POLICIAL AL LUGAR DANDO CON EL MASCULINO.
05:14 SE RETIRA PERSONAL POLICIAL DANDO POR FINALIZADO EL EVENTO. SE AMPLÍA MEDIANTE CARTA SAE MOVIL 907 C EN EL LUGAR SE TRATÓ DE UNA PERSONA EN SITUACIÓN DE CALLE LA MISMA SE RETIRA DEL LUGAR SIN NOVEDAD ESTE EVENTO FUE MONITOREADO POR JAQUELINA QUIROGA DNI 34059155</t>
  </si>
  <si>
    <t>SE TOMA CONOCIMIENTO MEDIANTE CARTA SAE N° 48300457 SOBRE UN MASCULINO EXHIBIENDO UN ARMA DE FUEGO. 
04:45. SE TOMA CÁMARA FLORES 76 EMPLAZADA EN ARANGUREN 2698 Y CONDARCO DONDE SE VISUALIZA AL MASCULINO EXHIBIENDO ARMA DE FUEGO. MASCULINO CON ARMA DE FUEGO COMO MASCULINO DE CABELLO CORTO OSCURO CAMPERA OSCURA REMERA BLANCA PANTALÓN OSCURO ZAPATILLAS OSCURAS DE SUELA BLANCA EL MISMO INGRES EN FINCA DE PARED VERDE EN SU PARTE INFERIOR BLANCA EN PARTE SUPERIOR CON CARTEL DE FARMACIA. SE DEJA CONSTANCIA QUE SE VISUALIZA AL MASCULINO EXHIBIR EL ARMA EN REITERADAS OPORTUNIDADES Y GUARDARLAS EN EL BOLSILLO. 
04:47. ARRIBA PERSONAL POLICIAL DANDO CON EL MASCULINO PROCEDE A ENTREVISTARLO. 
05:29. SE RETIRA PERSONAL POLICIAL DEL LUGAR CON UN ARMA DE FUEGO SECUESTRADA. EL MASCULINO QUEDA EN INTERIOR FINCA. SE DEJA CONSTANCIA QUE 
A LAS 05:27. PERSONAL POLICIAL CONSULTA A ESTA SALA Y EXHIBE MEDIANTE CÁMARA FLORES 76 LO QUE SE VISUALIZA COMO UN ARMA LA CUAL NO RESULTARÍA LA MISMA SEÑALADA POR ESTA SALA Y QUE DA INICIO A ESTE SUCESO. SE AMPLÍA MEDIANTE CARTA SAE MOVIL 607 C INFORMA SE TRATÓ DE UN ARMA DE AIRE COMPRIMIDO SE REALIZÓ CONSULTA CON LA FISCALÍA GENERAL A CARGO DEL DOCTOR BARRAGAN SE LABRAN ACTUACIONES POR ARMA NO CONVENCIONAL ESTE EVENTO FUE MONITOREADO POR JAQUELINA QUIROGA DNI 34059155</t>
  </si>
  <si>
    <t>SE TOMA CONOCIMIENTO MEDIANTE CARTA SAE N°48300546 FEMENINO REFIERE QUE HABRÍAN INTENTADO ROBAR UNA MOTO ESTARÍA ESTACIONADA Y ENCENDIDA 
06:04 SE TOMA CAMARA MONSERRAT 33 EMPLAZADA EN MÉXICO 1372 Y SAN JOSÉ SE VISUALIZA PERSONAL POLICIAL EN EL LUGAR. SE POSEE HACER LÍNEA DE TIEMPO SOBRE LAS CÁMARAS NO VISUALIZANDO LO APORTADO. 
06:33 SE RETIRA PERSONAL DANDO POR FINALIZADO ESTE EVENTO. POSTERIORMENTE SE AMPLÍA MEDIANTE CARTA SAE M 1001 CONSULTA CON EL MAGISTRADO FISCALIA CRIMINAL Y CORRECCIONAL N° 10 DR. ALBERTO CENTENARIO SECRETARIA DR JUAN TABOADA . ACTUACIONES POR AVERIGUACIÓN ILÍCITO. NEGATIVO SERVICIO YA FUE MANIPULADO EL RODADO.</t>
  </si>
  <si>
    <t>SE TOMA CONOCIMIENTO MEDIANTE CARTA SAE N° 48300611 
SIENDO LAS 06:20 SE TOMA CAMARA FLORES O256 EMPLAZADA EN CARABOBO 1639 Y CASTAÑARES SE REALIZA APOYO ÓPTICO. 
06:21 SE VISUALIZA A PERSONAL POLICIAL IDENTIFICANDO A MASCULINO. 
06:22 SE RETIRA PERSONAL POLICIAL Y MASCULINO POR SUS PROPIOS MEDIOS DANDO POR FINALIZADO ESTE EVENTO. POSTERIORMENTE SE AMPLIA MEDIANTE CARTA SAE HT INF SE IDENTIFICO A UN MASCULINO EL CUAL CORR Y NO POSEE JUSTIFICA PRESENCIA Y NO POSEE ELEMENTOS CONSTITUTIVOS DE DELITO.</t>
  </si>
  <si>
    <t>SIENDOS LAS 
06:15 SE TOMA CAMARA PALERMO 18 EMPLAZADA EN EL SALVADOR 4199 Y GASCÓN SE VISUALIZA PERSONA EN SITUACIÓN DE VULNERABILIDAD DORMITANDO SOBRE VEREDA. SE DA AVISO A COMANDO GENERANDO CARTA SAE N° 48300600. 
06:35 ARRIBA PERSONAL POLICIAL DANDO CON MASCULINO. 
06:45 SE RETIRA MASCULINO POR SUS PROPIOS MEDIOS Y ASÍ MISMO PERSONAL POLICIAL DANDO ASÍ POR FINALIZADO ESTE EVENTO. SE AMPLÍA MEDIANTE CARTA SAE 108 -HT INFORMA SE IDENTIFICA AL MASCULINO EL MISMO CORRESPONDE Y NO POSEE NO REQUIERE BAP SE RETIRA DEL LUGAR.</t>
  </si>
  <si>
    <t>SIENDO LAS 06:32 SE TOMA CÁMARA PALERMO O235 EMPLAZADA EN ARENALES 3649 Y JULIAN ALVAREZ SE VISUALIZA A UNA PERSONA EN SITUACIÓN DE VULNERABILIDAD. SE DA AVISO A COMANDO GENERANDO CARTA SAE N°48300651. 
06:41 ARRIBA PERSONAL POLICIAL. 
06:45 SE RETIRA MASCULINO POR SUS PROPIOS MEDIOS. 
06:45 SE RETIRA PERSONAL POLICIAL DANDO POR FINALIZADO ESTE EVENTO. POSTERIORMENTE SE TOMA CONOCIMIENTO DE AMPLIACIÓN CARTA SAE 108 HT INFORMA SE IDENTIFICA AL MASCULINO. EL MISMO CORRESPONDE Y NO POSEE. NO REQUIERE BAP. SE RETIRA DEL LUGAR.</t>
  </si>
  <si>
    <t>SIENDO LAS 06:40 POR LA CÁMARA PALERMOO210 EMPLAZADA EN PARAGUAY 4888 Y GODOY CRUZ SE VISUALIZA DOS MASCULINOS EN SITUACIÓN DE CALLE. SE DA AVISO A COMANDO Y SE GENERA CARTA SAE N° 48300660. 
06:45 SE VISUALIZA EL ARRIBO DE PERSONAL POLICIAL. 
07:06 SE RETIRAN LOS MASCULINOS POR SU PROPIA VOLUNTAD Y TAMBIÉN EL PERSONAL POLICIAL DANDO ASÍ POR FINALIZADO EL EVENTO. SE AMPLÍA MEDIANTE CARTA SAE 1014A INFORMA QUE SE IDENTIFICÓ A LOS DOS MASCULINOS. NO REQUIEREN ASISTENCIA DEL BAP AL SEÑOR VARGAS SE LO NOTIFICÓ POR UNA ORDEN DE PRESENTACIÓN DEL JUZGADO N°31 SECCIONAL 119 CAUSA N 6259/2026.</t>
  </si>
  <si>
    <t>SIENDO LAS 06:43 SE VISUALIZA POR CAMARA BALVANERA 50 EMPLAZADA EN AV RIVADAVIA 3196 Y 24 DE NOVIEMBRE A UN MASCULINO DE CAMPERON AZUL ENTREGARLE A UN FEMENINO DE CAMPERA NEGRA ADIDAS UN ENVOLTORIO BLANCO. SE DA AVISO A COMANDO Y SE GENERA CARTA SAE N 48300647 .SIENDO 
06:45 SE RETIRA EL FEMENINO QUEDANDO EN EL LUGAR EL MASCULINO.
06:46 ARRIBO DE PERSONAL POLICIAL EL CUAL DA CON EL MASCULINO. SIENDO 
06:57 SE RETIRA EL MASCULINO COMO ASÍ TAMBIÉN PERSONAL POLICIAL . AMPLÍAN MEDIANTE CARTA SAE HT 3026 SE IDENTIFICA AL MASCULINO EL CUAL REQUISADO NO POSEE ELEMENTO CONSTITUTIVO DE DELITO CORRESPONDE SIN IMPEDIMENTO.</t>
  </si>
  <si>
    <t>SIENDO 
07:12. SE TOMA CÁMARA ALMAGRO 81 CAM02 EMPLAZADA EN VENEZUELA 4258 Y DEVOTO DONDE SE VISUALIZA A PERSONA EN SITUACIÓN DE VULNERABILIDAD DANDO AVISO A COMANDO GENERANDO CARTA SAE N° 48300793 
07:20. SE RETIRA MASCULINO POR SUS PROPIOS MEDIOS ANTES QUE ARRIBE PERSONAL. POSTERIORMENTE SE AMPLÍA MEDIANTE CARTA SAE HT AL ARRIBO INDICA NEGATIVO PERSONA EN SITUACIÓN DE CALLE.</t>
  </si>
  <si>
    <t>SIENDO LAS 06:50. SE TOMA CAMARA BALVANERA 29 EMPLAZADA EN BELGRANO 2205 Y PUEYRREDÓN SE VISUALIZA A PERSONA EN APARENTE SITUACIÓN DE CALLE DORMITANDO SOBRE LA VÍA PÚBLICA. SE DA AVISO A COMANDO GENERANDO CARTA SAE N°48300697. 
06:59. ARRIBA PERSONAL POLICIAL. 
SIENDO LAS 07:02. SE RETIRA PERSONAL POLICIAL DANDO ASÍ POR FINALIZADO EL EVENTO. SE TOMA CONOCIMIENTO MEDIANTE AMPLIACIÓN DE LA CARTA SAE HT INFORMA EL MASCULINO IDENTIFICADO CORRESPONDE SIN IMPEDIMENTO NO QUIERE LA PRESENCIA DE BAP NI ESPACIOS PÚBLICOS .</t>
  </si>
  <si>
    <t>SIENDO LAS 07:11. SE TOMA CÁMARA ALMAGRO 85 EMPLAZADA EN YAPEYÚ 611 Y AGRELO DONDE SE VISUALIZA A PERSONA EN SITUACIÓN DE VULNERABILIDAD DANDO AVISO A COMANDO GENERANDO CARTA SAE N° 48300788. 
07:19. ARRIBA PERSONAL POLICIAL AL LUGAR. 
07:21. SE RETIRA MASCULINO POR SUS PROPIOS MEDIOS JUNTO CON SUS PERTENENCIAS Y PERSONAL POLICIAL DANDO ASÍ POR FINALIZADO ESTE EVENTO. POSTERIORMENTE SE AMPLÍA MEDIANTE CARTA SAE HT INFORMA AL ARRIBO ES AFIRMATIVO EL MASCULINO VULNERABLE EL CUAL SE LO INVITÓ A RETIRARSE DEL LUGAR ACCEDIENDO SIN NOVEDAD.</t>
  </si>
  <si>
    <t>SIENDO LAS 07:08. SE VISUALIZA POR LA CÁMARA BALVANERA57 EMPLAZADA EN GALLO 897 Y SAN LUIS VISUALIZANDO UNA PERSONA EN SITUACIÓN DE CALLE. SE DA AVISO A COMANDO GENERANDO CARTA SAE N°48300776. 
07:15. SE DA COMO FINALIZADO EL EVENTO SIN VISUALIZAR EL ARRIBO DEL PERSONAL POLICIAL AL LUGAR. SE TOMAN AMPLIACIONES POR CARTA SAE 108: CUATRICICLO PRESENCIA NOTORIA NEGATIVO LO APORTADO NO SE APROXIMA EL DENUNCIANTE.</t>
  </si>
  <si>
    <t>SIENDO LAS 07:22. SE VISUALIZA POR LA CÁMARA BALVANERA 56 EMPLAZADA EN BARTOLOMÉ MITRE 1998 Y AYACUCHO VISUALIZANDO UNA PERSONA EN SITUACIÓN DE CALLE. SE DA AVISO A COMANDO GENERANDO CARTA SAE N°48300823. 
07:31. ARRIBA EL PERSONAL POLICIAL AL LUGAR DANDO CON LA PERSONA EN SITUACIÓN DE CALLE. 
07:36. SE RETIRA EL PERSONAL POLICIAL DEL LUGAR DANDO ASÍ COMO FINALIZADO EL EVENTO. SE TOMAN AMPLIACIONES POR CARTA SAE 108:SEC 1 DE 3A INFORMO. AL ARRIBO SE INVITÓ A INDIGENTE A RETIRARSE DEL LUGAR SIN NOVEDAD CORRECTAMENTE IDENTIFICADO.</t>
  </si>
  <si>
    <t>SE TOMA CONOCIMIENTO MEDIANTE LA CARTA SAE N°48300827 QUE SE OBSERVA PERSONAS EN SITUACIÓN DE CALLE. 
SIENDO LAS 07:40 SE TOMA CÁMARA BARRACAS79CAM01 EMPLAZADA CON LAS CALLES BOLIVAR 1841 Y MARTÍN GARCÍA EN DONDE SE OBSERVA A DOS PERSONAS TAPADAS CON MANTAS EN SITUACIÓN DE CALLE. LOS MISMOS ESTARÍAN SOBRE BOLIVAR ENTRE MARTÍN GARCÍA Y USPALLATA. 
SIENDO LAS 07:46 ARRIBA MÓVIL POLICIAL AL LUGAR Y PERSONAL POLICIAL LOS OBLIGA A RETIRARSE DEL LUGAR. 
07:52 LAS PERSONAS SE RETIRAN POR CUENTA PROPIA Y 
SIENDO LAS 07:59 PERSONAL POLICIAL JUNTO CON EL MÓVIL SE RETIRAN Y FINALIZA EL EVENTO. SE TOMA CONOCIMIENTO MEDIANTE LA CARTA SAE QUE 108.1004 D INFORMA EN EL LUGAR LOS MASCULINOS SON IDENTIFICADOS. LOS MISMOS CORRESPONDEN Y NO POSEEN Y NO REQUIEREN PERSONAL DEL BAP.</t>
  </si>
  <si>
    <t>SIENDO LAS 07:38. SE TOMA CÁMARA BALVANERA O114 EMPLAZADA EN RIVADAVIA 2509 Y LARREA VISUALIZANDO A UNA PERSONA EN SITUACIÓN DE CALLE CON PERTENENCIAS. SE DA AVISO A COMANDO GENERANDO CARTA SAE N°48300887. 
SIENDO LAS 07:45. ARRIBA PERSONAL POLICIAL. 
SIENDO LAS 08:26. SE RETIRA LA PERSONA EN APARENTE SITUACIÓN DE CALLE POR SUS PROPIOS MEDIOS. 
SIENDO LAS 08:29. SE RETIRA PERSONAL POLICIAL DANDO POR FINALIZADO ESTE EVENTO. POSTERIORMENTE SE AMPLIA MEDIANTE CARTA SAE HT 3257 INFORMA QUE AL ARRIBO SE INVITÓ AL INDIGENTE A RETIRARSE DEL LUGAR SIN NOVEDAD CORRECTAMENTE IDENTIFICADO.</t>
  </si>
  <si>
    <t>07:38. SE VISUALIZA MEDIANTE CÁMARA VILLA SOLDATI19 EMPLAZADA EN MARIANO ACOSTA 3104 Y CHILAVERT VISUALIZANDO A UN MASCULINO LLEVANDO UNA MOTO A RASTRAS LA MISMA NO POSEE DOMINIO COLOCADO. SE DA AVISO A COMANDO Y SE GENERA CARTA SAE N°48300886. 
07:45. EL MASCULINO VISTE DE NEGRO Y SE TRASLADA POR BARROS PAZOS SENTIDO PERGAMINO LUEGO TOMA CHILAVERT HACIA LA CALLE PORTELA PERDIÉNDOLO DE LA VISUAL DE LA CÁMARA. 
07:47. SE VISUALIZA EL PASO DEL MÓVIL POLICIAL DANDO POR FINALIZADO ESTE EVENTO. POSTERIORMENTE SE AMPLIA MEDIANTE CARTA SAE HT INFORMA QUE SE ENCUENTRA EN EL LUGAR NEGATIVO EL VEHÍCULO COMO DENUNCIANTE EN EL LUGAR LA PRESENCIA POLICIAL ES NOTORIA.</t>
  </si>
  <si>
    <t>07:50 SE VISUALIZA POR LA CÁMARA PALERMOO226 CAM02 EMPLAZADA EN GASCÓN 1208 Y CABRERA A DOS PERSONAS EN SITUACIÓN DE CALLE DURMIENDO EN LA VÍA PÚBLICA. SE DA AVISO A COMANDO MEDIANTE LA CARTA SAE Nº48300929. 
SIENDO LAS 08:16 SE HACE PRESENTE AL LUGAR PERSONAL DEL BAP. 
08:34 SE RETIRA PERSONAL DE BAP TRASLADANDO A UNO DE LOS MASCULINOS. EL SEGUNDO MASCULINO SE RETIRA POR SUS PROPIOS MEDIOS. POSTERIORMENTE SE TOMA CONOCIMIENTO A TRAVÉS DE LA AMPLIACIÓN DE LA CARTA 108 MÓVIL CIUDAD MÁS LIMPIA ID 2014052 INFORMA NI ES HABIDA LA PERSONA EN SITUACIÓN DE CALLE.</t>
  </si>
  <si>
    <t>SE TOMA CONOCIMIENTO MEDIANTE CARTA SAE N° 48300671 SOBRE APARENTE INCIDENCIA CON PERSONAL POLICIAL. 
SIENDO LAS 06:44 SE TOMA LA CAMARA FLORESO118 EMPLAZADA EN VARELA 1802 Y CASTAÑARES SE VISUALIZA A PERSONAL POLICIAL REDUCIENDO A UNA PERSONA. 
SE REALIZA LINEA DE TIEMPO MEDIANTE LA CAMARA FLORESO118CAM03 EMPLAZADA EN VARELA 1802 Y CASTAÑARES SE VISUALIZA 
SIENDO LAS 06:43 SE VISUALIZA A UN MASCULINO DE CAMPERA MARRÓN CON CAPUCHA CELESTE JEANS CLAROS Y ZAPATILLAS CLARAS SIENDO HOSTIL CON PERSONAL POLICIAL Y ES REDUCIDO POR EL MISMO. TAMBIÉN MEDIANTE LA CAMARA FLORESO118CAM01 
SIENDO LAS 06:43 SE OBSERVA AL MASCULINO ANTERIORMENTE DESCRIPTO APARENTEMENTE OFUSCADO CON EL PERSONAL POLICIAL. EL MISMO SE LO VISUALIZA LEVANTANDO UN OBJETO DEL SUELO LO QUE SERÍA UNA PIEDRA Y SE MUESTRA HOSTIL CONTRA PERSONAL POLICIAL. 
SIENDO LAS 08:50 SE RETIRA PERSONAL POLICIAL CON EL DETENIDO DEL LUGAR DANDO ASÍ POR FINALIZADO ESTE EVENTO. SE TOMA CONOCIMIENTO MEDIANTE AMPLIACIÓN SAE 707A INFORMA SE REALIZA CONSULTA UFLA OESTE A CARGO DRA UNNOA SE LABRAN ACTOS POR RESISTENCIA A LA AUTORIDAD DETENCIÓN DEL MASCULINO</t>
  </si>
  <si>
    <t>SIENDO LAS 07:42. SE TOMA CONOCIMIENTO MEDIANTE CARTA SAE N°48300877. LLAMANTE REFIERE DISCUTIENDO EN LA VÍA PÚBLICA UN MASCULINO AGRESIVO CON UNA FEMENINA. SE TOMA LA CÁMARA BALVANERAO149 EMPLAZADA EN SAAVEDRA 105 Y H YRIGOYEN VISUALIZANDO DE MANERA PARCIAL EN EL LUGAR A PERSONAL POLICIAL CON EL MASCULINO DETENIDO Y LA FEMENINA. FINALMENTE 
SIENDO LAS 09:11. SE RETIRA EL PERSONAL POLICIAL CON TRASLADO DEL MASCULINO DANDO POR FINALIZADO EL EVENTO. POSTERIORMENTE SE TOMA CONOCIMIENTO MEDIANTE AMPLIACIONES SAE QUE S2 SE LABRAN ACTUACIONES POR LESIONES EN CONTEXTO DE VIOLENCIA DE GENERÓ. ANTE EL JUZGADO NRO. 29 A CARGO DR. RODRÍGUEZ. SECRETARÍA N° 152 A CARGO DR. LADRACH. SE PROCEDE A LA DETENCIÓN DEL MASCULINO. S2 NEGATIVO MEDIOS PERIODÍSTICOS NEGATIVO PERSONAS DE RELEVANCIA.</t>
  </si>
  <si>
    <t>08:05. SE TOMA CAMARA FLORESO264 EMPLAZADA EN MIRAFLORES 2286 Y TORRES Y TENORIO SE VISUALIZA A MASCULINO CON MISMA CARACTERISTICAS DEL MASCULINO QUE SUSTRAJO EL CELULAR MODALIDAD HURTO DE UN EFECTIVO QUE SE ENCONTRABA EN UN PROCEDIMIENTO DE VARELA Y CASTAÑARES NUMERO DE SUCESO 48300671 SE DA AVISO A COMANDO GENERANDO CARTA SAE N°48301019. 08.14HS ARRIBA PERSONAL POLICIAL. 
08:27 SE RETIRA PERSONAL POLICIAL DEL LUGAR DANDO POR FINALIZADO EL EVENTO. AMPLIA CARTA SAE MOVIL 607 INFORMA EL OFICIAL LP 59360 BUVAND EN MOMENTOS QUE IDENTIFICABA A UN MASCULINO APOYA SU TELÉFONO EN UN MACETERO INDICANDO QUE EN ESE MOMENTO PASA POR EL LUGAR UN MASCULINO QUE AGARRA EL TELÉFONO Y SE DA A LA FUGA . CMU INFORMO UNA UBICACIÓN DEL IMPUTADO QUE IDENTIFICADO Y CORROBORADO POR EL CMU NO SE TRATARÍA DEL MISMO. 607A INF NO GUARDA RELACION CON EL MASCULINO QUE SUSTRAE EL CELULAR AL PERSONAL POLICIAL EL MISMO CORRESPONDE Y NO POSEE. SE REALIZA CONSULTA CON LA FISC N 30 A CARGO DR RECCHINI Y SEC UNI A CARGO DR  CAMPANA QUIEN DISPONE ACTUACIONES POR HURTO.</t>
  </si>
  <si>
    <t>SIENDO LAS 08:12. SE TOMA CÁMARA BALVANERA 75 EMPLAZADA EN MEXICO 1893 Y COMBATE DE LOS POZOS SE VISUALIZA PERSONA EN SITUACIÓN DE VULNERABILIDAD. SE DA AVISO A COMANDO GENERANDO CARTA SAE N° 48301040. 
SIENDO LAS 08:19. ARRIBA PERSONAL POLICIAL. 
SIENDO LAS 08:22. SE RETIRA DEL LUGAR LA PERSONA EN SITUACION DE CALLE. 
SIENDO LAS 08:25. SE RETIRA PERSONAL POLICIAL DANDO POR FINALIZADO ESTE EVENTO. POSTERIORMENTE SE AMPLIA MEDIANTE CARTA SAE108 MÓVIL 903 INFORMA AL ARRIBO SE INVITA A INDIGENTE A RETIRARSE DEL LUGAR SIN NOVEDAD CORRECTAMENTE IDENTIFICADO. ¿</t>
  </si>
  <si>
    <t>SIENDO LAS 08:26 SE TOMA CÁMARA01 RETIRO05 EMPLAZADA EN AVDA DE LOS INMIGRANTES Y ANTARTIDA ARGENTINA SOBRE PUENTE PEATONAL PERSONAS EN SITUACION DE CALLE. SE DA AVISO A COMANDO GENERANDO CARTA SAE N°48301131.
SIENDO LAS 08:33 ARRIBA PERSONAL POLICIAL. 
SIENDO LAS 08:36 SE RETIRA PERSONA EN SITUACION DE CALLE CON SUS PERTENENCIAS. 
SIENDO LAS 08:38 SE RETIRA PERSONAL POLICIAL.DANDO POR FINALIZADO ESTE EVENTO. POSTERIORMENTE SE AMPLIA CARTA SAE:108 HT ID 1792 INFORMA SE RETIRA A UN MASCULINO EN ESTADO DE CALLE SIN NOVEDAD EL MISMO SE RETIRO OFUSCADO.</t>
  </si>
  <si>
    <t>SIENDO LAS 08:15 SE TOMA CÁMARA02 SAN TELMO18 EMPLAZADA EN JUAN DE GARAY 701 Y CHACABUCO PERSONAS EN SITUACIÓN DE CALLE CON PERTENENCIAS.SE DA AVISO A COMANDO GENERANDO CARTA SAE N°48301120. 
SIENDO LAS 10:02 SE RETIRAN DEL LUGAR LAS PERSONAS POR SUS PROPIOS MEDIOS AL MOMENTO NO SE VISUALIZA PRESENCIA PERSONAL POLICIAL.DANDO POR FINALIZADO ESTE EVENTO. POSTERIORMENTE SE AMPIA CARTA SAE: 108:M 1001 INFORMA SE IDENTIFICA UN MASCULINO SIN NOVEDAD. NO SOLICITA PERSONAL DE BAP. CONSTANCIA EN PARTE.</t>
  </si>
  <si>
    <t>SIENDO LAS 08:13. SE VISUALIZA MEDIANTE CÁMARA CABALLITO O152 EMPLAZADA EN CENTENERA 195 Y GUAYAQUIL A MOTOVEHICULO SIN DOMINIO COLOCADO. SE DA AVISO A COMANDO GENERANDO CARTA SAE NRO. 48301042. 
08:18. ARRIBA PERSONAL POLICIAL Y SE ENTREVISTA CON EL CONDUCTOR DEL MOTOVEHICULO. 
08:27. SE RETIRA PERSONAL POLICIAL DANDO ASI POR FINALIZADO ESTE EVENTO. SE AMPLIA MEDIANTE CARTA SAE HT IDENTIFICÓ A MOTO Y CONDUCTOR CORRESPONDE Y NO POSEE. PRESENTA PERMISO PARA CIRCULAR SIN DOMINIO.</t>
  </si>
  <si>
    <t>SE TOMA CONOCIMIENTO MEDIANTE MODULACIÓN HT SOBRE UN CHOQUE ENTRE UNA MOTO Y UN VEHÍCULO. 
SIENDO LAS 08:14. SE TOMA CÁMARA PALERMO 33 EMPLAZADA EN SCALABRINI ORTIZ 1406 Y GORRITI DONDE SE VISUALIZA A UNA PERSONA TENDIDA SOBRE LA SENDA PEATONAL SIENDO ASISTIDA POR TRANSEÚNTES. SE DA AVISO A COMANDO MEDIANTE CARTA SAE N° 48301026. 
SIENDO LAS 08:17. ARRIBA PERSONAL POLICIAL AL LUGAR. 
SIENDO LAS 08:19. ARRIBA SAME AL LUGAR. 
SIENDO LAS 08:23. ARRIBA BOMBEROS AL LUGAR. 
SIENDO LAS 08:35. SE RETIRA SAME CON TRASLADO. 
SIENDO LAS 08:49. SE RETIRA BOMBEROS DEL LUGAR. 
SIENDO LAS 09:22. SE DA POR FINALIZADO DICHO EVENTO PERMANECIENDO PERSONAL POLICIAL EN EL LUGAR. SE TOMA CONOCIMIENTO MEDIANTE LA AMPLIACIÓN DE LA CARTA SAE MÓVIL 914A INFORMA ARRIBÓ SAME INTERNO 308 BASE CORDOBA A CARGO DR. JUAN ALEX MN 198705 ASISTE Y DERIVA AL SR. CON DNI 33669551 AL HOSPITAL DURAN CON DIAGNÓSTICO POLITRAUMA. EL MISMO A BORDO DE MOTOVEHICULO COLISIONA CON UN VEHÍCULO PARTICULAR CONDUCIDO POR EL SR. SUAREZ AMBOS VEHÍCULOS VENÍAN CIRCULANDO POR AV. SCALABRINI ORTIZ SENTIDO HONDURAS. EL VEHÍCULO PARTICULAR AL QUERER DOBLAR A LA DERECHA ES IMPACTADO POR EL MOTOCICLISTA QUE INTENTÓ SOBREPASAR AL PEUGEOT 206. EL CONDUCTOR DEL MISMO SE ENCUENTRA ILESO. INTERVIENE UNIDAD DE FLAGRANCIA NORTE A CARGO DR. GALVAIRES SE LABRAN ACTUACIONES POR LESIONES CULPOSAS. NOTIFICACIÓN DE LOS ARTÍCULOS 29 Y 30 AL SR. SUAREZ. EL MOTOVEHICULO PERMANECE EN DEPENDENCIA PARA RESGUARDO.</t>
  </si>
  <si>
    <t>SIENDO LAS 08:24. SE TOMA CÁMARA PALERMO 92 EMPLAZADA EN AV. SARMIENTO 2601 Y CALZADA CIRCULAR PLAZA ITALIA SE VISUALIZA PERSONAL POLICIAL IDENTIFICANDO A DOS MASCULINOS ESTOS CON ROPAS OSCURAS. SE DA AVISO A COMANDO GENERANDO CARTA SAE N° 48301133. 
08:49. SE RETIRAN LOS MASCULINOS POR SUS PROPIOS MEDIOS. 
08:53. SE RETIRA PERSONAL POLICIAL DANDO ASÍ POR FINALIZADO ESTE EVENTO. SE AMPLÍA MEDIANTE CARTA SAE MOTO 14C INFORMA SE IDENTIFICÓ A DOS MASCULINOS LOS CUALES SE ENCONTRABAN REALIZANDO UNA VENTA DE PAÑUELOS DESCARTABLES. SE CONSULTO POR SISTEMA Y NO POSEEN IMPEDIMENTO. SE PROCEDE AL SECUESTRO DE DIEZ PAQUETES DE PAÑUELOS CON NOMBRE DE FANTASÍA ELITTE. SE REALIZA CONSULTA CON LA FISCALÍA GENERAL A CARGO DEL DR. PABLO FALLI SE LABRA ACTA CONTRAVENCIONAL POR INFRACCIÓN AL ARTÍCULO 99 NOTIFICACIÓN A LOS MASCULINOS POR EL ARTÍCULO 239.</t>
  </si>
  <si>
    <t>SIENDO LAS 08:32. SE VISUALIZA MEDIANTE CÁMARA PALERMO O123 EMPLAZADA EN CABRERA 3901 Y ACUÑA DE FIGUEROA A UNA PERSONA EN SITUACIÓN DE VULNERABILIDAD. SE DA AVISO A COMANDO GENERANDO CARTA SAE N 48301153. 
09:04. ARRIBA PERSONAL POLICIAL. 
09:09. SE RETIRA PERSONAL POLICIAL. SE AMPLÍA MEDIANTE CARTA SAE MÓVIL INFORMA SE DIÓ CON LA PERSONA EN SITUACIÓN DE CALLE. CONSULTADO POR MEDIO DEL TELÉFONO PROVISTO NO POSEE IMPEDIMENTO. SE RETIRA ACCEDIENDO EN CONFORMIDAD. NO SE REQUIERE LA PRESENCIA DEL BAP O PERSONAL DE ESPACIOS PÚBLICOS.</t>
  </si>
  <si>
    <t>SIENDO LAS 08:57. SE TOMA CÁMARA BOEDO O127 EMPLAZADA EN JUAN DE GARAY 3305 Y SÁNCHEZ DE LORIA DONDE SE VISUALIZA A PERSONA EN SITUACIÓN DE VULNERABILIDAD. SE DE AVISO A COMANDO GENERANDO CARTA SAE N°48301271. 
09:07. ARRIBA PERSONAL POLICIAL. 
09:10. SE RETIRA INDIGENTE POR SUS PROPIOS MEDIOS. POSTERIORMENTE SE AMPLÍA MEDIANTE CARTA SAE 108 HT INFORMA AL ARRIBO SE INVITÓ A INDIGENTE A RETIRARSE DEL LUGAR SIN NOVEDAD CORRECTAMENTE IDENTIFICADO.</t>
  </si>
  <si>
    <t>08:16. AL TOMAR LA CÁMARA FLORESTA 35 EMPLAZADA EN MORÓN 3711 Y JOAQUÍN V. GONZALEZ SE VISUALIZA A UN GRUPO DE PERSONAS ENTRE ELLAS DOS MASCULINOS OFICIANDO APARENTEMENTE DE CUIDACOCHES. RECIBIENDO DÁDIVAS POR PARTE DE AUTOMOVILISTAS QUE ESTACIONARÍAN EN EL LUGAR. SE DA AVISO A COMANDO MEDIANTE CARTA SAE N° 48301149. SE DEJA CONSTANCIA QUE UN PRIMER MASCULINO EL CUAL VISTE CAMPERA GRIS PANTALÓN MARRÓN Y CALZADO OSCURO CON SUELA BLANCA SE LO VISUALIZA 
A LAS 08:16. RECIBE DÁDIVAS. POSTERIORMENTE 
SIENDO LAS 08:28. A UN SEGUNDO MASCULINO EL CUAL VISTE CAMPERA CON CAPUCHA COLOCADA COLOR GRIS OSCURO EN LA PARTE SUPERIOR Y GRIS CLARO EN LA PARTE INFERIOR PANTALÓN AZUL REALIZA ADEMANES A LOS AUTOMOVILISTAS Y EN UNA ACTITUD APARENTEMENTE AGRESIVA HACIA LOS MISMOS CUANDO ESTACIONAN Y A POSTERIORI SE RETIRAN DEL LUGAR. SIENDO LAS 
SIENDO LAS 08:43. SE VISUALIZA ARRIBO DE PERSONAL POLICIAL QUIENES DARÍAN CON EL GRUPO DE PERSONAS. 
SIENDO LAS 09:08. SE RETIRA EL PERSONAL PERMANECIENDO LAS PERSONAS EN LAS INMEDIACIONES DANDO POR FINALIZADO EL MONITOREO. POSTERIORMENTE SE TOMA CONOCIMIENTO MEDIANTE CARTA SAE SE REALIZÓ CONSULTA CON LA FISCALÍA DE CIUDAD A CARGO DEL DR. CERRATO QUIEN DISPONE SE LABREN ACTUACIONES POR ART. 91 Y NOTIFICACIÓN DE ARTÍCULOS 29 Y 30 A AMBOS MASCULINOS. PROCEDEN AL CESE DE ACTIVIDAD Y SE RETIRAN.
SE DEJA CONSTANCIA QUE LOS CONTRAVENTORES NO FUERON CARGADOS AL SISTEMA DEBIDO A QUE EN CARTA SAE FIGURAN COMO ENTREVISTADOS SIENDO EL SR. APELLIDO: PEŸALVA - NOMBRE: CARLOS ANDRES - ALIAS: - SEXO: MASCULINO - EDAD: 27 - DNI: 42837426 - FECHA NAC: 1999.01.21 - IMPLICACION: ENTREVISTADO/A - LP: 0 - OBSERVACIONES: Y EL SR. APELLIDO: PEŸALVA - NOMBRE: JONATHAN DAVID - ALIAS: - SEXO: MASCULINO - EDAD: 29 - DNI: 42837425 - FECHA NAC: 1996.11.13 - IMPLICACION: ENTREVISTADO/A - LP: 0 - OBSERVACIONES:</t>
  </si>
  <si>
    <t>SE TOMA CONOCIMIENTO MEDIANTE CARTA SAE N°48301242 HT SOLICITA SAME PARA MOTOCICLISTA. SIENDO LAS 08.55 HS. SE TOMA CÁMARA PARQUE CHACABUCO O145 EMPLAZADA EN EMILIO MITRE 610 Y DIRECTORIO SE VISUALIZA PERSONAL POLICIAL JUNTO A MOTOVEHÍCULO DETENIDO. 
SE REALIZA LÍNEA DE TIEMPO MEDIANTE CÁMARA PARQUE CHACABUCO O145 CAM02 SIENDO LAS 08.47 HS. SE VISUALIZA MOTOVEHÍCULO CIRCULAR POR AV. DIRECTORIO ES ALLÍ CUANDO APARENTEMENTE POR UNA MALA MANIOBRA DEBIDO A LAS VÍAS DE LA CINTA ASFÁLTICA RESBALA Y CAE. 
09:04. ARRIBA SAME. 09.17 HS. SE RETIRA SAME CON TRASLADO ASÍ MISMO PERSONAL POLICIAL DANDO POR FINALIZADO ESTE EVENTO. POSTERIORMENTE SE AMPLÍA MEDIANTE SAE ARRIBÓ SAME INTERNO 355 DEL HOSPITAL PIÑEIRO A CARGO DE LA DRA. DARRIO KARINA MN 199751 ASISTE Y TRASLADA AL PIÑEIRO CON DIAGNÓSTICO POLICONTUSO. MÓVIL 1009 INFORMA QUE LA FEMENINO VENÍA CIRCULANDO POR AV. DIRECTORIO CUANDO SE RESBALA CON LOS RIELES DE LAS VÍAS.</t>
  </si>
  <si>
    <t>SE TOMA CONOCIMIENTO MEDIANTE CARTA SAE N° 48300911 DENUNCIANTE REFIERE QUE UN MASCULINO LE HABRÍA PEGADO CON UN FIERRO EN LA CABEZA A SU HERMANO. VISUALIZA SANGRE PERO ESTARÍA CONSCIENTE. 
SE REALIZA LÍNEA DE TIEMPO MEDIANTE CÁMARA FLORES O101CAM01 EMPLAZADA EN VARELA 1980 Y OCEANÍA 
SIENDO LAS 07:40. SE OBSERVA UN GRUPO DE MASCULINOS EN INCIDENCIA. PRIMER MASCULINO VESTIMENTAS OSCURAS. SEGUNDO MASCULINO CAMPERA A CUADROS PANTALÓN NEGRO. MOMENTO EN QUE EL MASCULINO DE VESTIMENTA OSCURA CAE AL SUELO EL SEGUNDO MASCULINO SACA UN OBJETO COLOR PLATEADO DE UNOS 50 CM. APROXIMADAMENTE Y COMIENZA A AGREDIR AL MISMO. LUEGO UN MASCULINO DE BUZO AZUL Y PANTALÓN OSCURO CON UNA FRANJA BLANCA A SUS LATERALES QUE SE ENCONTRABA CON ELLOS COMIENZA A SER AGREDIDO POR UN TERCER MASCULINO DE CAMPERA NEGRA PANTALÓN BEIGE. ASÍ MISMO MEDIANTE CÁMARA FLORES O101CAM03 EMPLAZADA EN VARELA 1980 Y OCEANÍA SE VISUALIZA AL PRIMER MASCULINO DESCRIPTO LUEGO DE SER AGREDIDO SE RETIRA PERDIÉNDOLO DE LA VISUAL DE LAS CÁMARAS POR VARELA HACIA PERITO MORENO. POSTERIORMENTE SE TOMA CONOCIMIENTO MEDIANTE AMPLIACIÓN DE CARTA SAE PATRULLA 3 INFORMA 2 MASCULINOS DAMNIFICADOS CON GOLPES EN LA CABEZA. BREVE RESEÑA: EL SR. RECALDE ESTABA PASEANDO A SU PERRO CUANDO ES INTERCEPTADO POR 2 MASCULINOS LO INSULTARON LO CORREN Y ESTE INGRESA A UN LOCAL TALLER MECÁNICO A RESGUARDASE DONDE SE ENCONTRABA EL SR. HUAYTA DUEÑO QUE TAMBIÉN ES AGREDIDO POR ESTOS 2 MASCULINOS CON FIERROS EN LA CABEZA. ARRIBÓ SAME INTERNO 360 A CARGO DR. DEMENESE MN 198967 ASISTE Y TRASLADA AL HOSPITAL PIÑERO AL SR. RECALDE DIAGNOÓSTICO TRAUMA CRANEOENCEFÁLICO SIN RIESGO DE VIDA. SEGUNDA AMBULANCIA SAME INTERNO 416 A CARGO DEL DR. BRIANA LUIS MN 106781 ASISTE Y DERIVA AL HOSPITAL PIÑERO AL SR. NO APORTA DNI NO RECUERDA JUAN CARLOS HUAYTA NINA BOLIVIANO DE 54 AÑOS DIAGNÓSTICO TRAUMATISMO DE CRÁNEO CON HERIDA CORTANTE. CONSIGNA OFICIAL. PATRULLA 3 INFORMA SE REALIZA CONSULTA CON LA UNIDAD DE FLAGRANCIA OESTE A CARGO DEL DR. CORRAL GALVANO QUIEN DISPONE ACTUACIONES AVERIGUACIÓN LESIONES SIN REQUERIR SERVICIOS.</t>
  </si>
  <si>
    <t>SE TOMA CONOCIMIENTO MEDIANTE CARTA SAE N° 48301167 DENUNCIANTE FEMENINO REFIERE QUE HABRÍAN QUERIDO ENTRAR TRES MASCULINOS AL INTERIOR DEL EDIFICIO SIN LOGRARLO. REFIERE QUE TENDRÍA LA GRABACIÓN DE LOS MASCULINOS. LA PUERTA DEL LUGAR ESTARÍA FORZADA. 
SIENDO LAS 08:43. SE TOMA CÁMARA PALERMO O240 EMPLAZADA EN LIBERTADOR 4801 Y MAURE NO SE LOGRA VISUALIZAR LO APORTADO. 
08:44. ARRIBA PERSONAL POLICIAL. 
09:37. SE RETIRA PERSONAL POLICIAL DANDO POR FINALIZADO ESTE EVENTO. POSTERIORMENTE SE TOMA CONOCIMIENTO MEDIANTE CARTA SAE MÓVIL 914B INFORMA SE ENTREVISTÓ A LA ENCARGADA DEL EDIFICIO QUIEN TOMA SU SERVICIO 
SIENDO LAS 08:30. Y NOTA QUE LA PUERTA DE INGRESO SE ENCUENTRA APARENTEMENTE FORZADA. LA MISMA ES UNA PUERTA DE VIDRIO CON MARCO DE MADERA EN COLOR MARRÓN. LA MISMA VISUALIZA POR LAS IMÁGENES DE LAS CÁMARAS QUE POSEE EL EDIFICIO Y VISUALIZA 
A LAS 22:00. DE AYER EN PRIMER MOMENTO A CUATRO MASCULINOS QUE PASAN POR EL FRENTE DEL EDIFICO LUEGO SE VUELVEN DOS O TRES DE ELLOS Y SE DIRIGEN AL GARAJE INTENTANDO INGRESAR A LA PUERTA DE SERVICIO. AL NO PODER INGRESAR RETORNAN A LA PUERTA DE INGRESO PRINCIPAL. UNO DE LOS MASCULINOS LE DA UN EMPUJÓN SIN LOGRAR VIOLENTAR O DAÑAR EL VIDRIO Y POSTERIORMENTE SE RETIRAN. INTERVIENE FISCALÍA CRIMINAL CORRECCIONAL NRO. 12 A CARGO DEL DR. PERRANDO ALONZO LEANDRO. ACTUACIONES POR TENTATIVA DE ROBO. SOLICITA PERSONAL DE RASTROS SE PLANTA AL OFICIAL PRIMERO.</t>
  </si>
  <si>
    <t>SIENDO LAS 09:21. SE TOMA CÁMARA CONSTITUCIÓN 74 EMPLAZADA EN JUAN DE GARAY 1301 Y SANTIAGO DE ESTERO SE VISUALIZA MASCULINO DE GORRA NEGRA CAMPERA NEGRA PANTALÓN BEIGE APARENTEMENTE EL MISMO TENDRÍA UN OBJETO CORTO PUNZANTE. SE GENERA CARTA SAE N°48301440. EL MISMO INGRESA AL HOTEL. 
09:22. ARRIBA PERSONAL POLICIAL. 
09:29. SE RETIRA PERSONAL DANDO POR FINALIZADO ESTE EVENTO. POSTERIORMENTE SE AMPLÍA MEDIANTE CARTA SAE MOVIL 601 SE ENTREVISTA CON EL ENCARGADO DEL HOTEL 1261 REFIERE QUE NO VISUALIZA EL MASCULINO CON LA DESCRIPCIONES APORTADAS. NEGATIVO LO APORTADO.  SE VERIFICA EN EL INTERIOR SIN NOVEDAD. CONSTANCIA EN PARTE</t>
  </si>
  <si>
    <t>SE TOMA CONOCIMIENTO MEDIANTE HT APARENTEMENTE CHOQUE. SIENDO LAS 09.13 HS. SE TOMA CÁMARA BALVANERA 72 EMPLAZADA EN LAS CALLES JUAN DOMINGO PERON 2890 Y BOULOGNE SUR MER SE VISUALIZA PERSONAL POLCIAL JUNTO A CICLISTA.  SE DA AVISO A COMANDO GENERANDO CARTA SAE N°48301247. 
SIENDO LAS 09:23. SE RETIRA PERSONAL POLICIAL DANDO ASI POR FIALIZADO EL EVENTO. SE AMPLIA MEDIANTE CARTA SAE HT INFORMA ARRIBÓ SAME INTERNO 407 MORENO A CARGO DEL DR. LUCERO MN 169747 QUIEN ASISTE Y DERIVA AL RAMOS MEJÍA CON DIAGNÓSTICO TRAUMATISMO ENCÉFALO CRANEANO SIN PÉRDIDA DE CONOCIMEINTO. DNI 13751120 ESTE CICLISTA EL CUAL CIRCULABA Y ES COLICIONADA POR UN CICLISTA EL SR. DNI 33575186 EL CUAL SE DEJA EXPEDIENTE DE CONSTANCIA DADO QUE FEMENINO NO REQUIERE INSTAR A LA ACCIÓN PENAL DADO QUIEN ES QUIEN CRUZO MAL.</t>
  </si>
  <si>
    <t>SE TOMA CONOCIMIENTO MEDIANTE CARTA SAE N° 48301186 LLAMANTE PATRICIA ALITERI OFICIAL DE JUSTICIA PARA REALIZAR UN SECUESTRO DE AUTOMOTOR EN EL LUGAR. 
SIENDO LAS 09:05. SE TOMA CÁMARA EN PATERNAL 17 EMPLAZADA EN LASCANO 2196 Y GAVILÁN VISUALIZANDO AUTOMÓVIL NEGRO MASCULINOS Y PERSONAL POLICIAL EN EL LUGAR. 
SE REALIZA LÍNEA DE TIEMPO NO VISUALIZANDO MOMENTO DEL HECHO DEBIDO A QUE LA CÁMARA SE ENCONTRABA EN MODO PATRÓN. 
09:30. SE RETIRA PERSONAL POLICIAL DEL LUGAR DANDO POR FINALIZADO ESTE EVENTO. POSTERIORMENTE SE AMPLÍA MEDIANTE CARTA SAE MÓVIL SECTOR INDICA SE COLABORA SIN NOVEDAD CON OFICIAL DE JUSTICIA.</t>
  </si>
  <si>
    <t>SIENDO LAS 09:40. SE VISUALIZA MEDIANTE CÁMARA PALERMO 53 EMPLAZADA EN LAS HERAS 3201 Y CNEL. DÍAZ A UNA PERSONA EN SITUACIÓN DE VULNERABILIDAD. SE DA AVISO A COMANDO Y SE GENERA CARTA SAE N 48301641. 
09:49. ARRIBA PERSONAL POLICIAL. 
09:55. SE RETIRA EL MASCULINO EN SITUACIÓN DE VULNERABILIDAD POR SUS PROPIOS MEDIOS AL IGUAL QUE PERSONAL POLICIAL. 
10:04. SE RETIRA BAP DANDO POR FINALIZADO DICHOE EVENTO. SE AMPLÍA MEDIANTE CARTA SAE MÓVIL 1014C INFORMA NEGATIVO LO APORTADO EL PANORAMA ES NORMAL NO SE APROXIMA DENUNCIANTE.</t>
  </si>
  <si>
    <t>SE TOMA CONOCIMIENTO MEDIANTE CARTA SAE N.º 48301162. DENUNCIANTE REFIERE QUE EN LA PUERTA DE LA ESCUELA FUE AGREDIDA POR OTRA MADRE Y A ELLA LA METIERON ADENTRO. LA AGRESORA QUEDO AFUERA. VISTE CAMPERA MARRÓN Y PANTALÓN NEGRO. LA GOLPEO LA CABEZA. NO ESTA HERIDA. PIDEN MÓVIL. 
SIENDO LAS 09:38. SE OBSERVA POR CÁMARA MATADEROSO178 CAM01. EMPLAZADA EN EVA PERÓN 7199 Y GRAL. PAZ. SE VISUALIZA MÓVIL POLICIAL EN EL LUGAR. 
SE REALIZA LÍNEA DE TIEMPO DE CAM. MATADEROS O 178 CAM 01 POR LA MISMA 
08:24. SE VISUALIZO A UN GRUPO DE PERSONAS FORCEJEANDO EN EL INGRESO DEL QTH APORTADO. ASIMISMO SE APROXIMA PERSONAL DE PREVENCIÓN EL CUAL INTERVIENE PARA SEPARAR LAS PARTES. 
10:33. SE RETIRA MÓVIL POLICIAL DANDO POR FINALIZADO ESTE MONITOREO. POSTERIORMENTE SE TOMA CONOCIMIENTO MEDIANTE AMPLIACIÓN DE CARTA SAE. MOVIL INFORMA SE REALIZO CONSULTA CON LA UNIDAD FLAGANCIA SUR A LA VOZ DOCTORA POSSE. QUIEN DISPUSO ACTUACIONES POR LESIONES RECIPROCAS. AMBAS PARTES QUEDAN NOTIFICADA DE LA CAUSA</t>
  </si>
  <si>
    <t>SE TOMA CONOCIMIENETO POR CARTA SAE N°48301182 AGENTE DE PREVENCION RODRIGUEZ REFIERE QUE MASCULINO VISTE RIPA NEGRA A BORDO DE MOTO ROMPIO VIDRIO DE CAMIONETA Y LE ROBO CELULAR A FEMENINO SE DIO A LA FUGA POR SAENZ NO APORTA MAS DATOS. 
08:45 SE TOMA CAMARA NUEVA POMPEYA 26 EMPLAZADAD EN SAENZ 997 Y ESQUIU SE VISUALIZA PERSONAL DE PREVENCION JUNTO A UN VEHICULO CITROEN BERLINGO. 
08:47 ARRIBA PERSONAL POLICIAL . 
SE VERIFICO LINEA DE TIEMPO POR CAMARA NUEVA POMPEYA 26 CAM01 
SIENDO LAS 08:32 VISUALIZANDO A LA LEJANIA UN MOTOVEHICULO CIRCULANDO POR AV. SAENZ QUE SUBE A LA VEREDA ANTES DE LLEGAR A LUPPI. EN ES MOMENTO UNA PERSONA QUE VIENE DEL MISMO LADO DEL MOTOVEHICULO SE APROXIMO RAPIDAMENTE AL VEHICULO Y SE RETIRA A LA VELOZ CARRERA. 
09:21 SE RETIRA EL FEMENINO CON PERSONAL POLICIAL. SE AMPLIA POR CARTA SAE 1104 B INFORMA QUE SE REALIZA CONSULTA ANTE LA FISCALÍA NACIONAL EN LO CRIMINAL Y CORRECCIONAL N°21 DR. VASSER SECRETARIA UNICA DR. PÉREZ DISPUSO LABRAR ACTUACIONES POR ROBO. SE TRATO DE ROBO DE IPHONE 16 DE COLOR BLANCO.</t>
  </si>
  <si>
    <t>09:34. AL TOMAR LA CÁMARA FLORES O256 EMPLAZADA EN CARABOBO 1639 Y CASTAÑARES SE VISUALIZA A UN FEMENINO Y UN MASCULINO QUE PODRIAN GUARDAR RELACIÓN CON HECHO ILÍCITO DE HORAS TEMPRANAS. SE DA AVISO A COMANDO GENERANDO CARTA SAE 48301591. EL FEMENINO VISTE CAMPERA ROJA PANTALÓN AZUL CON FRANJAS ROJAS Y ZAPATILLAS CLARAS. EL MASCULINO POSEE GORRA COLOCADA VISTE CAMPERA MARRÓN Y PANTALÓN NEGRO. EL MISMO CON UN COCHECITO DE BEBE. 
09:41.  SE VISUALIZA POR CÁMARA PARQUE CHACABUCO O132 EMPLAZADA EN CURAPALIGUE 1712 Y SARAZA A PERSONAL POLICIAL IDENTIFICANDO A LAS PERSONAS. 
09:52. SE RETIRAN LAS PERSONAS DEL LUGAR POR SUS PROPIOS MEIDOS DANDO POR FINALIZADO DICHO EVENTO. SE AMPLÍA MEDIANTE CARTA SAE QUE SE IDENTIFICO A LAS PERSONAS SIN NOVEDAD DANDO POR FINALIZADO EL EVENTO.</t>
  </si>
  <si>
    <t>SE TOMA CONOCIMIENTO MEDIANTE CARTA SAE N° 48301732 LLAMANTE REFIERE QUE HABRÍA TOCADO CON LA PUERTA DEL AUTO A UN MOTOCICLISTA. 
09:53. SE VISUALIZA MEDIANTE CÁMARA FLORES O102 EMPLAZADA EN BOGOTÁ 3186 Y CUENCA A PERSONAL POLICIAL JUNTO A DOS MASCULINOS Y UN FEMENINO. UNO DE LOS MASCULINOS SE ENCUENTRA SENTADO SUJETÁNDOSE LA PIERNA. 
SE REALIZA LÍNEA DE TIEMPO MEDIANTE CÁMARA FLORES O102 CAM02 EMPLAZADA EN BOGOTÁ 3186 Y CUENCA 
SIENDO LAS 09:50. SE VISUALIZA AL MOTOCICLISTA EL CUAL CIRCULABA POR CUENCA HACIA BOGOTÁ AL MOMENTO DE DETENER SU MARCHA EN EL SEMÁFORO UN VEHÍCULO SÍMIL POLO 208 COLOR OSCURO ABRE LA PUERTA DEL LADO DEL ACOMPAÑANTE Y GOLPEA AL MOTOVEHICULO. 
10:11. ARRIBA SAME. 
10:17. SE RETIRA SAME TRASLADANDO AL MASCULINO. 
11:31. SE RETIRAN MASCULINO Y FEMENINO POR SUS MEDIOS. 
11:41. SE DA POR FINALIZADO EL EVENTO CON PERSONAL POLICIAL EN EL LUGAR. POSTERIORMENTE SE TOMA CONOCIMIENTO MEDIANTE AMPLIACIÓN DE CARTA SAE HT INFORMA BREVE RESEÑA ANTES DE LLEGAR A LA SENDA PEATONAL DE CUENCA EL VEHÍCULO FRENA LA ACOMPAÑANTE ABRE LA PUERTA Y EL MOTOCICLISTA COLISIONA CON ÉSTA. ARRIBO SAME INTERNO 389 A CARGO DE LA DRA. VASQUEZ MN 809335 ASISTE Y DERIVA AL SR. FERNÁNDEZ DIAGNÓSTICO TRAUMATISMO DE PIE DERECHO AL HOSPITAL ALVAREZ. SE REALIZA CONSULTA UNIDAD DE FLAGRANCIA OESTE A CARGO DEL DR. CORAL MALDANO SE LABRAN ACTUACIONES POR LESIONES 94. SOLICITA VIALES AGUARDA OFICIAL PRIMERO.</t>
  </si>
  <si>
    <t>SIENDO LAS 10:03. SE TOMA CÁMARA PALERMO 98 EMPLAZADA EN NEWBERY 2722 Y AMENABAR VISUALIZANDO A UN MASCULINO EN SITUACIÓN DE VULNERABILIDAD. SE DA AVISO A COMANDO GENERANDO CARTA SAE NRO. 48301903. 
10:20. SE VISUALIZA EL ARRIBO DE PERSONAL POLICIAL MEDIANTE CÁMARA PALERMO 98CAM01. 
10:22. SE RETIRA PERSONAL POLICIAL QUEDANDO EL MASCULINO EN EL LUGAR DANDO POR FINALIZADO EL EVENTO. SE AMPLIA MEDIANTE CARTA SAE MÓVIL INFORMA EN EL LUGAR SE IDENTIFICA AL MASCULINO SIN NOVEDAD Y SE RETIRA DEL LUGAR SIN SOLICITAR PERSONAL DEL 108.</t>
  </si>
  <si>
    <t>SE TOMA CONOCIMIENTO MEDIANTE CARTA SAE N° 48301879 LLAMANTE REFIERE QUE HABRÍA INGRESADO UN MECHERO A UN COMERCIO CARREFOUR. MASCULINO VISTE CAMPERA AMARILLA Y VERDE. 
SIENDO LAS 10:05. SE TOMA CÁMARA CONSTITUCIÓN O135CAM01 VISUALIZANDO EL PASO DE PERSONAL POLICIAL. 
SE REALIZA LÍNEA DE TIEMPO POR CÁMARA CONSTITUCIÓN O135CAM02 
SIENDO LAS 09:52. SE VISUALIZA A MASCULINO DE SÍMIL CARACTERÍSTICAS INGRESANDO AL LOCAL MENCIONADO. 
09:53. SE VISUALIZA AL MASCULINO QUE SE RETIRA CAMINANDO POR SALTA Y DOBLA POR EL PASAJE CIUDADELA SACANDO OBJETOS DE DENTRO DE SU CAMPERA. 
SIENDO LAS 10:04. SE VISUALIZA POR CÁMARA CONSTITUCIÓN O135CAM01 PERSONAL POLICIAL EN MOTOVEHÍCULO ARRIBANDO AL PASAJE CIUDADELA PARA DETENER AL MASCULINO MENCIONADO. 
SIENDO LAS 10:09. ARRIBA MÓVIL POLICIAL PARA ENTREVISTAR EN EL COMERCIO CARREFOUR. 
10:37. SE RETIRA PERSONAL POLICIAL DEL PASAJE CIUDADELA SIN LOGRAR VISUALIZAR TRASLADO DE MASCULINO DEBIDO A LA POSICIÓN DE LA CÁMARA. 
10:57. SE RETIRA PERSONAL POLICIAL DEL CARREFOUR. POSTERIORMENTE SE TOMA CONOCIMIENTO MEDIANTE CARTA SAE MÓVIL 901 EL MASCULINO POSEE ENTRE SUS ROPAS 2 CAFÉ DE BONAFIDE DE 500 GRAMOS. MÓVIL 901 SE REALIZÓ CONSULTA JUZGADO CRIMINAL Y CORRECIONAL NRO. 28 DR DELBIZO SECRETARÍA N°142 DR ABAUSA ACTUACIONES POR HURTO Y DETENCIÓN DEL MASCULINO SECUESTRO DE LA MERCADERIA.</t>
  </si>
  <si>
    <t>SE TOMA CONOCIMIENTO MEDIANTE CARTA SAE N° 48301367 LLAMANTE INDICA QUE HABRIA UN MASCULINO DE 40 AÑOS QUE POSEE GORRA CON  VISERA CLARA VISTE CAMPERA DE CORDEROY JOGGING GRIS Y ZAPATILLAS DEPORTIVAS QUE HABRIA QUERIDO INGRESAR AL EDIFICIO DE SU MAMÁ DE EDAD AVANZADA. REFIRIENDO QUE ESTARIA BUSCANDO A ALGUIEN EN EL EDIFICIO. 
09:15. AL TOMAR LA CÁMARA CABALLITO 74 EMPLAZADA EN BEUCHEF Y FORMOSA SE VISUALIZA ARRIBO DE PERSONAL POLICIAL. 
09:19. SE RETIRA PERSONAL POLICIAL DEL LUGAR DANDO POR FINALIZADO DICHO EVENTO. SE AMPLÍA MEDIANTE CARTA SAE MÓVIL 606B ENTREVISTÓ A LLAMANTE REFIRIÓ OBSERVAR A UN MASCULINO CON INTENCIONES DE INGRESO. AL ARRIBO YA NO SE ENCONTRABA.</t>
  </si>
  <si>
    <t>SE TOMA CONOCIMIENTO MEDIANTE CARTA SAE N° 48301105. DENUNCIANTE REFIERE QUE HUBO CHOQUE ENTRE AUTO Y MOTO EL MASCULINO DE LA MOTO ESTARÍA INCONSCIENTE. 
SIENDO LAS 08:25 SE TOMA CÁMARA PUEYRREDON17CAM01 EMPLAZADA EN GRAL MOSCONI 2371 Y ZAMUDIO SE VISUALIZA MÓVIL DE PERSONAL POLICIAL EN EL LUGAR SE REALIZÓ LÍNEA DE TIEMPO DE CÁMARA VILLA PUEYRREDON10CAM01 
SIENDO LAS 08:22 SE VISUALIZA MOTOVEHÍCULO CIRCULAR POR MOSCONI Y ES EN LA INTERSECCIÓN DE ZAMUDIO QUE ES EMBESTIDO POR UN VEHÍCULO OSCURO QUE CIRCULABA POR ZAMUDIO CRUZANDO MOSCONI SIGUIENDO SU MARCHA POR ZAMUDIO. 
08:34 ARRIBA SAME. 
08:41 SE RETIRA SAME NO SE LOGRA VISUALIZAR EL TRASLADO. 
08:45 SE RETIRA PERSONAL POLICIAL. SE AMPLÍA MEDIANTE CARTA SAE ARRIBA SAME INTERNO 410 A CARGO DRA MN181458 NAVARRO ASISTE Y TRASLADA AL HOSPITAL ZUBIZARRETA DIAGNOSTICO POLITRAUMA SIN RIESGO AL SR SAVOY. SE REALIZA CONSULTA CON UFLA NORTE A CARGO DRA CÁCERES DISPUSO 29 Y 30 PARA PARTE IMPUTADA.</t>
  </si>
  <si>
    <t>SIENDO LAS 10:00 SE TOMA CÁMARA FLORESTA50 EMPLAZADA EN VENANCIO FLORES 3201 Y CUENCA DONDE SE VISUALIZÓ A UN MASCULINO OFICIANDO APARENTES TAREAS DE CUIDA COCHES EN LA VÍA PÚBLICA.
10:11 SE VISUALIZA A ESTE MASCULINO RECIBIENDO DÁDIVAS DE PERSONAS QUE ESTACIONAN EN EL LUGAR. SE DA AVISO A COMANDO GENERANDO CARTA SAE N° 48301956. 
SIENDO LAS 10:40 SE VISUALIZA EL ARRIBO DE PERSONAL POLICIAL. EL CUAL DARÍA CON EL MASCULINO. 
SIENDO LAS 11:05 SE RETIRA MASCULINO POR SUS PROPIOS MEDIOS Y PERSONAL POLICIAL DANDO POR FINALIZADO ESTE EVENTO. POSTERIORMENTE SE AMPLÍA MEDIANTE CARTA SAE HT INFORMA SE REALIZA CONSULTA FISC GRAL A CARGO DEL DR. GALI SE LABRAN ACTAS POR ART 91 CESE DE LA ACTIVIDAD Y SOLTURA. ESTE EVENTO FUE MONITOREADO POR ARTESI FLAVIA 2666721.</t>
  </si>
  <si>
    <t>SIENDO LAS 10:49. SE TOMA CONOCIMIENTO MEDIANTE CARTA SAE N°48302263. LLAMANTE REFIERE QUE HABRÍA UN MASCULINO VENDEDOR AMBULANTE. SE TOMA LA CÁMARA SAN CRISTOBAL19 EMPLAZADA EN SAN JUAN 2008 Y SARANDI VISUALIZANDO EN EL LUGAR UN VENDEDOR AMBULANTE CON CAMPERA NEGRA. 
SIENDO LAS 10:50. ARRIBA PERSONAL POLICIAL AL LUGAR DANDO CON EL MASCULINO. FINALMENTE 
SIENDO LAS 11:38. SE RETIRA EL PERSONAL POLICIAL DÁNDOLE SOLTURA AL MASCULINO DANDO POR FINALIZADO EL EVENTO. POSTERIORMENTE SE TOMA CONOCIMIENTO MEDIANTE AMPLIACIONES SAE MÓVIL 503 B EN EL LUGAR SE ENCUENTRA CON DOS MASCULINOS EL CUAL SE LE LABRAN ACTAS POR ARTICULO 139 INTERVIENE FISCALÍA GENERAL EL CUAL SE PROCEDE AL SECUESTRO DE PAÑUELOS Y PALTAS SIN NOVEDAD. ESTE EVENTO FUE MONITOREADO POR CAMAÑO NAHUEL DNI 44006317.</t>
  </si>
  <si>
    <t>CLARA LUCIA SOLDANI - 02/06/2026 
12:08
SE TOMA CONOCIMIENTO MEDIANTE CARTA SAE N°48301554. DENUNCIANTE REFIERE QUE SE TRATARÍA DE UNA DISCUSIÓN ENTRE EL CHOFER DE LA LÍNEA DE COLECTIVO 172 INTERNO 36 Y UNA PASAJERA CON UN CARRITO DE BEBE LA MISMA NO QUERRÍA SACARLO DE ALLÍ Y SENTARSE PARA MAYOR SEGURIDAD. 
SIENDO LAS 09:35. TOMO CÁMARA FLORESO189 EMPLAZADA EN AVELLANEDA 2807 Y TERRADA EN EL LUGAR SE VISUALIZA UN COLECTIVO ESTACIONADO EN LA CINTA ASFÁLTICA Y EN SU INTERIOR A LA DICENTE. 
09:39. ARRIBO AL LUGAR PERSONAL POLICIAL. 
09:58. SE RETIRA LA DICENTE JUNTO A UN MASCULINO Y EL COCHECITO DEL BEBE POR SUS PROPIOS MEDIOS. 
09:59. SE RETIRA PERSONAL POLICIAL. DANDO POR FINALIZADO EL MONITOREO. POSTERIORMENTE SE AMPLÍA SAE 607C INFORMA SE ENTREVISTA CON LA SEÑORA QUIROGA SE TRATÓ DE UNA INCIDENCIA SOLUCIONADA EN EL LUGAR.</t>
  </si>
  <si>
    <t>SIENDO LAS 09:55 SE TOMA CÁMARA SAN NICOLÁS 42 EMPLAZADA EN ROQUE SÁENZ PEÑA 555 Y SAN MARTIN SE VISUALIZA UN MASCULINO DE ROPAS OSCURAS DETENIDO POR OTRO MASCULINO Y PERSONAL POLICIAL. SE GENERA CARTA SAE N° 48301961 SE POSEE HACER LÍNEA DE TIEMPO SOBRE LA CÁMARA SAN NICOLÁS 42 CAM02 SE OBSERVA AL MASCULINO DEMORADO POR PERSONAL PROVIENE APARENTEMENTE POR LA CALLE SAN MARTIN CRUZANDO ROQUE SÁENZ PEÑA QUIEN SEGUIDO ES PERSEGUIDO POR UN MASCULINO VESTIMENTAS OSCURAS Y POSEE UNA MOCHILA QUIEN LO TOMA DEL BRAZO Y LLEVA SENTIDO A SAN MARTIN ASÍ MISMO SE VISUALIZA LOS MISMOS PROVENIR DEL SUBTE LÍNEA AD CATEDRAL LOS MISMOS PROCEDEN A UN FORCEJEO HASTA EL ARRIBO DEL PERSONAL.
11:25 SE RETIRA PERSONAL CON TRASLADO DEL MASCULINO DANDO POR FINALIZADO ESTE EVENTO. POSTERIORMENTE SE AMPLÍA MEDIANTE CARTA SAE HT INFORMA QUE REALIZO CONSULTA CON EL JUZGADO NACIONAL CRIMINAL Y CORRECCIONAL N°4 A CARGO DOCTOR GONZALES SECCIÓN 139 A CARGO DOCTOR DESIMONE EL CUAL INTERIORIZADO DE LOS PORMENORES DISPONE ACTUACIONES POR HURTO LECTURA DE DERECHOS Y GARANTÍAS DECLARACIÓN DEL PERSONAL INTERVENTOR Y DEMÁS MEDIDAS DE RIGOR HT INFORMA QUE SE HACE PRESENTE MÓVIL INTERNO 8737 A CARGO OF 1 LP8819 IGUIÑES GABRIEL EL CUAL REALIZA EL TRASLADO S/N</t>
  </si>
  <si>
    <t>SE TOMA CONOCIMIENTO MEDIANTE CARTA SAE 48301137 SUCESO AUTOMATIVO GENERADO POR EVENTO DE BOTON DE PANICO. 
08:33 SE TOMA CAMÁRA ALMAGRO59 EMPLAZADA EN QUERANDIES 4309 Y PRINGLES VISUALIZANDO A PERSONAL POLICIAL EN EL LUGAR. 
08:37 SE RETIRA PERSONAL POLICIAL DANDO POR FINALIZADO ESTE EVENTO. POSTERIORMENTE SE AMPLIA MEDIANTE CARTA SAE SE RECIBE LLAMADO A LA VOZ DEL OFICIAL MAYOR LP 15000 VILLA VERDE PABLO HT COMISARIA VECINAL 5A QUIEN REFIERE ENTREVISTARSE CON LA USUARIA. LA MISMA SE ENCUENTRA ILESA REFIERE QUE ACCIONO EL DISPOSITIVO DE MANERA INVOLUNTARIA</t>
  </si>
  <si>
    <t>SIENDO LAS 10:53. POR LA CÁMARA NUEVA POMPEYA70 EMPLAZADA EN AMANCIO ALCORTA 3077 Y PJE 70 SE VISUALIZA A UN MASCULINO DE GORRA NEGRA, BUZO BORDO, REMERA DE ARGENTINA DEBAJO, PANTALÓN VERDE Y CALZADO VIOLETA EL CUAL ESTARÍA MANIPULANDO DOS TELÉFONOS CELULARES. SE DA AVISO A COMANDO GENERANDO CARTA SAE N°48302364. 
10:55. EL MASCULINO SE COLOCA UNA CAMPERA GRIS E INGRESA AL PASAJE 70 PERDIÉNDOSE DE LA VISUAL. NO ARRIBA PERSONAL POLICIAL AL LUGAR DANDO POR FINALIZADO EL EVENTO. SE TOMA CONOCIMIENTO MEDIANTE CARTA SAE QUE EL UTP 6 INFORMA NEGATIVO ELEMENTO CONSTITUTIVO DEL DELITO. MASCULINO CONSULTADO CORRESPONDE Y NO POSEE.</t>
  </si>
  <si>
    <t>SIENDO LAS 11:05 SE TOMA CÁMARA SAN NICOLÁS 40 EMPLAZADA EN ROQUE SÁENZ PEÑA 764 Y ESMERALDA DONDE SE VISUALIZA UNA CONCENTRACIÓN DE PERSONAS APARENTEMENTE UNA MANIFESTACIÓN.SE GENERA CARTA SAE N°48302372 INGRESO DE COCHERA DENUNCIANTE REFIERE QUE HAY MANIFESTANTES EN LA EX SEDE CENTRAL DEL YPF SERIAN EN 25 30 PERSONAS ESTÁN DENTRO DEL LUGAR.
11:15 QUEDA PERSONAL DE CONSIGNA DANDO POR FINALIZADO ESTE EVENTO. POSTERIORMENTE SE AMPLÍA MEDIANTE CARTA SAE OP SE ENCUENTRA MODULANDO POR METRO 111</t>
  </si>
  <si>
    <t>SIENDO LAS 11:06 SE VISUALIZA MEDIANTE CAMARA CONSTITUCIONO1222 EMPLAZADA EN PAVON 1302 Y SANTIAGO DEL ESTERO A PERSONAL POLICIAL IDENTIFICANDO A DOS MASCULINOS SE DA AVISO A COMANDO GENERANDO CARTA SAE N 48302526. SINDO LAS 
11:08. SE RETIRAN MASCULINOS POR SUS PROPIOS MEDIOS JUNTO AL PERSONAL POLICIAL. POSTERIORMENTE SE AMPLIA MEDIANTE CARTA SAE CICLISTA SE IDENTIFICA SIN NOVEDAD 2 MASCULINO SIN IMPEDIMENTO .NEGATIVO ILICITO. NEGATIVO INCIDENCIA. CONSTANCIA EN PARTE. ESTE EVENTO FUE MONITOREADO POR CUELLO JOAQUIN DNI 45322664</t>
  </si>
  <si>
    <t>SE TOMA CONOCIMIENTO MEDIANTE CARTA SAE N° 48302530 MASCULINO REFIERE QUE SE ESTARÍA INCENDIANDO UN CONTENEDOR DE BASURA HABRÍA HUMO NEGRO Y 2 AUTOS ALREDEDOR. 
SIENDO LAS 11:11 SE TOMA CÁMARA EN VILLA CRESPO09 EMPLAZADA EN CORRIENTES 6001 Y HUMBOLDT VISUALIZANDO UN CONTENEDOR DE BASURA SALIENDO HUMO NEGRO JUNTO Y PERSONAL DE PREVENCIÓN EN EL LUGAR. EL FOCO FUE APAGADO POR PERSONAL DE PREVENCIÓN. 
11:21 QUEDA APAGADO EL CONTENEDOR Y SE RETIRA PERSONAL DE PREVENCIÓN DEL LUGAR DANDO POR FINALIZADO ESTE EVENTO. POSTERIORMENTE SE AMPLÍA SAE BOMBEROS: AP INFORMA QUE EL FOCO FUE APAGADO CON AGUA Y MATAFUEGOS</t>
  </si>
  <si>
    <t>SIENDO LAS 11:15 SE TOMA CÁMARA PALERMOO118 EMPLAZADA EN LIBERTADOR 2050 Y MCAL. RAMÓN CASTILLA A PERSONAL POLICIAL CON DOS MASCULINOS Y SUS VEHÍCULOS. SE DA AVISO A COMANDO Y SE GENERA CARTA SAE N 48302601. SE AMPLÍA MEDIANTE LÍNEA DE TIEMPO POR CÁMARA PALERMOO118CAM02 
SIENDO LAS 11:02 SE VISUALIZA AUTOMÓVIL ROJO CIRCULAR POR LIBERTADOR SENTIDO CASTILLA POR CARRIL MEDIO CUANDO HACE MANIOBRA IMPRUDENTE DE GIRO HACIA LA IZQUIERDA CUANDO COLISIONA CON VEHÍCULO GRIS QUE CIRCULA POR CARRIL IZQUIERDO. 
11:27 SE RETIRA PERSONAL POLICIAL Y LOS IMPLICADOS. SE AMPLÍA MEDIANTE CARTA SAE HT INFORMA AMBAS PARTES SE ENCUENTRAN EN EL LUGAR SE TRATA DE CHOQUE SIMPLE. LAS PARTES INTERCAMBIAN DATOS Y SE RETIRAN DEL LUGAR. NEGATIVOS HERIDOS.</t>
  </si>
  <si>
    <t>SE TOMA CONOCIMIENTO MEDIANTE CARTA SAE N° 48301437 FEMENINO REFIERE QUE LLAMO HACE MOMENTOS POR ROBO Y VERÍA LA LOCALIZACIÓN POR GPS REFIERE QUE LLAMO ANTES Y ESTABA EN EL LUGAR DONDE ESTABA EL CELULAR. 
SIENDO LAS 09:20 SE TOMA CÁMARA CONSTITUCION17 EMPLAZADA EN CASEROS 1601 Y SAN JOSÉ VISUALIZANDO PERSONAL POLICIAL CON UN MASCULINO EN EL LUGAR. 
SE REALIZA LÍNEA DE TIEMPO MEDIANTE LA MISMA CÁMARA SIN LOGRAR VISUALIZAR IMAGEN DE RELEVANCIA. 
SIENDO LAS 09:36 SE RETIRA MASCULINO POR SUS PROPIOS MEDIOS Y PERSONAL POLICIAL. M 501 SE RECORRE LA ZONA CON RESULTADO NEGATIVO FEMENINO Y MASCULINO CON ESAS DESCRIPCIONES. SE AGUARDA UN TIEMPO PRUDENCIAL SIGUE EL RECORRIDO. NEGATIVO LO APORTADO. CONSTANCIA EN PARTE.</t>
  </si>
  <si>
    <t>SIENDO LAS 10:55 SE TOMA CAMARA BALVANERA02 EMPLAZADA EN LAS CALLES BARTOLOME MITRE 2951 Y PUEYRREDON. SE VISUALIZA A UN MASCULINO CON GORRA NEGRA CHALECO MARRON Y PANTALON NEGRO APARENTEMENTE COMERCIALIZANDO UN TELEFONO CELULAR A UN SEGUNDO MASCULINO DE CAMPERA ROJA Y JEAN GRIS QUE SE ENCONTRARIA DENTRO DEL VEHICULO FIAT CRONOS DOMINIO AE 947 NK COLOR GRIS SOBRE LA VIA PUBLICA. SE DA AVISO A COMANDO GENERANDO CARTA SAE N°48302437. 
10:58. SE VISUALIZA AL PRIMER MASCULINO APROXIMARLE UN APARENTE TELEFONO CELULAR POR LO TANTO EL SEGUNDO MASCULINO LE ENTREGA DINERO A CAMBIO DEL MISMO. POSTERIORMENTE EL MASCULINO DE CHALECO BEIGE SE RETIRA POR BARTOLOME MITRE HACIA PUEYRREDON. 
11:02. SE TOMA CAMARA BALVANERA03 EMPLAZADA EN LAS CALLES BARTOLOME MITRE 2841 Y PUEYRREDON. SE VISUALIZA A PERSONAL POLICIAL DANDO CON EL MASCULINO MENCIONADO EN CARTA. MEDIANTE BALVANERA02 SE VISUALIZA A PERSONAL POLICIAL IDENTIFICANDO AL MASCULINO QUE SE ENCONTRABA DENTRO DEL VEHICULO. 
SIENDO LAS 11:32 SE RETIRAN LOS MASCULINOS POR SUS PROPIOS MEDIOS Y PERSONAL POLICIAL DANDO ASI POR FINALIZADO EL EVENTO. SE TOMA CONOCIMIENTO MEDIANTE AMPLIACION DE LA CARTA SAE HT QUE EN EL LUGAR SE PROCEDE A IDENTIFICAR A LOS MASCULINOS SIN NOVEDAD. ASIMISMO SE DEJA CONSTANCIA QUE EL MASCULINO LE HACE ENTREGA DEL DINERO DADO QUE SERIA UN CELULAR PARA REPARACION Y QUE EL IDENTIFICADO TRABAJA EN LA GALERIA LOCAL DE REPARACION DE CELULARES.</t>
  </si>
  <si>
    <t>SIENDO LAS 11:30 MEDIANTE FRECUENCIA SE TOMA CONOCIMIENTO SAME PARA QTH PEPIRI 1200 SE TOMA CAMARA NUEVA POMPETA59 EMPLAZADA EN PEPIRI1198 Y AMANCIO ALCORTA MEDIANTE DOMO SE VISUALIZA UN MASCULINO RECOSTADO EN EL SUELO APARENTEMENTE SINTIENDOSE MAL SE DA AVISO A COMANDO. 
11:32 ARRIBA HT CICLISTA AL QTH MENCIONADO QUIEN SE ENTREVISTA CON EL MASCULINO Y ESTE SOLICITA SAME PARA EL MASCULINO QUIEN MANIFIESTA DOLENCIA SE BRINDA APOYO OPTICO. SE REALIZO LINEA DE TIEMPO EN CAMARA NUEVA POMPEYA 73 CAM 03 Y CAM 02 
A LAS 11:21 EL PASO DEL MASCULINO ALGO DIFICULTOSO AL CAMINAR 
11:23 EN CAMARA NUEVA POMPEYA 59 YA SE VISUALIZA MIN UTOS POSTERIOR YA RECOSTADO EN EL SUELO. 
13:03 ANTE LA AUSENCIA DE SAME EL MASCULINO SE RETIRA A PIE POR SUS PROPIOS MEDIOS EN COMPANIA DE OTRO MASCULINO SE DA AVISO A COMANDO DADNO POR FINALIZADO EL EVENTO. MEDIANTE AMPLIACION DE CARTA SAE SE TOMA CONOCIMIENTO CICLISTA REFIERE QUE EL MASCULINO TENIA UN PEDIDO DE CAPTURA ANTE EL CONSULTADO POR JUEZ FEDERAL CCCN11 SECRETARIAN°2 SE REALIZA CONSULTA DR MAURETE REFIERE CAUSA SIN EFECTO. CICLISTA INF QUE EL DIA DE AYER SE CAYO DE SU BICICLETA PERO NO PIDIÓ ASISTENCIA MEDICA EL DIA DE HOY MANIFESTÓ DOLENCIAS. DEJO SIN EFECTO SAME DEBIDO A LA DEMORA DE SAME</t>
  </si>
  <si>
    <t>SE TOMA CONOCIMIENTO MEDIANTE MODULACIÓN SOBRE DOS MASCULINOS CON ARMA DE FUEGO EFECTUANDO DISPAROS EN RODRIGO DE TRIANA AL 3491. 
11:19. SE TOMA LA CÁMARA VILLA SOLDATIO115 EMPLAZADA EN VERACRUZ 3427 Y MARIANO ACOSTA AL MOMENTO NO LOGRANDO VISUALIZAR LO APORTADO POR DENUNCIANTE. 
11:20. ARRIBA PERSONAL POLICIAL AL LUGAR. 
11:40. SE RETIRA PERSONAL POLICIAL DANDO DE ESTE MODO POR FINALIZADO EL EVENTO. CARTA SAE N° 48302564. AMPLÍA MEDIANTE SAE: MÓVIL 408 B INFORMA SE INGRESÓ A LA FINCA CON PERMISO DE LOS PROPIETARIOS Y SE VERIFICÓ. NEGATIVO EL MASCULINO.</t>
  </si>
  <si>
    <t>SE TOMA CONOCIMIENTO MEDIANTE CARTA SAE N°48302839. DENUNCIANTE REFIERE QUE UN MOTOVEHICULO HABRÍA ATROPELLADO A UN PEATÓN. 
11:42. SE TOMA CAMARA VILLA LUGANOO241 EMPLAZADA SOBRE FERNÁNDEZ DE LA CRUZ 4698 Y ESCALADA VISUALIZANDO UN FEMENINO SOBRE LA CINTA ASFÁLTICA SIENDO ASISTIDO POR PERSONAL POLICIAL JUNTO A UN MOTOVEHICULO APARENTEMENTE COLISIONADO. 
SE REALIZA LINEA DE TIEMPO SOBRE CAMARA VILLA LUGANOO241 CAM01 Y 
SIENDO LAS 11:37. SE VISUALIZA AL PEATÓN CRUZAR LA SENDA PEATONAL CON SEMÁFORO EN VERDE CUANDO POR LA AVENIDA FERNÁNDEZ DE LA CRUZ CIRCULABA UN MOTOVEHICULO EL CUAL EMBISTE A ESTE FEMENINO. PARA LUEGO PERMANECER EN EL LUGAR. FINALIZA LINEA DE TIEMPO. 
11:47. ARRIBA SAME. 
11:55. SE RETIRA SAME CON TRASLADO DE UN FEMENINO. PERSONAL POLICIAL PERMANECE EN EL LUGAR DANDO POR FINALIZADO EL EVENTO. SE AMPLIA CON SAE. HT INFORMA QUE SE TRATO DE UN FEMENINO EL CUAL CRUZA EN SEMÁFORO VERDE Y EN EMBESTIDA POR EL MOTOVEHICULO ASÍ MISMO ARRIBÓ SAME INTERNO 414 A CARGO DEL DR. MN 154942 QUIEN ASISTE Y DERIVA AL HOSPITAL GRIERSON. SE REALIZA CONSULTA CON LA UNIDAD DE FLAGRANCIA SUR A CARGO DEL DR. HERNÁNDEZ EL CUAL DISPONE ACTUACIONES POR LESIONES 94. SOLICITA ALCOTEST Y VIALES SE IMPLANTA CONSIGNA POLICIAL EN EL LUGAR.</t>
  </si>
  <si>
    <t>SIENDO 
12:07 SE TOMA CONOCIMIENTO MEDIANTE CARTA SAE N°48303029 LLAMANTE INDICA SALIDA DE HUMO DE COLOR NEGRO DESDE UN DEPARTAMENTO DEL PISO 5 DE SU EDIFICIO SE VISUALIZA MEDIANTE CAMARA PARQUE AVELLANEDA54 EMPLAZADA EN ESCALADA 998 Y TAPALQUE PERSONAL POLICIAL Y BOMBEROS EN EL LUGAR 
12:59 SE RETIRA BOMBEROS PERSONAL POLICIAL HABILITA EL TRANSITO DE VEHICULOS DE LA TRAZA DE ESCALADA DANDO POR FINALIZADO EL EVENTO. POSTERIOMENTE SE AMPLIA POR CARTA SAE MOVIL 909 INFORMA QUE ARRIBO BOMBEROS INTERNO N°340 DEL VELEZ A CARGO DEL SUBTENIENTE LP 25592 AYALA EL CUAL VIOLENTA LA PUERTA DEL DEPARTAMENTO SE TRATO DE UNA INCENDIO PRODUCTO A UN CORTO DE UN TELEVISOR SE REALIZA CONSULTA CON LA UNIDA DE FLAGRANCIA SUR A CARGO DEL DR. HERNANDEZ ACTUACIONES AVERIGUACION DE INCENDIO SE PRODUCE EN EL PISO 5 C DONDE EL MORADOR NO SE ENCUENTRA SE IMPLANTA CONSIGNA EL OFICIAL MONZON VANESA HASTA EL ARRIBO DEL PROPIETARIO.</t>
  </si>
  <si>
    <t>SE TOMA CONOCIMIENTO MEDIANTE CARTA SAE N° 48302353. DENUNCIANTE REFIERE QUE SE TRATARÍA DE UNA PELEA ENTRE DOS MASCULINOS UN EMPLEADO DE LA ESTACIÓN DE FLORES LE HABRÍA PROPINADO UN GOLPE DE PUÑO A UN MASCULINO QUE TENDRÍA MAL ESTACIONADO SU VEHÍCULO. 10: 55HS. TOMO CÁMARA FLORES75 EMPLAZADA EN BOLIVIA 181 Y PJE HUGO DEL CARRIL. 
11:01. ARRIBA PERSONAL POLICIAL AL LUGAR. 
SE REALIZA LÍNEA DE TIEMPO POR CÁMARA FLORES75 
SIENDO LAS 10:41. SE VISUALIZA AL GIRO DEL DOMO EN PRIMERA INSTANCIA AL PERSONAL DE TRENES Y DOS MASCULINOS DE ROPAS OSCURAS. SEGUIDAMENTE AL GIRO DEL DOMO SE VISUALIZA UN FORCEJEO EN EL LUGAR HABRÍA PERSONAL POLICIAL DE FEDERAL Y AL OTRO GIRO DEL DOMO YA SE VISUALIZA LAS PARTES SEPARADAS. 
12:24. SE RETIRA PERSONAL POLICIAL DANDO POR FINALIZADO EL MONITOREO. POSTERIORMENTE SE AMPLÍA SAE 1007C INFORMA SE ENTREVISTA CON EL SEÑOR FREDDI EL MISMO MANIFIESTA QUE PERSONAL DE LA ESTACIÓN FLORES LO AMENAZO Y LO AGREDIÓ EL MISMO SE ENCUENTRA ILESO NO REQUIERE SAME SE REALIZÓ CONSULTA INFORMA SE RECORRIÓ LO QUE ES LA ESTACIÓN NO DANDO CON EL AGRESOR ASÍ MISMO SE ENTREVISTA A UN PERSONAL EL CUAL NO QUIERE APORTAR DATOS NO TIENE CONOCIMIENTO DE LO ACONTECIDO SE REALIZA CONSULTA UNIDAD DE FLAGRANCIA OESTE A CARGO DEL DR. GALVANO SE LABRAN ACTUACIONES POR LESIONES LEVES Y AMENAZAS SE DEJA UNA CONSIGNA EN EL LOCAL DEPOSITO DEL SEÑOR FREDDI OFICIAL ALANIS LP 56019.</t>
  </si>
  <si>
    <t>SIENDO LAS 11:40. SE TOMA CONOCIMIENTO MEDIANTE CARTA SAE N°48302805 DENUNCIANTE REFIERE UN CHOQUE ENTRE DOS MOTOS CON HERIDOS. SE TOMA LA CÁMARA BALVANERA53 EMPLAZADA EN INDEPENDENCIA 2701 Y JUJUY VISUALIZANDO EN EL LUGAR A PERSONAL POLICIAL. 
11:41. ARRIBA SAME AL LUGAR. 
12:47. SE RETIRA SAME SIN LOGRAR VISUALIZAR TRASLADO. FINALMENTE 
SIENDO LAS 12:48. SE RETIRA EL PERSONAL POLICIAL DANDO POR FINALIZADO EL EVENTO. POSTERIORMENTE SE TOMA CONOCIMIENTO MEDIANTE AMPLIACIONES SAE HT ARRIBO SAME INTERNO 407 DE MORENO DRA. LUCERO MATRICULA NACIONAL N° 169747 QUIEN ASISTE Y NO DERIVA SE NEGÓ A SER ASISTIDO DNI 27692592 CONDUCÍA MOTO CORVEN DOMINIO 940JNS COLISIONA CON OTRA MOTO DOMINIO A243WYC CONDUCIDO POR LA SRA. DNI 95755196 UNIDAD FLAGRANCIA ESTE DR. ALMEIDA INTERIORIZADA SE LABRAN ACTUACIONES POR LESIONES 94 LAS PARTES CONTINÚAN SIN NOVEDAD. GG. ESTE EVENTO FUE MONITOREADO POR CAMAÑO NAHUEL DNI 44006317</t>
  </si>
  <si>
    <t>SIENDO LAS 12:03 SE OBSERVA POR CÁMARA CHACARITA22 EMPLAZADA CON LA AV. FOREST 1488 Y DE LOS INCAS A UN MASCULINO ANDANDO SOSPECHOSAMENTE POR LA ZONA. EL MISMO VISTE CAMPERA AZUL CON REMERA CON ESTAMPAS DEBAJO DEL PANTALÓN AZUL. SIENDO LAS 12.06HS EL MASCULINO SE DIRIGE POR FOREST HACIA OLLEROS Y SE LO VE AL MISMO POR CÁMARA CHACARITA57 EMPLAZADA CON LA AV. FOREST 502 Y OLLEROS. TOMÁNDOSE CONOCIMIENTO MEDIANTE LA CARTA SAE N°48303042 QUE SE OBSERVA A PERSONA EXTRAÑA ANDAR POR LA ZONA. 
SIENDO LAS 12:08 SE TOMA CÁMARA CHACARITA57 EMPLAZADA CON LA AV. FOREST 502 Y OLLEROS EN EL CUAL SE OBSERVA AL MASCULINO DETENIDO EN EL LUGAR JUNTTO CON EL PERSONAL POLICIAL. AL MINUTO ARRIBA MÓVIL POLICIAL. 
SIENDO LAS 12:11 LE DAN SOLTURA AL MASCULINO Y SE RETIRA POR CUENTA PROPIA. 
SIENDO LAS 12:25 SE RETIRA PERSONAL POLICIAL JUNTO CON EL MÓVIL Y FINALIZA EL EVENTO. SE TOMA CONOCIMIENTO A TRAVÉS DE LA CARTA SAE QUE EL MASCULINO MUESTRA DOCUMENTACIÓN Y SE TRATA DE SU VEHÍCULO Y NEGATIVO HECHO ILÍCITO.</t>
  </si>
  <si>
    <t>SIENDO LAS 11:51. SE VISUALIZA MEDIANTE CAMARA SAN NICOLAS89 EMPLAZADA EN SARMIENTO1010 Y 9 DE JULIO A PERSONAS EN SITUACION DE VULNERABILIDAD. SE DA AVISO A COMANDO GENERANDO CARTA SAE N°48302906 
12:18 NO SE VISUALIZA ARRIBO PERSONAL POLICIAL DANDO POR FINALIZADO EL EVENTO.</t>
  </si>
  <si>
    <t>SE TOMA CONOCIMIENTO MEDIANTE CARTA SAE N°48303176 DENUNCIANTE REFIERE QUE SU VECINO NO LE RESPONDE LA PUERTA. 
12:28. SE TOMA CÁMARA BALVANERAO117 EMPLAZADA EN GALLO 695 Y LAVALLE SIN VISUALIZAR IMÁGENES DE RELEVANCIA. 
12:29. ARRIBA PERSONAL POLICIAL. 
14:06. ARRIBA SAME. 
14:10. SE RETIRA SAME SIN TRASLADO. 
15:20. SE RETIRA PERSONAL POLICIAL DANDO POR FINALIZADO EL EVENTO. SE AMPLÍA MEDIANTE SAE HT ARRIBO SAME INTERNO 407 A CARGO DE LA DRA. LUCERA MN 169747 QUIEN CONSTATA OBITOS HORAS 
14:09 SE ENCONTRABA DE CUBITO VENTRAL EN UNA DE LAS HABITACIONES. SIN SIGNOS DE VIOLENCIA. SE TOMA CONTACTO FISCALIA N°11 A CARGO DEL DR. TOGNI ACTUACIONES POR AVERIGUACIÓN CAUSAL DE MUERTE SE SOLICITA PERSONAL DE UCM COMPLETA CON VIDEO CONSIGNA OFICIAL DIAZ LP 59184 NÚMERO DE POC 1158287168.</t>
  </si>
  <si>
    <t>SE TOMA CONOCIMIENTO MEDIANTE CARTA SAE N°48303279 POR UNA FEMENINO CAÍDA. 
12:50. SE TOMA CONOCIMIENTO MEDIANTE CÁMARA SARAZA 6202 Y CAÑADA DE GÓMEZ VISUALIZANDO AL PERSONAL POLICIAL EN EL LUGAR ASISTIENDO EN EL LUGAR. 
12:55. ARRIBA SAME. 
13:02. SE RETIRA SAME. 
13:07. SE RETIRA PERSONAL POLICIAL DANDO POR FINALIZADO ESTE EVENTO. POSTERIORMENTE SE AMPLIA MEDIANTE CARTA SAE MÓVIL INFORMA ARRIBO SAME INTERNO 419 DE BASE EMILIO A CARGO DR. EMANUEL MATRICULA NACIONAL 168554 ASÍ Y DERIVA DIAGNÓSTICO CONTROL CLÍNICO DERIVA AL SANTOJANNI</t>
  </si>
  <si>
    <t>SIENDO LAS 13:16 SE TOMA LA CÁMARA CHACARITA20 EMPLAZADA EN PALPA 3893 Y FRAGA Y SE VISUALIZA AUN MASCULINO DE GORRA CELESTE CON CAMPERA COLOR NEGRA PANTALÓN Y ZAPATILLAS NEGRAS. EL MISMO SE MUESTRA AGRESIVO CONTRA OTRO MASCULINO DE CAMPERA BLANCA REMERA NEGRA PANTALÓN GRIS Y ZAPATILLAS BLANCAS. EL PRIMER MASCULINO LE SUSTRAE AL SEGUNDO MASCULINO LO QUE SERÍA UNA BOTELLA CON BEBIDA ALCOHÓLICA Y LO AMENAZA CON UN OBJETO APARENTEMENTE CORTO PUNZANTE. SE COMUNICA A COMANDO DANDO ORIGEN A LA CARTA SAE N° 48303696. 
13:18 PERSONAL POLICIAL ARRIBA AL LUGAR. 
14:33 SE VISUALIZA A UN MASCULINO DE BUZO AZUL OSCURO PANTALÓN NEGRO ZAPATILLAS NEGRAS DETENIDO POR PERSONAL POLICIAL. 
14:43 ARRIBA AL LUGAR UN MASCULINO CON GORRA NEGRA BUZO GRIS Y NEGRO REMERA ROSADA Y PANTALÓN GRIS Y ZAPATILLAS NEGRAS. 
14:54 EL MASCULINO DE GORRA CELESTE SE RETIRA DEL LUGAR POR SUS PROPIOS MEDIOS JUNTO AL MASCULINO DE GORRA NEGRA. 
14:56 PERSONAL POLICIAL SE RETIRA DEL LUGAR DANDO COMO FINALIZADO EL EVENTO. POSTERIORMENTE SE AMPLÍA MEDIANTE CARTA SAE UTP INDICA NEGATIVO ELEMENTO CORTO PUNZANTE O CONSTITUTIVO DE DELITO. SE COMUNICA AL INTERNO 1146 UTP. REFIERE CONTACTO CON TOC 15 DOCTOR GATTO. REFIERE CAPTURA SIN VIGENCIA. SE REALIZA EXPEDIENTE CONSTANCIA. ASIMISMO CONSULTA RESPECTO TEMPERAMENTO HACIA LAS OTRAS DOS PERSONAS EN EL LUGAR NO SE ADOPTA TEMPERAMENTO POR NO CNOTAR CON ELEMENTO CONSTITUTIVO DEL DELITO O IMPEDIMENTO. ESTE EVENTO FUE MONITOREADO POR NEHUEN GRECO VENTURA DNI 40073390 CON COLABORACIÓN DE OPERADORA GRETA ROJAS DNI 39344532.</t>
  </si>
  <si>
    <t>SIENDO LAS 13:25. SE VISUALIZA MEDIANTE CAMARA CABALLITO07 EMPLAZADA EN RIVADAVIA 4997 Y ACOYTE UN MASCULINO EN MOTOVEHICULO SIN PATENTE EL MISMO SE ENCUENTRA ESTACIONADO EN LA VEREDA ARRIBA DE LA MISMA MASCULINO VISTE CAMPERA NEGRA CON GRIS PANTALON NEGRO Y BORCEGOS NEGROS. SE DA AVISO A COMANDO GENERANDO CARTA SAE N° 48303831. 
13:28. ARRIBA PERSONAL POLICIAL DANDO CON LA MOTOVEHICULO. 
13:56. SE RETIRA EL PERSONAL POLICIAL JUNTO CON EL MASCULINO. AMPLIACION DE CARTA SAE MOTO INDICA QUE LA MOTO VA A SER REMITIDA POR FALTA DE DOMINIO Y NO ESTA HABILITADA PARA CIRCULAR.</t>
  </si>
  <si>
    <t>SE TOMA CONOCIMIENTO MEDIANTE CARTA SAE N°48301506. DENUNCIANTE REFIERE QUE UN MASCULINO EN MOTO LE HABRÍA QUERIDO ROBAR EL CELULAR EL MALVIVIENTE SE DA A LA FUGA POR ASAMBLEA Y MARIANO MORENO SERÍA UNA MOTO CHICA. 
09:25. TOMO CÁMARA PARQUE CHACABUCO54 EMPLAZADA EN ASAMBLEA 1497 Y CURAPALIGUE EN EL LUGAR SE VISUALIZA PANORAMA NORMAL. 
SE REALIZA LÍNEA DE TIEMPO POR LA CÁMARA CHACABUCO54CAM02 
09:23. SE OBSERVA UN MASCULINO SENTADO EN LA VEREDA DE LA ESTACIÓN DE SERVICIO SHELL CON SU CELULAR EN LA MANO ES ALLÍ QUE UN MOTOVEHICULO INTENTA SUSTRAERLE DICHO APARATO FALLANDO EN EL INTENTO SE DA A LA FUGA HACIA ASAMBLEA EL MISMO VESTIA PANTALÓN Y BUZO COLOR NEGRO CASCO NEGRO Y ZAPATILLAS NEGRAS EL MOTOVEHICULO ERA COLOR BLANCO CON ASIENTO NEGRO. 
09:33. ARRIBA PERSONAL Y SE RETIRA SEGUNDOS MÁS TARDE. DANDO POR FINALIZADO EL MONITOREO. POSTERIORMENTE SE AMPLÍA SAE CUATRI INFORMA PRESENCIA NOTORIA NO SE APROXIMA DENUNCIANTE NEGATIVO MOTOVEHICULO.</t>
  </si>
  <si>
    <t>SE TOMA CONOCIMIENTO MEDIANTE CARTA SAE N°48304156 DENUNCIANTE REFIERE QUE HABRIA UN MASCULINO QUE ESTARIA GENERANDO DISTURBIOS EN LA VIA PUBLICA. 
14:10. SE TOMA LA CAMARA CABALLITOO145 EMPLAZADA EN CUCHA CUCHA 901 Y PLANES VISUALIZANDO AL PERSONAL POLICIAL IDENTIFICANDO AL MASCULINO. NO SE LOGRA REALIZAR LINEA DE TIEMPO DEBIDO A DESPERFECTOS TECNICOS DE LA CAMARA. 
14:31. SE RETIRA EL MASCULINO POR SUS PROPIOS MEDIOS. 
14:36. SE RETIRA PERSONAL POLICIAL DEL LUGAR DANDO POR FINALIZADO ESTE EVENTO. POSTERIORMENTE SE AMPLIA MEDIANTE CARTA SAE GRUPO HT IDENTIFICO A MASCULINO EN SITUACION DE CALLE CORRESPONDE Y NO POSEE CONSULTADFO SI EL MASCULINO GUARDA RELACION CON EL OBJETIVO DE LA CONSIGNA INDICA NEGATIVO. ASI MISMO NO ADOPTA TEMPERAMENTO RESPECTO A LA INCIDENCIA.</t>
  </si>
  <si>
    <t>SE TOMA CONOCIMIENTO MEDIANTE MODULACION HT INDICA QUE ESTARIAN IDENTIFICANDO A UN MASCULINO EN CACHIMAYO Y HUALFIN. SE DA AVISO A COMANDO GENERANDO LA CARTA SAE N°48304119. 
SIENDO LAS 13:54 SE TOMA LA CAMARA CABALLITOO155 EMPLAZADA EN CACHIMAYO 304 Y HUALFIN EN LA CUAL SE VISUALIZA A PERSONAL POLICIAL IDENTIFICANDO A UN MASCULINO. 
14:05 LE DAN SOLTURA A LOS MASCULINOS. 
14:08 SE RETIRA PERSONAL POLICIAL DANDO POR FINALIZADO ESTE EVENTO. POSTERIORMENTE SE AMPLIA MEDIANTE CARTA SAE QUE 906B IDENTIFICO A DOS MASCULINOS EN ACTITUD DE MERODEO. CORRESPONDEN Y NO POSEEN NEGATIVO ELEMENTOS CONSTITUTIVOS DE DELITO.</t>
  </si>
  <si>
    <t>SE TOMA CONOCIMIENTO MEDIANTE CARTA SAE N°48304263 DENUNCIANTE REFIERE CHOQUE ENTRE MOTOVEHICULO Y AUTO.
14:18 SE TOMA LA CAMARA VILLA CRESPO20CAM01 VISULAIZANDO MOTOVEHICULO DETENIDO EN SENDA PEATONAL Y PERSONAL DE PREVENCION ASISTIENDO.
SE REALIZA LINEA DE TIEMPO MEDIANTE CAMARA VILLA CRESPO20CAM01 EMPLAZADA EN WARNES 635 Y MUÑECAS 
SIENDO LAS 14:16 SE VISUALIZA VEHICULO COLOR BLANCO QUE CIRCULA POR CALLLE WARNES Y AL LLEGAR A INTERSECCION UN MOTOVEHICULO QUE CIRCULA MISMO SENTIDO INTENTA PASARLO COLISIONANDO DEL LADO DERECHO DEL CONDUCTOR CAYENDO DE SU PROPIA ALTURA.
14:24 ARRIBO AMBULANCIA SAME.
14:28 ARRIBO MOVIL POLICIAL.14.32HS SE RETIRA SAME CON TRASLADO.
14:48 SE RETIRA PERSONAL POLICIAL DANDO POR FINALIZADO ESTE EVENTO.SE TOMA CONOCIMIENTO MEDIANTE CARTA SAE INFORMA ARRIBO SAME DE BASE DURAND INTERNO390 A CARGO DR HERNANDEZ MN 194737 QUIEN ASISTE DE MANERA PREVENTIVA SIN DIAGNOSTICAR DEBIDO A QUE MOTOCICLISTA QUERIA RETIRARSE.</t>
  </si>
  <si>
    <t>SE TOMA CONOCIMIENTO MEDIANTE CARTA SAE N° 48303840 LLAMANTE INDICA QUE LE ROBARON PERTENENCIAS QUE ESTABAN DENTRO DEL VEHÍCULO INDICA QUE LE ROBARON 2.500.000.00 DE PESOS QUE TENÍA DENTRO DE UNA MOCHILA. SIENDO LAS HORAS 
13:37 SE VISUALIZA MEDIANTE CÁMARA VILLALURO22CAM02 SE VISUALIZA VEHÍCULO SÍMIL AMAROK COLOR GRIS. 
13:39 HORAS ARRIBA PERSONAL POLICIAL. 
14:05 HORAS SE RETIRA PERSONAL POLICIAL DANDO POR FINALIZADO ESTE EVENTO. POSTERIORMENTE SE AMPLÍA MEDIANTE CARTA SAE M 1010 INFORMA EN EL LUGAR SE ENTREVISTÓ AL DAMNIFICADO QUIEN REFIERE QUE LE SUSTRAEN DEL INTERIOR DE SU VEHÍCULO UNA MOCHILA CON 2.500.000 MIL PESOS Y UNA NOTEBOOK. EL MISMO REFIERE QUE SE ENCONTRABA DIRIGIÉNDOSE A LA OBRA PARA PAGARLES A SUS EMPLEADOS PERO PRIMERO PASO POR LA SUCURSAL BANCARIA A RETIRAR MÁS DINERO PERO AL SALIR DE LA MISMA OBSERVA LA FALTANTE ANTES MENCIONADA INFORMA QUE NO ESTÁ VIOLENTADO EL VEHÍCULO SE LABRAN ACTAS HURTO INTERVIENE FISCALÍA NACIONAL CRIMINAL Y CORRECCIONAL N° 62 A CARGO DR. YAPUR SECRETARIA ÚNICA A CARGO DRA. PARDO NO SOLICITA SERVICIO NEGATIVO RELEVANCIA.</t>
  </si>
  <si>
    <t>12:17 SE TOMA CONOCIMIENTO POR CARTA SAE 48303132 QUE HABRIA UN VEHICULO COLOR BLANCO CON LOS VIDRIOS BAJOS Y PERTENENCIAS EN SU INTERIOR 
12:23 SE TOMA CAMARA VILLA DEVOTO O119 EMPLAZADA EN RICARDO GUTTIERREZ 4153 Y LAVAISSE VISUALIZANDO AL VEHICULO MENCIONADO 
12:28 SE VISUALIZA ARRIBO DE PERSONAL POLICIAL AL LUGAR 
12:33 SE VISUALIZA QUE LA DUEÑA DEL RODADO LLEGA AL LUGAR PARA CERRAR EL MISMO Y SE RETIRA DEL LUGAR SIN NOVEDAD</t>
  </si>
  <si>
    <t>SIENDO LAS 11:42 SE VISUALIZA MEDIANTE CAMARA MONSERRAT51 EMPLAZADA EN JULIO A ROCA 610 Y PERU INF EN EL LUGAR CON DAMNIFICADO DE ILICITO Y UN MASCULINO DEMORADO DE ILICITO SE DA AVISO A COMANDO GENERANDO CARTA SAE N° 48302876. INFORMA MOVIL 1001JUNTO AL DETENIDO EN ROCA Y PERU. SE POSEE CAMARA MONSERRAT51 VISUALIZANDO A PERSONAL POLICIAL CON MASCULINO DEMORADO. MOVIL 901 SE ENTREVISTO CON EL DAMNIFICADO QUIEN INF EL DIA VIERNES DEL MES CORRIENTES EL MASCULINO HABRIA SUSTRAIDO UNA MAQUINARIA ROTOMARTILLO EL DIA DE FECHA VISUALIZA AL MASCULINO RECONOCIENDOLO COMO AUTOR REALIZANDO LA PERSECUCION JUNTO A EMPELADOS DETENIENDOLO EN EL LUGAR. SE ENCUENTRAN RELIZANDO CONSULTA JUDICIAL. SE REALIZO LINEA DE TIEMPO DE MONSERRAT 17 CAM 03 SIN LOGRAR VISUALIZAR LO APORTADO. ASIMISMO EL DOMO DE MONSERRAT 17 NO DEJA REALIZAR LINEA DE TIEMPO 
SIENDO LAS 12:00 SE RETIRA PERSONAL POLICIAL CON EL TRASLADO DEL DETENIDO. DANDO POR FINALIZADO ESTE EVENTO. POSTERIORMENTE SE AMPLIA MEDIANTE CARTA SAE MOVIL 901D INF SE EVACU JUZ NUM 40 AC DR GONZALEZ Y SEC NUM 139 AC DR SEBATIAN QUIEN DISPUSO LABRAR ACT POR HURTO Y HABALA LA DETENCION DEL MASCULINO. ESTE EVENTO FUE MONITOREADO POR CUELLO JOAQUIN DNI 45322664.</t>
  </si>
  <si>
    <t>SE TOMA CONOCIMIENTO MEDIANTE CARTA SAE N°48304099 DENUNCIANTE REFIERE QUE HABRÍA UNA INCIDENCIA EN VÍA PÚBLICA Y NO SABRÍA SI HUBIERA VISTO ANTES UN CHOQUE. 
13:59. SE TOMA CÁMARA RECOLETA33 EMPLAZADA EN CALLAO 8021 Y CORDOBA VISUALIZANDO MASCULINO MAYOR DE EDAD TENDIDO EN LA CINTA ASFÁLTICA SIENDO ATENDIDO POR PERSONAL POLICIAL. 
13:53. 
SE REALIZA LINEA DE TIEMPO MEDIANTE CÁMARA RECOLETA33 CAM02 VISUALIZANDO VEHÍCULO DE ALQUILER TAXI CON DOMINIO AD543YE Y EL MOTOVEHÍCULO CIRCULANDO POR CALLAO DETENIENDO LA MARCHA EN LA INTERSECCIÓN CON LA AVENIDA CORDOBA EN ESE MOMENTO AMBOS RODADOS SE COLOCAN A LA PAR EL CONDUCTOR DEL VEHÍCULO ALQUIER TAXI DESCIENDE Y COMIENZA A AGREDIR CON GOLPES DE PUÑO AL MASCULINO DEL MOTOHEVÍCULO HASTA CAER AL SUELO AL MOMENTO EN QUE CAMINA HACIA ATRÁS ESTE MASCULINO SE CAE GOLPEANDOSE LA CABEZA. 
14:09. ARRIBA SAME AL LUGAR. 
14:16. SE RETIRA SAME CON TRASLADO DEL LUGAR. 
14:40. SE DA POR FINALIZADO ESTE EVENTO QUEDANDO PERSONAL POLICIAL EN CONSIGNA JUNTO DUEÑO DEL VEHÍCULO TAXI. SE AMPLÍA MEDIANTE CARTA SAE. SECTOR 2 CONSULTA CON LA UNIDAD DE FLAGRANCIA ESTE DOCTOR SANTIAGO ALMEYRA ACTUACIONES POR AVERIGUACIÓN ILÍCITO.</t>
  </si>
  <si>
    <t>SE TOMA CONOCIMIENTO MEDIANTE RADIO FRECUENCIA CHOQUE CON HERIDOS EN COLONIA Y CHUTRO. 
SIENDO LAS 14:02. SE TOMA CAMARA PARQUE PATRICIOS66 EMPLAZADA EN COLONIA 449 Y CHUTRO DONDE SE VISUALIZA UN MASCULINO SIENDO ASISTIDO POR TRANSEUNTES Y PERSONAL POLICIAL. SE DA AVISO A COMANDO MEDIANTE CARTA SAE NUMERO 48304144. 
SE REALIZA LINEA DE TIEMPO POR LA CAM02 
A LAS 13:55. EL MOTOVEHICULO CIRCULABA POR COLONIA SENTIDO ALCORTA AL CRUZAR LA CALLE CHUTRO ESTE COLISIONA CON UN CAMION QUE CIRCULABA POR DICHA ARTERIA. NO SE OBSERVA EL SEMAFORO DEBIDO A LA LEJANIA DE LA CAMARA SOLAMENTE SOBRE COLONIA SE ENCONTRABA UN VEHICULO DETENIDO EN EL MEDIO DE LA AVENIDA Y SEGUIDAMNETE EL PASO DEL MOTOVEHICULO QUE NO SE DETIENE. 
14:13. ARRIBA SAME. 
14:20. SE RETIRA SAME CON TRASLADO DANDO POR FINALILZADO EL EVENTO. SE TOMA CONOCIMIENTO MEDIANTE CARTA SAE QUE MOVIL 6040 FINALIZA SERVICIO CON RESULTADO NEGATIVO SE NOTIFICA 29 Y 30 SOLTURA EN EL LUGAR.</t>
  </si>
  <si>
    <t>SIENDO LAS 14:29 SE COMIENZA A OBSERVAR LA CÁMARA PUERTO MADERO51 DOMO EN EL LUGAR PRESENCIA DE POLICÍA DE LA CIUDAD ESTACIONADO SOBRE A M DE JUSTO UN CONDUCTOR DE UN VEHÍCULO GRIS Y ESTACIONADO SOBRE LA VEREDA DEL LUGAR DOS MASCULINOS CON UNA MOTO SE DA CONOCIMIENTO MEDIANTE LA CARTA SAE NÚMERO 48304321 CMU AMPLIA 
SE VERIFICO LINEA DE TIEMPO DE LA CÁMARA PUERTO MADERO51CAM01 VISUALIZANDO 
A LAS 14:24 HORAS EL MOMENTO QUE EL VEHÍCULO CITROEN XSARA PICASSO DE COLOR GRIS SE ENCONTRABA CICULANDO POR ALICIA M DE JUSTO Y ANTES DE LLEGAR A ROSARIO VERA PEÑALOZA COMENZO A REDUCIR GRADUALMENTE LA VELOCIDAD QUEDANDO DETENIDO DETRAS DE LA SENDA PEATONAL EN ESE MOMENTO EL VEHÍCULO ES COLISIONADO POR DETRAS POR UN MOTOVEHÓCULO QUE NO SE PERCATA 
14:33 EL CONDUCTOR DEL VEHÍCULO GRIS CORRE EL VEHÍCULO HACIA LA BANQUINA LIBERANDOSE AL TRANSITO 
14:35 ARRIBA AL LUGAR EN UNA AMBULANCIA 
14:51 SE RETIRA AMBULANCIA DEL SAME SIN TRASLADO 
15:17 UN MASCULINO SUBE A UN MÓVIL DEL PERSONAL DE ESTA FUERZA Y SE RETIRA CONTRASLADO 
15:23 SE RETIRA CONDUCTOR DEL VEHÍCULO COLOR GRIS Y UN MASCULINO EN UNA MOTO 
15:24 FINALIZA ARRIBO DEL PERSONAL DE ESTA FUERZA MÓVIL 601 ARRIBO SAME INTERNO 372 ZONA CENTRO ACTUACIONES DOCTORA SALAZAR MATRICULA NÚMERO 199943 QUIEN ASISTE A AMBOS MASCULINOS SIN TRASLADO CON DIAGNOSTICO TRAUMATISMO GENERALES PARA AMBOS DICHO MASCULINO SE ENCONTRABAN CICULANDO A BORDO DE MOTOVEHÍCULO POR AV MOREAU DE JUSTO HACIA PEÑALOZA EL SEMAFORO EN ROJO NO PRESENCIA LA LUZ ROJA IMPACTANDO CONTRA EL RODADO SE REALIZA CONSULTA CON LA UFLA ESTE AC DOCTORA SANCHEZ QUIEN DISPUSO ACTUACIONES LESIONES 94 NEGATIVO SERVICIO NOTIFICACIÓN DE 29 Y 30 AL RODADO ENTREGA DE LOS VEHÍCULOS Y NOTIFICACIÓN</t>
  </si>
  <si>
    <t>SIENDO LAS 13:48 SE TOMA CONOCIMIENTO MEDIANTE CARTA SAE N:48304030 DE UN ROBO EN RECOLETA.SE VISUALIZA EN RECOLETA O118 CAMARA EMPLAZADA EN LIBERTADOR 810 Y MONTEVIDEANO A UN MASCULINO QUE APARENTEMENTE ESTARÍA DETENIDO POR PARTICULARES EN LA VIA PUBLICA.
SE REALIZA LINEA DE TIEMPO POR RECOLETA O118 PEDIDO POR PERSONAL NO SE VISUALIZANDO IMAGEN DE RELEVANCIA DADO QUE NO SE PODÍA HACER LINEA DE TIEMPO.
16:08 SE RETIRA MÓVIL CON MASCULINO A DEPENDENCIA POLICIAL EN CALIDAD DE DETENIDO DANDO POR TERMINADO ESTE EVENTO.SE AMPLIA POR CARTA SAE QUE MASCULINO PREVENIDO NO TENIA LAS CAMARAS DE FOTO LOS 2 MASCULINOS QUE SE DIERON A LA FUGA LAS TENDRIAN EN SU PODER. MÓVIL PROCEDE A REALIZAR CONSULTA CON JUZGADO N:30 A CARGO DR GUERRETTI GUSTAVO. SECRETARIA RUIZ MARIA LAURA.CARATULA ROBO</t>
  </si>
  <si>
    <t>SE TOMA CONOCIMIENTO MEDIANTE CARTA SAE N° 483104301. PERSONAS EXTRAÑAS MERODEANDO EN CARABOBO Y AV. RIVADAVIA. SIENDO 
14:25. SE TOMA CAMARA FLORES03 EMPLAZADA EN CARABOBO 18 Y RIVADAVIA. VISUALIZANDOS MOTOVEHICULO GRIS ENDURO. EL APARENTE PROPIETARIO POSEE CASCO BLANCO COLOCADO CAMPERA NEGRA CAMISA CUADRILLE POR DEBAJO Y JEAN AZUL. DICHO MTOVEHICULO SE RETIRA POR CARABOBO SENTIDON GAVILAN PERDIENDOSE DE LA VISUAL DE LA CAMARA. 
14:27. ARRIBO PERSONAL POLICIAL AL LUGAR. 
14:40. SE DA POR FINALIZADO EL EVENTO. MEDIASNTE CARTA SAE SE AMPLIA MOTO INFORMA SE RECORRIO JUAN B. JUSTOY NOGOYA CON RESULTADO NEGATIVO.</t>
  </si>
  <si>
    <t>SE TOMA CONOCIMIENTO MEDIANTE CARTA SAE N°48304354 EN FONROUGE AL 4377 POSTE INCENDIANDOSE. 
14:35. AL TOMAR LA CÁMARA VILLA LUGANOO104 EMPLAZADA EN FONROUGE 4398 Y CHILAVERT SE VISUALIZA EL POSTE DE LUZ INCENDIANDOSE. SE DA AVISO A COMANDO. 
14:39. ARRIBA PERSONAL POLICIAL. 
14:48. ARRIBA BOMBEROS. 
15:05. SE RETIRA BOMBEROS Y PERSONAL POLICIAL DANDO POR FINALIZADO ESTE EVENTO. SE TOMA CONOCIMIENTO MEDIANTE AMPLIACIÓN DE CARTA SAE HT INFORMA ARRIBO BOMBEROS A CARGO SUBTENIENTE LP 39152 ROMERO LOS MISMOS SOFOCAN SIN NOVEDAD ALARMA INCENDIO SE PERIMETRA EL LUGAR.</t>
  </si>
  <si>
    <t>SE TOMA CONOCIMIENTO MEDIANTE CARTA SAE N°48303776. DENUNCIANTE REFIERE QUE UNA MOTO LA HABRÍA ATROPELLADO. 
13:28 SE TOMA CÁMARA BALVANERA45 EMPLAZADA EN CORRIENTES 2402 Y AZCUÉNAGA DONDE SE VISUALIZA UN MOTOVEHÍCULO Y TRANSEÚNTES EN EL LUGAR JUNTO A PERSONAL POLICIAL. 
13:32 ARRIBA SAME. 
13:46 SE RETIRA SAME SIN TRASLADO. 
14:08 SE RETIRA PERSONAL POLICIAL DANDO POR FINALIZADO EL EVENTO. SE AMPLÍA MEDIANTE SAE 107:M 1003 ARRIBO SAME INTERNO 426 A CARGO DR. MALDONADO MATRICULA NACIONAL: 118512. NO ASISTE A NADIE EN EL LUGAR SE TRATÓ DE UN CHOQUE SIMPLE INTERCAMBIAN DATOS Y SE RETIRAN</t>
  </si>
  <si>
    <t>SE TOMA CONOCIMIENTO MEDIANTE FRECUENCIA QUE SOBRE LAS CALLES JUAN DE GARAY Y SALTA HABRÍA UN FEMENINO CONVULSIONANDO ATENTO A ELLO 
SIENDO LAS 14:11 SE TOMA LA CÁMARA CONSTITUCIÓN 27 LA MISMA EMPLAZADA EN LAS CALLES JUAN DE GARAY 1187 Y SALTA EN EL LUGAR SE VISUALIZA A UN FEMENINO TENDIDA EN EL SUELO APARENTEMENTE ESTARÍA CONVULSIONANDO SE DA AVISO A COMANDO CARTA SAE 48304231. 
14:17. ARRIBA SAME. 14-.30 HS. SE RETIRA SAME CON TRASLADO DEL FEMENINO DANDO ASÍ POR FINALIZADO EL EVENTO. POSTERIORMENTE SE TOMA CONOCIMIENTO MEDIANTE CARTA SAE QUE HT INFORMA QUE SAME INT 396 CENTRO A CARGO DR. ISBELA MN 198998 ASISTE Y DERIVA AL HOSPITAL RAMOS MEJÍA DIAGNOSTICO MIGRAÑA.</t>
  </si>
  <si>
    <t>SE TOMA CONOCIMIENTO MEDIANTE CARTA SAE N° 48304683. MASCULINO REFIERE QUE FEMENINO ESTARIA EN LA PLAZA ESPERANDO A SU AMIGA Y HABRIA UN MASCULINO MOLESNTANDOLA EN BUTTELER AL 80. SIENDO 
15:12. SE TOMA CAMARA PARQUE CHACABUCOO128 EMPLAZADA EN BUTTELER 822. VISUALIZANDOSE PERSONAL POLICIAL ENTREVISTANDO A FEMENINO. MEDIANTE LINEA DE TIEMPO POR DOMO SIENDO 
14:57. SE VISUALIZA EL PASO DEL MOTOVEHICULO Y DAR VARIAS VUELTAS CERCA DEL FEMENINO EL CUAL PARECE QUE SE INCOMODO Y SE ACERCO A UNA SEÑORA QUE ESTABA CON DOS MENORES. 
15:50. SE RETIRO FEMENINO CON MASCULINO APARENTEMENTE FAMILIAR EN MOTOVEHICULO. 
15:50. SE RETIRO PERSONAL POLICIAL DANDO POR FINALIZADO EL EVENTO. MEDIANTE CARTA SAE SE AMPLIA MOTO INFORMA SE ENTREVISTA A LA MENOR LA MISMA REFIERE QUE FUE A ENCONTRARSE CON UNA AMIGA DOMICILIADA EN BUTTELER N° 82 Y QUE IBAN A ENCONTRARSE EN LA PLAZA CUANDO VE A EL MASCULINO APRTADO COMO OBSERVANDOLA Y SIGUIENDOLA. HT INFORMA ARRIBO EL PADRE SE RETIRAN DEL LUGAR.
SILVIA GABRIELA FRÍAS - 02/06/2026 
17:10
AUXILIO DE PERSONA</t>
  </si>
  <si>
    <t>SIENDO LAS 15:03 SE TOMA LA CAMARA CHACARITA42EMPLAZADA EN TRIUNVIRATO 2451 Y T G ARCIA VISUALIZANDO A UN GRUPO DE MASCULINOS UN MASCULINO CON GORRA CELESTE Y ROJA CAMPERA NEGRA PANTALON NEGRO CALZADO NEGRO SUELA BLANCA RECOGE UNA UNA PIEDRA Y AMENAZA A OTRO MASCULINO CON GOLPERLO CON LA MISMA.SE DA AVISO A COMANDO MEDIANTE CARTA SAE N°48304664.
15:05 EL MASCULINO ACOMPAÑADO DE OTRO SE DESPLAZAN POR TRIUNVIRATO SENTIDO LACROZE.
15:06 SE TOMA LA CAMARA CHACARITA37 EMPLAZADA EN LACROZE 4185 Y GUZMAN SE LOS VISUALIZA DESPLAZARSE POR LACROZE SENTIDO FOREST PERDIENDOSE DE LA VISUAL DE LA CAMARA.
15:08 NO SE VISUALIZA ARRIBO DE PERSONAL POLICIAL DANDO POR FINALIZADO ESTE EVENTO.SE TOMA CONOCIMIENTO MEDIANTE CARTA SAE INFORMA 915 ARRIBADO AL LUGAR INDICA NEGATIVO LO APORTADO COMO DENUNCIANTE EL APNORAMA ES NORMAL.</t>
  </si>
  <si>
    <t>SE TOMA CONOCIMIENTO MEDIANTE CARTA SAE N°48304809 DONDE DENUNCIANTE REFIERE QUE PERSONAL POLICIAL TENDRÍA DEMORADO A UN MASCULINO. 
15:17 SE TOMA CÁMARA BALVANERA66 EMPLAZADA EN ALSINA 2198 Y PASCO VISUALIZANDO A PERSONAL POLICIAL CON UN MASCULINO REDUCIDO. CMU AMPLIA 
SE REALIZA LÍNEA DE TIEMPO POR CÁMARA BALVANERA66CAM03 
SIENDO LAS 15:10 SE OBSERVA AL MASCULINO EN APARENTE DISCUSIÓN CON UN FEMENINO EN EL INTERIOR DEL PARQUE 
15:13 AL ARRIBO DE PERSONAL POLICIAL ESTE MASCULINO COMIENZA A MOSTRARSE HOSTIL CON PERSONAL POLICIAL Y ES REDUCIDO POR EL MISMO. - 
15:49 LE DAN SOLTURA Y SE RETIRA EL MASCULINO POR SUS PROPIOS MEDIOS. 
15:51 SE RETIRA PERSONAL POLICIAL DANDO ASÍ POR FINALIZADO ESTE EVENTO. SE AMPLÍA MEDIANTE CARTA SAE QUE MÓVIL 1011 TOMA CONTACTO CON LA UNIDAD DE FLAGRANCIA ESTE A CARGO DEL DR. RICARDO NOTIFICACIÓN 29/30 POR RESISTENCIA Y SOLTURA EN EL LUGAR. ESTE EVENTO FUE MONITOREADO POR ROMERO KARINA. DNI 39416059.</t>
  </si>
  <si>
    <t>SE TOMA CONOCIMIENTO MEDIANTE CARTA SAE N° 48304279 SE COMUNICA UNA FEMENINO INDICANDO QUE HABRÍA OCURRIDO UN ACCIDENTE DONDE UN CHICO SE HABRÍA CAÍDO DE LA BICICLETA. EN UN POZO. SOLICITA MÓVIL QUE LO ASISTA YA QUE SE ENCUENTRA LASTIMADO. 
SIENDO LAS 14:55HRS SE TOMA CÁMARA FLORES24 EMPLAZADA EN PERITO MORENO 2001 Y BONORINO DONDE SE VISUALIZA A PERSONAL POLICIAL JUNTO A UNA FEMENINA CAÍDA EN LA VÍA PÚBLICA. 
SE REALIZA LÍNEA DE TIEMPO MEDIANTE CÁMARA FLORES24CAM02 EMPLAZADA EN PERITO MORENO 2001 Y BONORINO DONDE 
A LAS 14:18HRS SE VERÍA COMO LA FEMENINO SE CAE DE SU PROPIA ALTURA. 
15:06HRS ARRIBA AMBULANCIA PRIVADA. 
15:35HRS ARRIBA SAME. 
15:39HRS SE RETIRA AMBULANCIA PRIVADA SIN TRASLADO. 
15:47HRS SE RETIRA PERSONAL POLICIAL Y SAME CON TRASLADO DANDO POR FINALIZADO ESTE EVENTO. POSTERIORMENTE SE AMPLÍA MEDIANTE CARTA SAE DIR 20 INFORMA ARRIBO SAME INTERNA 360 DE BASE COBO A CARGO DE DOCTOR MN 198967 QUIEN ASISTE Y DERIVA CON DIAGNOSTICO TRAUMA DE PELVIS AL HOSPITAL PIÑERO LA CUAL REFIERE FUE MOTIVO DE DESCUIDO POR LO QUE SE DEJA CONSTANCIA EN PARTE</t>
  </si>
  <si>
    <t>SE TOMA COCIMIENTO MEDIANTE CARTA SAE N°48304476 DENUNCIANTE REFIERE APARENTE FEMENINO EL CUAL HABRÍA CAÍDO SOBRE LAS VÍAS DEL SUBTE. 
SE REALIZA LÍNEA DE TIEMPO MEDIANTE CÁMARA LINEAE RETIROCAM57 
SIENDO LAS 14:42. SE VISUALIZA A FEMENINO CAMINANDO POR EL ANDÉN NO VISUALIZANDO EL FINAL DEL MISMO CAYENDO DE ESTE. 
15:32. SE AMPLÍA MEDIANTE CARTA SAE HT INFORMA SE HACE PRESENTE SAME INTERNO 422 A CARGO DE LA DRA. MN 161130 VELÁZQUEZ LA CUAL ASISTE Y TRASLADA CON DIAGNOSTICO POLITRAUMATISMO AL HOSPITAL RIVADAVIA A LA SRA. DNI 10703415 GONZÁLEZ NICOLASA. LA MISMA ES ACOMPAÑADA POR LA OFICIAL NUMERARIA DE ESTA DIVISIÓN LP 28427 VIERA ELIANA.</t>
  </si>
  <si>
    <t>SE TOMA CONOCIMIENTO MEDIANTE CARTA SAE N° 48304206 CHOFER DEL COLECTIVO LÍNEA 80 REFIERE QUE HABRÍA COLISIONADO CON VEHÍCULO PARTICULAR Y NO HABRÍA HERIDOS. 
SE REALIZA LÍNEA DE TIEMPO POR CÁMARA AGRONOMIA17 CAM01 
SIENDO LAS 13:58 SE VISUALIZA COLECTIVO CIRCULAR POR BEIRO CARRIL DERECHO SENTIDO NAZCA CUANDO ES COLISIONADO POR AUTOMÓVIL GRIS QUE CIRCULA POR CARRIL DEL MEDIO HACIENDO QUE ESTE PIERDA PARACHOQUE EN LA INTERSECCIÓN. SE DEJA CONSTANCIA QUE NO SE VISUALIZA LUCES DE GIRO. 
SIENDO LAS 14:16 SE TOMA LA CÁMARA AGRONOMIA17 EMPLAZADA EN BEIRO 2909 Y NAZCA VISUALIZANDO UN COLECTIVO Y UN VEHÍCULO DETENIDOS SOBRE LA CINTA ASFÁLTICA. 
14:20 ARRIBA PERSONAL POLICIAL. 
14:29 SE RETIRAN TODAS LAS PARTES DANDO POR FINALIZADO EL EVENTO. SE AMPLIA MEDIANTE CARTA SAE HT INFORMA ARRIBADO AL LUGAR ES AFIRMATIVO EL CHOQUE SIN LESIONADOS SE INTERCAMBIAN DATOS FILIATORIOS CORRESPONDIENTES Y SE RETIRAN A LA BREVEDAD. ESTE EVENTO FUE MONITOREADO POR ERIK FERREIRA DNI 46201746</t>
  </si>
  <si>
    <t>SE TOMA CONOCIMIENTO MEDIANTE HT FEMENINO ATROPELLADA. SE DA AVISO A COMANDO GENERANDO CARTA SAE N°48304990. 
SIENDO LAS 15:33. SE TOMA CÁMARA CABALLITO68 EMPLAZADA EN J M MORENO 698 Y BONIFACIO SE VISUALIZA PERSONAL POLICIAL EN LUGAR. 
15:44. ARRIBA SAME. 
15:51. SE RETIRA SAME CON TRASLADO. 
16:37. SE RETIRA PERSONAL POLICIAL DANDO POR FINALIZADO EL EVENTO. SE AMPLÍA MEDIANTE CARTA SAE 1006B INDICA FEMENINO COLISIONADA POR AUTO ASÍ MISMO ARRIBO SAME INTERNO 370 DEL PENA A CARGO DRA. CASTRO MATRICULA N°16101 ASISTE Y TRASLADA AL HOSPITAL PENA DIAGNOSTICO POLITRAUMATISMO. SE REALIZÓ CONSULTA CON UNIDAD DE FLAGRANCIA OESTE A CARGO DR. GOLBANO LESIONES 94 SE SOLICITA VIALES EN EL LUGAR QUEDA OFICIAL VERGARA CINTIA LP 36736 POC 1153842276.</t>
  </si>
  <si>
    <t>SIENDO LAS 15:40. SE VISUALIZA MEDIANTE CÁMARA CONSTITUCION27 EMPLAZADA EN JUAN DE GARAY 1186 Y SALTA A MASCULINO MANIPULANDO MOTOVEHÍCULO YAMAHA 125 SIN DOMINIO. SE DA AVISO A COMANDO GENERANDO CARTA SAE N°48305098. 
15:43. ARRIBA PERSONAL POLICIAL DANDO CON EL MASCULINO. 
15:48. SE RETIRA PERSONAL POLICIAL DANDO POR FINALIZADO ESTE EVENTO. SE AMPLÍA MEDIANTE CARTA SAE MÓVIL 201 SE TRATA DEL PROPIETARIO DE MOTOVEHÍCULO ESTÁ ARREGLANDO. NEGATIVO ILÍCITO.</t>
  </si>
  <si>
    <t>SIENDO LAS 15:27. SE VISUALIZA POR CÁMARA CONSTITUCION19 EMPLAZADA EN PAVÓN 1601 Y VIRREY CEVALLOS PERSONAL POLICIAL IDENTIFICANDO A VARIOS MASCULINOS. SE DA AVISO A COMANDO CREANDO CARTA SAE N°48304967 Y SE BRINDA APOYO ÓPTICO. 
15:40. LOS MASCULINOS SE RETIRAN POR SUS PROPIOS MEDIOS. SE TOMA CONOCIMIENTO POR CARTA SAE MT INFORMA EN EL LUGAR QUE SE IDENTIFICÓ A UN MASCULINO EL MISMO SE PONE HOSTIL CON EL PERSONAL POLICIAL. SE REALIZÓ CONSULTA CON LA UNIDAD DE FLAGRANCIA ESTE A CARGO DEL DR. RICARDO BECU ARTICULO 239 NOTIFICADO EN EL LUGAR 29 Y 30.</t>
  </si>
  <si>
    <t>SE TOMA CONOCIMIENTO MEDIANTE CARTA SAE N°48305275 HT SOLICITA SAME POR UN FEMENINO CAÍDA Y LESIONADA.
16:00.SE POSEE CAMARA VILLA LUGANOO128 EMPLAZADA EN AQUINO 6495 Y G HUDSON VISUALIZANDO EN EL LUGAR A PERSONAL POLICIAL CON FEMENINO APARENTEMENTE LESIONADA.
16:13.ARRIBO SAME.
16:17.SE RETIRA PERSONAL POLICIAL DEL LUGAR.
16:20.SE RETIRA SAME SIN PODER VISUALIZAR SI SE FUE CON TRASLADO. POSTERIORMENTE SE TOMA CONOCIMIENTO MEDIANTE AMPLIACIÓN CARTA SAE HT INFORMA QUE ARRIBO SAME INTERNO 414 MN 154942 QUIEN ASISTE Y DERIVA CON DIAGNOSTICO CONTROL CLÍNICO.</t>
  </si>
  <si>
    <t>SE TOMA CONOCIMIENTO MEDIANTE FRECUENCIA PERSONAL POLICIAL SOLICITA APOYO POR UN MASCULINO AGRESIVO. 
16:03. SE VISUALIZA POR MACARA MATADROSO178 CAM02 EMPLAZADA EN EVA PERON 7499 Y GRAL PAZ A PERSONAL POLICIAL CON UN MASCULINO. SE DA AVISO A COMANDO MEDIANTE CARTA SAE Nº48305377. 
A LAS 17:16. SE RETIRA EL MASCULINO DEL DESTACAMENTO POR SUS PROPIOS MEDIOS. DANDO POR FINALIZADO EL EVENTO QUEDANDO PERSONAL POLICIAL EN EL LUGAR. 
17:22. SE DA POR FINALIZADO EL EVENTO. POSTERIORMENTE SE AMPLIA POR CARTA SAE QUE HT INFORMA QUE SE REALIZA CONSULTA CON LA UNIDAD FLAGRANCIA SUR A CARGO DR. PATTY EL CUAL NO ADOPTA TEMPERAMENTO CONTRA EL MASCULINO SOLO INFRACCIÓN MUNICIPAL Y SOLTURA.</t>
  </si>
  <si>
    <t>SIENDO LAS 15:19 MEDIANTE CÁMARA CONSTITUCION32 EMPLAZADA EN SALTA 1520 Y PAVÓN SE VISUALIZA A PERSONAL POLICIAL IDENTIFICANDO A UN GRUPO DE MASCULINOS Y FEMENINOS EN EL LUGAR. SE DA AVISO A COMANDO GENERANDO CARTA SAE N° 48304889. 
15:31 SE RETIRAN POR SUS PROPIOS MEDIOS EL GRUPO DE MASCULINOS Y FEMENINOS DEL LUGAR. 
15:34 SE RETIRA PERSONAL POLICIAL DANDO POR FINALIZADO ESTE EVENTO. POSTERIORMENTE SE AMPLIA QUE GRUPO HT SE PROCEDE A IDENTIFICAR A LAS PERSONAS SIN NOVEDAD. SIN IMPEDIMENTO. NEGATIVO ELEMENTO CONSTITUTIVO DE DELITO. ESTABA CERCA DE UNA PERSIANA. NEGATIVO ILÍCITO. NEGATIVO LO APORTADO.</t>
  </si>
  <si>
    <t>SIENDO LAS HORAS 
14:58 SE TOMÓ CONOCIMIENTO MEDIANTE FRECUENCIA HT UN APARENTE INTENTO DE ROBO EN BACACAY AL 3500 DONDE LO TIENEN DEMORADO AL PRESUNTO MASCULINO. SE TOMÓ LA CÁMARA FLORESTA43 EMPLAZADA EN BACACAY 3502 Y EMILIO LAMARCA VISUALIZANDO A PERSONAL POLICIAL CON MASCULINO APARENTEMENTE INVOLUCRADO EN UN HURTO. SE DA AVISO A COMANDO Y SE GENERA CARTA SAE N° 48304551 DENUNCIANTE MASCULINO REFIERE QUE SERÍA PERSONAL POLICIAL DE LA POLICÍA FEDERAL REFIERE QUE TENDRÍA A UN MASCULINO DEMORADO POR HURTO. 
15:10 HORAS SE RETIRA MASCULINO POR SUS PROPIOS MEDIOS Y PERSONAL POLICIAL DEL LUGAR DANDO POR FINALIZADO ESTE EVENTO. POSTERIORMENTE SE AMPLÍA MEDIANTE CARTA SAE 906B IDENTIFICO A DOS MASCULINOS EN ACTITUD DE MERODEO. CORRESPONDEN Y NO POSEEN NEGATIVO ELEMENTOS CONSTITUTIVOS DE DELITO.</t>
  </si>
  <si>
    <t>SE TOMA CONOCIMIENTO MEDIANTE CARTA SAE N°48305472 DENUNCIANTE REFIERE QUE SE ESTARÍA INCENDIANDO UN AUTO. HAY OTROS VEHÍCULOS CERCA. 
16:21. SE TOMA CÁMARA PARQUE CHAS30 EMPLAZADA EN GÁNDARA 2297 Y GINEBRA VISUALIZANDO A VEHÍCULO JUNTO A PERSONAL POLICIAL. 
16:27. ARRIBA PERSONAL DE BOMBEROS. 
16:48 SE RETIRA PERSONAL POLICIAL Y BOMBEROS DANDO POR FINALIZADO ESTE EVENTO. POSTERIORMENTE SE AMPLIA 615 INDICA EL FOCO ÍGNEO FUE SOFOCADO MOMENTOS ANTES POR PROPIETARIA DEL VEHÍCULO SIN NOVEDAD. ESTE EVENTO FUE MONITOREADO POR GAUNA SEBASTIÁN DNI 44052040.</t>
  </si>
  <si>
    <t>SE TOMA CONOCIMIENTO MEDIANTE CARTA SAE 48305489 A SOLICITUD DE LA SUPERIORIDAD PARA RETIRAR PERSONA EN SITUACIÓN DE CALLE CON PERTENENCIAS SE ENCUENTRAN EN EL INGRESO DE ESTACIÓN CONSTITUCIÓN ATENTO A ELLO 
SIENDO LAS 16:20. SE TOMA LA CÁMARA CONSTITUCIÓN 35 LA MISMA EMPLAZADA EN LAS CALLES BRASIL 1135 Y LIMA EN EL LUGAR SE VISUALIZA A PERSONAL POLICIAL IDENTIFICANDO A VARIAS PERSONAS EN EL LUGAR SE BRINDA APOYO ÓPTICO. POSTERIORMENTE SE TOMA CONOCIMIENTO MEDIANTE CARTA SAE QUE MÓVIL 301 INFORMA QUE SE IDENTIFICA LAS PERSONAS SIN NOVEDAD NO REQUIEREN BAP SE PROCEDE A REQUISAR LA MISMA SIN NOVEDAD NEGATIVO ELEMENTO CONSTITUTIVO DE DELITO CONSTANCIA EN PARTE.</t>
  </si>
  <si>
    <t>SIENDO LAS 16:26. SE VISUALIZA MEDIANTE LA CÁMARA VILLA LUGANOO187 EMPLAZADA EN UNANUE 6889 Y SALADILLO A PERSONAL POLICIAL IDENTIFICANDO A UN MASCULINO Y A UN FEMENINO CON UN COMPRESOR DE AIRE EN EL LUGAR. SE DA AVISO A COMANDO MEDIANTE CARTA SAE N°48305814. 
SE VERIFICO LINEA DE TIEMPO EN LA CÁMARA VILLA RIACHUELO 38 CAM01 
15:47. SE VISUALIZA A MASCULINO Y FEMENINO ARRASTRANDO UN COMPRESOR COLOR NARANJA POR CHILAVERT DOBLANDO EN PIEDRA BUENA SENTIDO A BARROS PAZOS. POSTERIORMENTE PERSONAL POLICIAL DAR CON LOS MISMOS EN UNANUE Y SALADILLO. 
17:11. SE RETIRA EL MASCULINO Y EL FEMENINO CON EL COMPRESOR. 
17:12. SE DA POR FINALIZADO EL EVENTO CON EL PERSONAL POLICIAL EN EL LUGAR. POSTERIORMENTE SE AMPLIA POR CARTA SAE QUE MÓVIL 608 INFORMA QUE SE REALIZA CONSULTA CON EL JUZGADO N° 21 A CARGO DEL DR. FERNÁNDEZ SECRETARIA ÚNICA N° 165 A CARGO DEL DR. RINALDI EL CUAL SOLICITO LA IDENTIFICACIÓN Y SOLTURA ASIMISMO SE LOS IDENTIFICO CORRESPONDE Y NO POSEE IMPEDIMENTOS.</t>
  </si>
  <si>
    <t>SE TOMA CONOCIMIENTO MEDIANTE CARTA SAE 48303866 QUE LLAMANTE MASCULINO INDICA QUE HABRÍA DOS PERSONAS EN SITUACIÓN DE CALLE EN LA SECCIÓN DE JUEGOS DE LA PLAZA INDICA QUE ESTARÍAN COMIENDO DENTRO DE LOS JUEGOS INFANTILES SOLICITA QUE LOS RETIREN SOBRE LAS CALLES AV. SAN JUAN Y ENTE RÍOS ATENTO A ELLO 
SIENDO LAS 13:30. SE TOMA LA CÁMARA CONSTITUCIÓN 54 LA MISMA EMPLAZADA EN LAS CALLES ENTRE RÍOS 1198 Y SAN JUAN EN EL LUGAR SE VISUALIZA A PERSONAL JUNTO A UN MASCULINO APARENTEMENTE PREVENIDO SE BRINDA APOYO ÓPTICO. 
14:00. SE RETIRA MASCULINO POR SUS PROPIOS MEDIOS SIN IMPEDIMENTOS DANDO ASÍ POR FINALIZADO EL EVENTO. POSTERIORMENTE SE TOMA CONOCIMIENTO MEDIANTE CARTA SAE QUE M 501 INFORMA EL MASCULINO POR SISTEMA CORRESPONDE Y NO POSEE NEGATIVO ELEMENTO CONSTITUTIVO DE DELITO A LA HORA DE IDENTIFICARLO EMPRENDE FUGA POR NO ACATAR ORDEN DE DETENCIÓN SE REALIZO CONSULTA CON LA UNIDAD DE FLAGRANCIA ESTE A CARGO DRA. JUÁREZ DISPONE NOTIFICACIÓN 29 Y 30 POR ARTICULO</t>
  </si>
  <si>
    <t>SE TOMA CONOCIMIENTO MEDIANTE CARTA SAE N° 48305527 REFIERE QUE HABRÍAN COLISIONADO UN VEHÍCULO Y MOTOVEHICULO. 
SIENDO LAS 16:30 MEDIANTE CÁMARA NUEVAPOMPEYAO103 EMPLAZADA EN BONAVENA 1097 Y TRAFUL SE VISUALIZA A FEMENINA TENDIDA SOBRE LA CINTA ASFÁLTICA JUNTO A UN MASCULINO Y CAMIONETA BLANCA. 
SE REALIZA LÍNEA DE TIEMPO MEDIANTE CÁMARA NUEVA POMPEYAO103 CAM03 SIENDO 
16:24 SE VISUALIZA A UNA CAMIONETA COLOR BLANCA APARENTEMENTE AMAROK. LA MISMA CIRCULANDO POR AV. ALCORTA AL LLEGAR A LA INTERSECCIÓN DE BONAVENA REALIZA UNA MALA MANIOBRA AL INTENTAR DOBLAR COLISIONANDO CON UN MOTOVEHICULO QUE CIRCULABA POR AV. ALCORTA ASÍ MISMO DICHA CAMIONETA CIRCULABA POR LADO IZQUIERDO DE LA MOTOVEHICULO. 
16:31 ARRIBA PERSONAL POLICIAL AL LUGAR. 
16:32 ARRIBA SAME. 
16:38 SE RETIRA SAME CON TRASLADO. 
17:21 SE DA POR FINALIZADO ESTE EVENTO QUEDANDO PERSONAL POLICIAL DE CONSIGNA. POSTERIORMENTE SE AMPLIA QUE ARRIBO SAME INTERNO 358 DE BASE MONASTERIO DRA DOMINIK MN 186355 ASISTE Y DERIVA DIAGNOSTICO POLI CONTUSO SIN RIESGO DE VIDA HACIA EL HOSPITAL PENNA. MOTO INFORMA AMBOS RODADOS CORRESPONDEN Y NO POSEE. SE REALIZA CONSULTA ANTE LA UNIDAD DE FLAGRANCIA SUR DRA PONCE DISPUSO LABRAR ACTUACIONES POR LESIONES 94. DISPUSO ARRIBO DE ALCOTEST PARA AMBOS CONDUCTORES Y VIALES. CONSIGNA EN ALCORTA Y BONAVENA OFICIAL LP 59692 SÁNCHEZ PABLO POC 1169338226 CONSIGNA DEL PENNA OFICIAL LP 56372 JUÁREZ DANTE 1123997006</t>
  </si>
  <si>
    <t>SIENDO LAS 17:33 SE TOMA LA CAMARA CHACARITA37 EMPLAZADA EN LACROZE 4185 Y GUZMAN VISUALIZANDO A UN MASCULINO EN SITUACION DE CALLE DURMIENDO SOBRE UN COLCHON.SE DA AVISO A COMANDO MEDIANTE CARTA SAE N°48306298.
17:42 ARRIBO PERSONAL POLICIAL ENTREVISTA Y SE RETIRA QUEDA MASCULINO EN EL LUGAR DANDO POR FINALIZADO ESTE EVENTO.SE TOMA CONOCIMIENTO MEDIANTE CARTA SAE INFORMA LA FFECUENCIA SE ENCUENTRA EN PRIORIDAD SE DEMORAN DESPLAZAMIENTOS.SIN NOVEDAD.</t>
  </si>
  <si>
    <t>SE TOMA CONOCIMIENTO MEDIANTE CARTA SAE N° 48306350 QUE DENUNCIANTE REFIERE QUE HABRÍA UN AUTOMÓVIL CHEVROLET COBALT COLOR AZUL DOMINIO BORRADO QUE ESTARÍA CRUZANDO SOBRE LA VÍA PÚBLICA. SIENDO 
17:44 SE TOMA LA CÁMARA CHACARITA56 EMPLAZADA EN FRAGA 702 Y LACROZE Y SE VISUALIZA A PERSONAL POLICIAL EN EL LUGAR ENTREVISTANDO A MASCULINO DE CAMPERA GRIS PANTALÓN GRIS Y ZAPATILLAS BLANCAS. EN EL LUGAR TAMBIÉN SE VISUALIZA UN VEHÍCULO CHEVROLET DE COLOR AZUL OSCURO. 
17:53 PERSONAL POLICIAL SE RETIRA DEL LUGAR DANDO COMO FINALIZADO EL EVENTO. POSTERIORMENTE SE AMPLÍA MEDIANTE CARTA SAE 815A EN EL LUGAR SE IDENTIFICA SIN NOVEDAD. EL DOMINIO SE ENCUENTRA LEGIBLE.</t>
  </si>
  <si>
    <t>SE TOMA CONOCIMIENTO MEDIANTE CARTA SAE N°48306330 EN AVENIDA GRAL PAZ Y AVENIDA EVA PERON CHOQUE CON HERIDOS. 
17:50. AL TOMAR LA CÁMARA VILLA LUGANOO159 EMPLAZADA EN DE LA ROSA 7485 Y GRAL PAZ SE VISUALIZA A CONDUCTOR DE MOTOVEHICULO SOBRE LA CINTA ASFALTICA SIENDO ASISITIDO POR PERSONAL POLICIAL. SE BRINDA APOYO ÓPTICO. AL MOMENTO EL SISTEMA ULTRA IP NO PERMITE REALIZAR LINEA DE TIEMPO. 
18:00. ARRIBA AMBULANCIA DE SAME. 
18:04. SE RETIRA AMBULANCIA SAME CON TRASLADO. 
18:30. SE DA POR FINALIZADO ESTE EVENTO QUEDA PESONAL POLICIAL DE CONSIGNA EN EL LUGAR. SE TOMA CONOCIMIENTO MEDIANTE AMPLIACIÓN DE CARTA SAE ARRIBO SAME INTERNO 419 BASE EMILIO CASTRO A CARGO DOCTOR YALOSQUE MATRICULA NACIONAL 169554 QUIEN ASISTE Y DERIVA HACIA HOSPITAL SANTOJANNI A MASCULINO CON DIAGNOSTICO POLITRAUMATISMO. POR DICHOS DE TERCEROS EL MASCULINO CAE A RAIZ DE MALA MANIOBRA SE ESTA EFECTUANDO CONSULTA. SE REALIZÓ CONSULTA CON UNIDAD DE FLAGRANCIA SUR CON DOCTORA POZE ACTUACIONES 94 SOLICITA VIALES ALCOTEST PARA AMBOS CONSUCTORES. HT DE CONSIGNA EN QTH OFICAL PRIMERO LP 15132 GOMEZ RODRIGO.</t>
  </si>
  <si>
    <t>SE TOMA CONOCIMIENTO MEDIANTE CARTA SAE N° 48306476 HT 903 SE TRATO DE UNA INCIDENCIA PERSONAL POLICIAL ILESO. 
SIENDO LAS 17:53 SE TOMA CAMARA PARQUE CHACABUCOO142 EMPLAZADA EN AGUSTIN DE VEDIA 2274 Y RIESTRA AL MOMENTO NO SE VISUALIZA IMAGEN DE DE RELEVANCIA. 
17:56 SE TOMA CAMARA NUEVA POMPEYA41 EMPLAZADA EN ANA MARIA JANER 1889 Y AGUSTIN DE VEDIA SE VISUALIZA A PERSONAL PÓLICIAL EN EL LUGAR. 
18:10 SE PIERDE LA VISUAL DEL PERSONAL POLICIAL DANDO ASI POR FINALIZADO ESTE EVENTO. POSTERIORMENTE SE AMPLIA MEDIENTE CARTA SAE MOVIL INFOMA SE TRATO DE UNA INCIDENCIA VERBAL PERSONAL POLICIAL ILESO MASCULINO NO POSEE IMPEDIMENTOS CONSTANCIA EN PARTE.</t>
  </si>
  <si>
    <t>SIENDO LAS 18:11 SE TOMA CONOCIMIENTO MEDIANTE CARTA SAE N:48306519 DE UNA AMENAZA DE TIROTEO EN EL BAÑO DE UN COLEGIO EN POMPEYA. SE VISUALIZA EN POMPEYA 94 CAMARA EMPLAZADA EN ESQUIU 955 Y FOURNIER A MÓVIL EN EL LUGAR EN LA PUERTA DEL COLEGIO.
18:28 SE RETIRA MÓVIL DANDO POR TERMINADO ESTE EVENTO.SE AMPLIA POR CARTA SAE QUE 304 INFORMA SE ENTREVISTO A LA SRA DIRECTORA DEL INSTITUTO NUEVA POMEPEYA. REFIERE QUE EN EL DIA DE FECHA APROXIMADAMENTE 
16:40 TOMA CONOCIMIENTO POR PARTE DE UNA PROFESORA DE LA INSTITUCIÓN QUE EN EL BAÑO FEMENINO DEL 1 PISO SE ENCUENTRA LA PALABRA TIROTEO SOLO ESA PALABRA. SE REALIZA CONSULTA CON LA FISCALIA UNIDAD DE FRAGANCIA SUR A CARGO DR JONATHAN PTTI.SE LABRAN ACTUACIONES POR AMENAZAS. NEGATIVO SERVICIO EL MAGISTRADO ORDENA IMPLANTACIÓN DE CONSIGNA POLICIAL DE MANERA PREVENTIVA MAÑANA EN HORARIO ESCOLAR.</t>
  </si>
  <si>
    <t>SE TOMA CONOCIMIENTO MEDIANTE CARTA SAE N 48306805 HT REQUIERE MÓVIL POR INCIDENCIA. 
SIENDO LAS 18:26 SE TOMA CÁMARA VILLA DEVOTO92 EMPLAZADA EN CUENCA 3591 Y NAVARRO VISUALIZANDO A PERSONAL POLICIAL EN EL LUGAR. 
18:50 SE RETIRA PERSONAL POLICIAL EN EL LUGAR DANDO ASÍ POR FINALIZADO ESTE EVENTO. POSTERIORMENTE SE AMPLÍA MEDIANTE CARTA SAE MÓVIL 911 SE TRATÓ DE UNA INCIDENCIA DE TRÁNSITO ENTRE DOS MASCULINOS SOLUCIONADA EN EL LUGAR.</t>
  </si>
  <si>
    <t>SIENDO LAS 18:28. SE VISUALIZA MEDIANTE CÁMARA SAN NICOLAS60 EMPLAZADA EN L. N. ALEM 399 Y CORRIENTES A PERSONA EN SITUACIÓN DE VULNERABILIDAD OBSTRUYENDO EL METRO BUS. SE DA AVISO A COMANDO GENERANDO CARTA SAE N°48306849. 
18:42. ARRIBA PERSONAL POLICIAL AL LUGAR. 
18:47. SE RETIRA MASCULINO POR SUS MEDIOS Y PERSONAL POLICIAL DANDO POR FINALIZADO ESTE EVENTO. SE AMPLIA MEDIANTE CARTA SAE EL PERSONAL DESDE EL LUGAR NO IDENTIFICO AL MASCULINO EL MISMO SE RETIRA NO APORTA DATOS NO REQUIERE SERVICIO.</t>
  </si>
  <si>
    <t>SIENDO LAS 18:29. SE TOMA LA CÁMARA CONSTITUCIÓN23 LA MISMA EMPLAZADA EN LAS CALLES SAN JOSÉ 1498 Y PAVÓN EN EL LUGAR SE VISUALIZA A UN MASCULINO REALIZANDO PASAMANO DE LO QUE APARENTEMENTE SERIAN ESTUPEFACIENTES EL MISMO VISTE CAMPERA NEGRA GORRO BORDO PANTALÓN NEGRO SE DA AVISO A COMANDO Y SE GENERA CARTA SAE 48306885. 
18:36. MASCULINO SE DESPLAZA HACIA EL INTERIOR DE LA TERMINAL DE COLECTIVOS DONDE A POSTERIOR SE LO PIERDE DE LA VISUAL DE LAS CÁMARAS. POSTERIORMENTE SE TOMA CONOCIMIENTO MEDIANTE CARTA SAE QUE GHT INFORMA QUE EL PANORAMA NORMAL NO SE CONSTATA LO DENUNCIADO Y NO SE ENTREVISTA A NADIE.</t>
  </si>
  <si>
    <t>SIENDO LAS 18:30. SE VISUALIZA POR CÁMARA COLEGIALES15 EMPLAZADA EN ELCANO 3001 Y ZAPIOLA A UN FEMENINO EN SITUACIÓN DE VULNERABILIDAD LA MISMA SE ENCUENTRA EN LA ENTRADA DE COTO. SE DA AVISO A COMANDO MEDIANTE CARTA SAE N° 48306860. 
18:51. ARRIBA PERSONAL POLICIAL DANDO CON EL FEMENINO. 
18:53. SE RETIRA EL FEMENINO POR SUS PROPIOS MEDIOS. 
18:54. SE RETIRA EL PERSONAL POLICIAL DANDO POR FINALIZADO ESTE EVENTO. POSTERIORMENTE SE AMPLÍA POR CARTA SAE 108: HT ID 3105 SE RETIRA FEMENINO LA MISMA CORRESPONDE Y NO POSEE NO REQUIERE ASISTENCIA DE 108. TIPIFICACIÓN PERSONA EN SITUACIÓN DE VULNERABILIDAD.</t>
  </si>
  <si>
    <t>SE TOMA CONOCIMIENTO MEDIANTE CARTA SAE N° 48306370 REFIERE QUE HABRIA UN GRUPO DE PERSONAS PROMOVIENDO DISTURBIOS EN VIA PUBLICA. 
SIENDO LAS 18:33. SE TOMA LA CAMARA CONSTITUCION65 EMPLAZADA EN HUMBERTO 1° 1414 Y SAN JOSE VISUALIZANDO GRAN AGLOMERACION DE PERSONAS. 
19:20. SE AMPLIA MEDIANTE CARTA SAE NOVEDADES SE TRASMITEN MEDIANTE METRO 1.</t>
  </si>
  <si>
    <t>SE TOMA CONOCIMIENTO MEDIANTE CARTA SAE N°48306907 DENUNCIANTE REFIERE QUE HABRÍA MASCULINOS ARRONJÁNDOSE PIEDRAS Y GOLPEANDO CON PALOS LOS VEHÍCULOS ESTACIONADOS. 
SIENDO LAS 18:39. SE TOMA CÁMARA BELGRANOO111 EMPLAZADA EN MONROE 1002 Y HUSARES DONDE SE VISUALIZA PERSONAL POLICIAL IDENTIFICANDO A DOS MASCULINOS. 
SE REALIZA LÍNEA DE TIEMPO 
18:31. POR CÁMARA BELGRANOO111 CAM02 DONDE SE VISUALIZA UNA INCIDENCIA ENTRE DOS GRUPOS DE PERSONAS LOS MIMOS CAMINANDO ENTRE LOS AUTOMÓVILES ESTACIONADOS EN EL LUGAR Y LUEGO COMENZARON A LANZARSE ELEMENTOS. UNO DE LOS GRUPOS SALIÓ DE LA VISUAL. 
18:45. SE RETIRA PERSONAL POLICIAL DEL LUGAR DANDO POR FINALIZADO EL EVENTO. POSTERIORMENTE SE AMPLÍA MEDIANTE CARTA SAE CONSULTA EVACUADA AL ARRIBO DEL PERSONAL POLICIAL NEGATIVO ILÍCITO.</t>
  </si>
  <si>
    <t>SE TOMA CONOCIMIENTO MEDIANTE CARTA SEA N° 48307040 POR UN MASCULINO QUE REFIERE QUE HABRÍA 1 MASCULINO Y UN FEMENINO SACANDO PERTENENCIAS DENTRO DE UN LOCAL QUE SE ENCONTRARÍA CLAUSURADO. 
18:45. AL MOMENTO DE TOMAR LA CÁMARA LINIERS73 EMPLAZADA EN PALMAR 7195 Y JOSÉ LEÓN SUAREZ DONDE SE LOGRA VISUALIZAR PARCIALMENTE EL QTH Y A PERSONAL POLICIAL. 
19:22. SE RETIRA MASCULINO POR SUS PROPIOS MEDIOS Y PERSONAL POLICIAL DANDO POR FINALIZADO ESTE EVENTO. SE TOMA CONOCIMIENTO MEDIANTE AMPLIACIONES DE CARTA SAE QUE CM AMPLIA SE ENTREVISTO A SEGUNDA DENUNCIANTE SEÑOR OCSA PRESENTA OFICIO N° 957 2026 DONDE NO PRESENTA MEDIDAS DE RESTRICCIÓN HACIA EL LUGAR A SU VEZ LAS PERSONAS IDENTIFICADAS FUERON SOBRESEÍDAS DE LA CAUSA DE DEJA CONSTANCIA EN PARTE</t>
  </si>
  <si>
    <t>SE TOMA CONOCIMIENTO MEDIANTE CARTA SAE N° 48306893 DENUNCIANTE REFIERE QUE HOY A LA MAÑANA CUANDO SALIÓ SU AUTO NO ESTABA. PEUGEOT 205 GRIS PLATA DOMINIO BFH-309. 
SIENDO LAS 18:48 SE TOMA LA CÁMARA VILLA CRESPO51 EMPLAZADA EN J B JUSTO 3495 Y RODRÍGUEZ VISUALIZANDO PERSONAL POLICIAL ENTREVISTANDO UN FEMENINO. 
19:02 SE RETIRA EL FEMENINO POR SUS PROPIOS MEDIOS. 
19:21 SE RETIRA PERSONAL POLICIAL DANDO POR FINALIZADO EL EVENTO. SE AMPLÍA MEDIANTE CARTA SAE SEC 1 INDICA QUE EN EL DÍA DE AYER DEJO EL AUTO EN GRAL. M RODRÍGUEZ ALTURA 1895 Y HOY AL REGRESAR NO ESTABA HORA 
17:40 ASÍ MISMO INDICA QUE EL SOBRINO SE HABRÍA LLEVADO EL AUTO.</t>
  </si>
  <si>
    <t>SE TOMA CONOCIMIENTO MEDIANTE CARTA SAE N° 48307113 FEMENINO REFIERE QUE HABRÍA UN GRUPO DE 4 PERSONAS QUE 2 HARÍAN DE LIMPIAVIDRIOS Y OTRAS GOLPEAN VENTANILLAS DE VEHÍCULOS QUE CIRCULAN. UNO VESTIRÍA DE CAMPERA ROJA CON CAPUCHA Y OTROS NO VE YA QUE NO HABRÍA ILUMINACIÓN SENTIDO A RETIRO 
SIENDO LAS 18:53. SE TOMA CÁMARA RETIRO 58 EMPLAZADA EN CÓRDOBA Y 25 DE MAYO DONDE SE VISUALIZA A DOS MASCULINOS DE SIMILARES CARACTERÍSTICAS. 
SIENDO LAS 18:55. SE VISUALIZA A LOS DOS MASCULINOS RETIRARSE POR ALEM HACIA VIAMONTE DONDE SE LO PIERDE DE LA VISUAL. 
SIENDO LAS 18:58. MEDIANTE CÁMARA SAN NICOLÁS 56 EMPLAZADA EN CÓRDOBA Y RECONQUISTA DONDE SE VISUALIZA A LOS MASCULINOS RETIRARSE POR CÓRDOBA HACIA SAN MARTIN DONDE SE LO PIERDE DE LA VISUAL. SE TOMA CONOCIMIENTO MEDIANTE AMPLIACIÓN DE CARTA SAE HT INFORMA QUE AL ARRIBO SE RECORRIÓ LA ZONA NO SE APROXIMA DENUNCIANTE PRESENCIA NOTORIA NEGATIVO LO APORTADO.</t>
  </si>
  <si>
    <t>SIENDO LAS 18:50 SE TOMA CÁMARA FLORES 20 EMPLAZADA EN RIVADAVIA 7390 Y SAN PEDRITO SE VISUALIZA MOTOVEHÍCULO SIN DOMINIO SE DA AVISO A COMANDO GENERANDO CARTA SAE N°48307089. 
19:02 ARRIBA PERSONAL POLICIAL AL LUGAR. 
19:13 SE RETIRA PERSONAL POLICIAL DANDO POR FINALIZADO ESTE EVENTO POSTERIORMENTE SE AMPLÍA MEDIANTE CARTA SAE EN EL LUGAR SE VERIFICA INTERCEPCIONES NEGATIVO LO APORTADO PRESENCIA NOTORIA NO SE ACERCA DENUNCIANTE PANORAMA NORMAL.</t>
  </si>
  <si>
    <t>SE TOMA CONOCIMIENTO MEDIANTE CARTA SAE N°48307167 HT DE TRANSITO URBANO SOLICITA SAME POC 1144032857. 
SIENDO LAS 19:01 SE TOMA CÁMARA SAN NICOLAS10 EMPLAZADA EN VIAMONTE 1026 Y 9 DE JULIO SE VISUALIZA PERSONAL POLICIAL Y AUTO VEHÍCULO. 
SIENDO LAS 19:13 ARRIBA SAME. 
19:51 SE RETIRA SAME. 
SIENDO LAS 19:57 SE RETIRA AUTO VEHÍCULO Y PERSONAL POLICIAL DANDO POR FINALIZADO ESTE EVENTO. SE AMPLÍA MEDIANTE SAE HT SE TRATÓ DE VEHÍCULO QUE VENÍA POR VIAMONTE EL CUAL DOBLA POR LADO IZQUIERDO LADO RETIRO NO VE A PEATÓN Y LO COLISIONA PEATÓN SIN RIESGO DE VIDA ARRIBO SAME INTERNO 396 DE ZONA CENTRO A CARGO DR ISABELA DOPRADO MN 198998 ASISTE Y NO DERIVA TRAUMATISMO MUSLO IZQUIERDO SE REALIZÓ CONSULTA CON UFLA ESTÉ A CARGO DR BEKUT DISPONE LESIONES 94 CON RESPECTO A CONDUCTOR DE VEHÍCULO 29/30 Y QUE SE RETIRE DEL LUGAR.</t>
  </si>
  <si>
    <t>SIENDO LAS 19:07 SE COMIENZA A OBSERVAR LA CÁMARA RECOLETA40 DOMO EN EL LUGAR UN MASCULINO LIMPIA VIDRIO SE DA CONOCIMIENTO MEDIANTE LA CARTA SAE NÚMERO 48307185 
19:10 UN SEGUNDO MASCULINO LIMPIA VIDRIO 
19:11 AL PASAR POR EL LUGAR DOS MÓVILES DEL PERSONAL DE ESTA FUERZA LOS DOS MASCULINOS COMIENZAN A RETIRARSE SOBRE LA AVENIDA CÓRDOBA EN DIRECCIÓN A AZCUÉNAGA 
19:13 ARRIBA MÓVIL DE POLICÍA DE LA CIUDAD 
19:22 FINALIZA ARRIBO DEL PERSONAL DE ESTA FUERZA EL HT Y EL SECTOR VERIFICARON EL LUGAR Y LAS INMEDIACIONES CON RESULTADO NEGATIVO.-</t>
  </si>
  <si>
    <t>SE TOMA CONOCIMIENTO MEDIANTE CARTA SAE N°48307186 DENUNCIANTE REFIERE QUE HABRÍA UNA MANIFESTACIÓN DE 15 PERSONAS EN VÍA PUBLICA E INDICA QUE TENDRÍAN INCIDENCIA CON PERSONAL POLICIAL. 
SIENDO LAS 19:08. SE TOMA CÁMARA CONSTITUCION32 EMPLAZADA EN SALTA 1520 Y PAVÓN DONDE SE VISUALIZA UN GRAN GRUPO DE PERSONAS Y PERSONAL POLICIAL. 
20:10. SE DA POR FINALIZADO ESTE EVENTO PERMANECIENDO EL GRUPO DE PERSONAS Y PERSONAL POLICIAL. SE AMPLÍA MEDIANTE CARTA SAE OP 1 INFORMA SE TRATA DE ORDEN DE SERVICIO N°4564 DADO QUE LAS PERSONAS TRANSGENEROS QUIEREN TRABAJAR. ESTO ESTA MODULADO POR METRO 1 SE IMPLANTO HS 
16:30 ES NEGATIVO INCIDENCIA CON PERSONAL POLICIAL SE ENCUENTRAN SOBRE VEREDA NO OBSTRUYEN VEREDA APROXIMADAMENTE 50 PERSONAS. SE CALCULA QUE VA A PERMANECER HASTA HS. 
21:00. NEGATIVO MEDIO PERIODÍSTICO. NEGATIVO SAME SE ENCUENTRAN DE FORMAS PACÍFICAS.</t>
  </si>
  <si>
    <t>SIENDO LAS 19:18 SE TOMA CONTROL DE CAMARA ALMAGRO17 EMPLAZADA EN CASTRO BARROS 198 E H YRIGOYEN VISUALIZANDO UN MOTOVEHICULO COLOR AZUL CON DETALLES PLATEADOS SIN DOMINIO VISIBLE. SE DA AVISO A COMANDO Y SE GENERA CARTA SAE N°48307327. 
SIENDO LAS 19:12 SE VERIFICA POR LINEA DE TIEMPO EN CAMARA ALMAGRO17 EMPLAZADA EN CASTRO BARROS 198 E H YRIGOYEN DOS MASCULINOS DE ROPAS OSURAS CAMINAR CON LA MOTO POR CASTRO BARROS SENTIDO A H YRIGOYEN AL GIRAR LA CAMARA DOMO SE PIERDE LA VISUAL DE LOS MASCULINOS ASI MISMO EL MOTOVEHICULO QUEDA ESTACIONADO EN INTERSECCION DE CASTRO BARROS E H YRIGOYEN. 
19:21 ARRIBA PERONAL POLICIAL. 
19:34 SE RETIRA PERSONAL POLICIAL DANDO POR FINALIZADO ESTE EVENTO. POSTERIORMENTE SE AMPLIA MEDIANTE CARTA SAE HT 064 INFORMA QUE SE ENTREVISTA CON EL PROPIETARIO DEL MOTOVEHICULO ASI MISMO CORRESPONDE Y NO POSEE. EL MASCULINO SE ENCUENTRA TOMANDO UN CAFE EN LA ESQUINA.</t>
  </si>
  <si>
    <t>SE TOMA CONOCIMIENTO MEDIANTE CARTA SAE N°48307221 DENUNCIANTE REFIERE QUE LE ROBARON A UN CONDUCTOR EN EL LUGAR E INDICA QUE ERA UN MOTOCHORRO Y CHOCO CON OTRO VEHÍCULO. 
19:12. SE TOMA LA CÁMARA CABALLITO47 EMPLAZADA EN JUAN BAUTISTA ALBERDI 1298 Y HORTIGUERA VISUALIZANDO A PERSONAL POLICIAL EN EL LUGAR. 
SE REALIZA LÍNEA DE TIEMPO MEDIANTE LA CÁMARA CABALLITOO162CAM02 EMPLAZADA EN HORTIGUERA 104 Y RAMÓN FALCÓN 
SIENDO LAS 18:59 VISUALIZANDO EL PASO DE UN MOTOVEHICULO COLOR NEGRO SÍMIL ROUSER CON DOS INDIVIDUOS A BORDO CON ROPAS OSCURAS DIRIGIÉNDOSE HACIA RIVADAVIA CON SENTIDO A CHIRIMAY SEGUIDAMENTE SE LOS VISUALIZA MEDIANTE LA CÁMARA CABALLITO91CAM1 Y CAM03 EMPLAZADA EN RIVADAVIA 5892 Y CHIRIMAY 
SIENDO LAS 19:00 POR RIVADAVIA REALIZANDO UN GIRO EN U SENTIDO A HORTIGUERA PERDIÉNDOLOS DE LA VISUAL DE LA CÁMARA. 
19:13. SE RETIRA PERSONAL POLICIAL DEL LUGAR DANDO POR FINALIZADO ESTE EVENTO. POSTERIORMENTE SE AMPLÍA MEDIANTE CARTA SAE MÓVIL 606 INDICA QUE ARRIBADO AL LUGAR NEGATIVO LO APORTADO. PRESENCIA NOTORIA PANORAMA NORMAL.</t>
  </si>
  <si>
    <t>SE TOMA CONOCIMIENTO MEDIANTE CARTA SAE N°48307309 DENUNCIANTE REFIERE QUE HABRÍA UN MASCULINO EN ACTITUD SOSPECHOSA. EL MISMO VISTE DE CAMPERA OSCURA CON CAPUCHA Y ES ROBUSTO. 
SIENDO LAS 19:19 SE TOMA CÁMARA BOEDOO116 EMPLAZADA EN LA PLATA 1096 Y ZUVIRIA DONDE SE VISUALIZA A UN MASCULINO CON LAS MISMAS CARACTERISTICAS.
19:20 ARRIBA PERSONAL POLICIAL DANDO CON EL MASCULINO. 
19:23 SE RETIRA EL MASCULINO POR SUS PROPIOS MEDIOS Y SEGUIDAMENTE SE RETIRA PERSONAL POLICIAL DANDO POR FINALIZADO ESTE EVENTO. POSTERIORMENTE SE AMPLÍA MEDIANTE SAE 605 INDICA QUE SE ENTREVISTA CON EL MASCULINO EN SITUACIÓN DE CALLE ASÍ MISMO NO SOLICITA BAP O ESPACIOS PÚBLICOS.</t>
  </si>
  <si>
    <t>SE TOMA CONOCIMIENTO MEDIANTE CARTA SAE N°48307138 FEMENINO INDICA QUE RECIBIERON UNA AMENAZA DE BOMBA EN LA UNIVERSIDAD TECNOLÓGICA NACIONAL (UTN) . 
19:25. SE TOMA CÁMARA VILLA LUGANO59 EMPLAZADA EN MOZART 2300 (ENTRADA UTN) VISUALIZANDO A GRUPO DE PERSONAS Y PERSONAL POLICIAL. 
19:47. ARRIBA PERSONAL DE ESCUADRÓN ANTIBOMBAS. 
20:45. QUEDA DE CONSIGNA EL PERSONAL POLICIAL EN EL LUGAR DANDO POR FINALIZADO EL EVENTO. POSTERIORMENTE SE AMPLIA POR CARTA SAE CUATRI BARRIO NAGERA PERSONAL DIVISIÓN ANTIBOMBAS AUN TRABAJANDO EN EL LUGAR SE LABRAN ACTUACIONES POR AMENAZAS UNIDAD DE FLAGRANCIA SUR A CARGO DE LA DRA. HERNANDEZ.</t>
  </si>
  <si>
    <t>SE TOMA CONOCIMIENTO MEDIANTE CARTA SAE N°48307406 DENUNCIANTE REFIERE QUE HABRÍAN VIOLENTADO SU AUTOMÓVIL Y ROBADO PERTENENCIAS. VEHÍCULO MARCA DUSTER ROJA DOMINIO AC900BE. 
19:32. SE TOMA LA CÁMARA BALVANERAO106 LA MISMA EMPLAZADA EN ANCHORENA 187 Y J D PERÓN VISUALIZANDO AUTOMÓVIL EN EL QTH APORTADO. 
19:36. ARRIBA PERSONAL POLICIAL. 
20:05. SE RETIRA PERSONAL POLICIAL DANDO POR FINALIZADO ESTE EVENTO. POSTERIORMENTE SE AMPLÍA MEDIANTE CARTA SAE HT INFORMA QUE ENTREVISTO QUIEN REFIRIÓ QUE LE VIOLENTARON EL VIDRIO DEL LADO DERECHO DEL ACOMPAÑANTE Y LE SUSTRAEN EL ESTÉREO. POR TAL MOTIVO SE REALIZÓ CONSULTA CON LA FISCALÍA EN LO CRIMINAL Y CORRECCIONAL N°11 A CARGO DEL DR. TOGNI QUE DISPUSO LABRAR ACTUACIONES POR ROBO.</t>
  </si>
  <si>
    <t>SE TOMA CONOCIMIENTO MEDIANTE CARTA SAE Nº 48307396 DENUNCIANTE REFIERE QUE HABRÍA 3 PERSONAS CUIDACOCHES SOBRE LA VÍA PÚBLICA UNO DE JEAN CAMPERA DE CUERO UN FEMENINO Y OTRO MASCULINO. SIENDO LAS 19.34 HS SE TOMA CÁMARA PALERMOO230 EMPLAZADA EN FITZ ROY 1498 Y CABRERA DONDE SE VISUALIZA A PERSONAL POLICIAL IDENTIFICANDO A DOS MASCULINOS Y A UN FEMENINO EN EL LUGAR. 20.01 HS 
SE REALIZA LÍNEA DE TIEMPO EN CÁMARA PALERMOO230CAM02 SIENDO LAS 19.21.34 HS SE VISUALIZA A DOS MASCULINOS EL PRIMERO VISTE BUZO NEGRO CON CAPUCHA BLANCA Y PRENDA BLANCA POR DEBAJO PANTALÓN NEGRO Y CALZADO BLANCO EL SEGUNDO MASCULINO BUZO GRIS PRENDA NEGRA POR DEBAJO PANTALÓN MARRÓN Y CALZADO NEGRO Y UN FEMENINO QUE VISTE BUZO NEGRO PANTALÓN NEGRO CON SUELA BLANCA. LOS MISMOS SE ENCONTRABAN REALIZANDO SEÑALIZACIONES SIMILARES A QUIENES OFICIAN DE CUIDACOCHES. 19.23.25 HS SE VISUALIZA AL PRIMER MASCULINO ESTACIONAR UN VEHÍCULO APROXIMARSE AL MISMO APARENTEMENTE RECIBE ALGO DE PARTE DEL CONDUCTOR. 19.57 HS SE RETIRAN LOS MASCULINOS Y EL FEMENINO POR SUS PROPIOS MEDIOS QUEDANDO PERSONAL POLICIAL EN EL LUGAR DANDO POR FINALIZADO ESTE EVENTO. SE AMPLÍA MEDIANTE CARTA SAE EVACÚA CONSULTA FISCALÍA GENERAL JULIO BARRETO QUIEN ANOTICIADO DE LOS PORMENORES DISPONE ACTA CONTRAVENCIONAL A LAS PARTES ARTÍCULO 91 CUIDACOCHES ILEGALES CESE DE ACTIVIDAD SE RETIRAN NO SECUESTRA ELEMENTO ALGUNO. ESTE EVENTO FUE MONITOREADO POR LA OPERADORA SILVIA YASKULOWSKI DNI 25413482.</t>
  </si>
  <si>
    <t>SE TOMA CONOCIMIENTO MEDIANTE CARTA SAE N° 48307462 DENUNCIANTE REFIERE QUE TENDRÍA UNA PERIMETRAL CONTRA SU EX PAREJA Y EL MISMO ESTARÍA EN LA PUERTA QUERIENDO ENTREGAR A SU HIJA EN AV. SCALABRINI ORTIZ AL 1779. 
SIENDO LAS 19:36. SE VISUALIZA POR CÁMARA PALERMOO233 EMPLAZADA EN SCALABRINI ORTIZ 1702 Y COSTA RICA A MASCULINO DE CAMPERA ROJA Y BLANCA CON MENOR DE EDAD EN BRAZOS EN QTH APORTADO. 
19:40. ARRIBA PERSONAL POLICIAL AL LUGAR DANDO CON EL MASCULINO. 
20:03. SE RETIRA FEMENINO CON MENOR. 
21:00. SE DA POR FINALIZADO ESTE EVENTO PERMANECE PERSONAL POLICIAL DE CONSIGNA EN QTH. POSTERIORMENTE SE AMPLÍA POR CARTA SAE 614 REFIERE ENTREVISTADO LAS PARTES MASCULINO Y FEMENINO EX PAREJA CON UNA HIJA EN COMÚN SIENDO QUE EL MASCULINO EL DÍA DE LA FECHA REALIZABA LA ENTREGA A SU HIJA A LA MADRE MASCULINO NO ESTABA NOTIFICADO POR UNA PERIMETRAL EMANADA POR EL JUZGADO N° 83 A CARGO DRA. MARÍA CARLOTA SE PROCEDE A NOTIFICARLOS LAS PARTES CONFORMES.</t>
  </si>
  <si>
    <t>SIENDO LAS 19:42 SE TOMA CAMARA FLORES03 EMPLAZADA EN CARABOBO 18 Y AV RIVADAVIA. SE VISUALIZA A UN MASCULINO DOS FEMENINOS Y UN MENOR MASCULINO VISTE CAMPERA OSCURA PANTALON OSCURO ZAPATILLAS NEGRAS CON SUELAS BLANCAS PRIMERA FEMENINA PANTALON NEGRO Y CAMPERA NEGRA CON RAYAS BLANCAS Y ZAPATILLAS ROSAS SEGUNDO FEMENINO CAMPERA BAIGE PANTALON ROSA CON RAYAS NEGRAS Y ZAPATILLAS CELESTES Y EL MENOR VISTE CAMPERA AZUL PANTALON AZUL Y ZAPATILLAS ROJAS APARENTEMENTE EN SITUACION DE CALLE. SE DA AVISO A COMANDO GENERANDO CARTA SAE N° 48307606. 
SIENDO LAS 19:54 SE RETIRAN LAS PERSONAS MENCIONADAS ANTERIORMENTE POR SUS PROPIOS MEDIOS PERDIENDO VISUAL NO SE OBSERVA ARRIBO DE RECURSOS DANDO ASI POR FINALIZADO ESTE EVENTO. POSTERIORMENTE SE AMPLIA MEDIANTE CARTA SAE HT ID 039 INFORMA ARRIBADO AL LUGAR PRESENCIA POLICIAL NOTORIA PANORAMA NORMAL. ESTE EVENTO FUE MONITOREADO POR FLORENCIA LEON DNI 37019337 PERSONAS EN SITUACION DE CALLE</t>
  </si>
  <si>
    <t>SE TOMA CONOCIMIENTO MEDIANTE CARTA SAE N° 48307444 DENUNCIANTE REFIERE QUE 8 MENORES ROBARON BICICLETAS. 
SIENDO LAS 19:47 SE TOMA CÁMARA NÚÑEZ 37 EMPLAZADA EN UDAONDO Y FIGUEROA ALCORTA SE VISUALIZA PERSONAL POLICIAL CON MASCULINO ESPOSADO. VISTEN DE GORRA REMERA A RAYAS DURANTE LA COMUNICACIÓN REFIERE QUE ESTABAN FRENTE A ÉL Y LUEGO REFIERE QUE SE EMPEZARON A DESPLAZAR. PRIMERO DE ROPAS OSCURAS CON BICICLETA NEGRA SEGUNDO MASCULINO DE CAMPERA NEGRA PANTALÓN GRIS BICICLETA NARANJA TERCERO DE BUZO GRIS CON PANTALÓN BEIGE Y CUARTO DE CAMPERA ROJA CON JEAN AZUL. 
SE REALIZA LÍNEA DE TIEMPO POR CÁMARA NUÑEZO129CAM01 
19:39 MASCULINO DE CAMPERA NEGRA CON BICICLETA NARANJA ACOMPAÑADO POR EL MASCULINO DE CAMPERA ROJA POR RICCHIERI SENTIDO A CAMPO SALLES DOBLANDO A BAVIO.
19:39 POR CÁMARA NÚÑEZ 37 SE VISUALIZA A PERSONAL POLICIAL DAR CON UNO DE LOS MASCULINOS.
20:45 SE RETIRA PERSONAL POLICIAL DEL LUGAR CON TRASLADO DANDO POR FINALIZADO ESTE EVENTO. SE AMPLÍA MEDIANTE CARTA SAE 613 INDICA QUE SE REALIZÓ LA CONSULTA CON EL JUZGADO DE MENORES N°3 A CARGO DEL DOCTOR SANCHI SECRETARIA N°9 A CARGO DEL DOCTOR BASANI QUIEN DISPONE DETENCIÓN DEL MENOR POR ROBO EN POBLADO Y EN BANDA. ESTE EVENTO FUE MONITOREADO POR ANA CELIA DE LA PUENTE DNI 28640821.</t>
  </si>
  <si>
    <t>SE TOMA CONOCIMIENTO MEDIANTE CARTA SAE N° 48307702 REFIERE QUE LE HABRÍAN ROBADO EL VEHÍCULO A UNA FEMENINO. ESTARÍA PIDIENDO AYUDA. LLAMANTE ES VECINA Y DESCONOCE DATOS DEL VEHÍCULO. 
SIENDO LAS 19:57HRS SE TOMA CÁMARA FLORESO119CAM02 EMPLAZADA EN QUIRNO 1079 Y EVA PERÓN DONDE SE VISUALIZA LA ZONA APORTADA. 
SE REALIZA LÍNEA DE TIEMPO MEDIANTE CÁMARA FLORESO119CAM02 EMPLAZADA EN QUIRNO 1079 Y EVA PERÓN DONDE 
A LAS 19:55HRS SE VISUALIZA RODADO SÍMIL VW GOL GRIS CON LAS LUCES DE EMERGENCIA ACTIVAS. EL MISMO POR QUIRNO SENTIDO A EVA PERÓN. SE REALIZA SEGUIMIENTO MEDIANTE CÁMARA FLORESO119CAM01 EMPLAZADA EN QUIRNO 1079 Y EVA PERÓN DONDE SE VERÍA EL PASO DEL MISMO VEHÍCULO EN SENTIDO A ROTONDA DE AVENIDA LAFUENTE DONDE SE PIERDE VISUAL DANDO POR FINALIZADO ESTE EVENTO. POSTERIORMENTE SE AMPLÍA MEDIANTE CARTA SAE MÓVIL INFORMA SE REALIZÓ CONSULTA CON LA FISCALÍA NACIONAL EN LO CRIMINAL Y CORRECCIONAL NÚMERO 30 A CARGO DEL DOCTOR RECHINI. SECRETARIA ÚNICA A CARGO DEL DOCTOR CAMPANA. ACTUACIONES POR ROBO. LA DAMNIFICADA RECTIFICA QUE NO OBSERVÓ A LOS AUTORES ARMADOS</t>
  </si>
  <si>
    <t>SE TOMA CONOCIMIENTO MEDIANTE CARTA SAE N° 48307726. DENUNCIANTE REFIERE QUE UN MOTOVEHICULO HABRIA ATROPELLADO A UN MASCULINO. REFIERE QUE EL MASCULINO ESTARIA TIRADO SOBRE LA CINTA ASFALTICA.EL MASCULINO CON EL MOTOVEHICULO SE DA A ALA FUGA. 
SIENDO LAS 20:03 SE TOMA CONTROL DE CAMARA ALMAGRO28 EMPLAZADA EN ESTADO DE ISRAEL 4292 Y PRINGLES SE VISUALIZA MASCULINO SOBRE CINTA ASFALTICA Y VARIAS PERSONAS ASISTIENDO AL MISMO. 
SE REALIZA LINEA DE TIEMPO POR CAMARA ALMAGRO28 DOMO EMPLAZADA EN ESTADO DE ISRAEL 4292 Y PRINGLES NO SE VISUALIZO EL MOMENTO DEL HECHO POR ENCONTRARSE EL DOMO EN MODO PATRON. 
20:05 ARRIBA PERSONAL POLICIAL. 
20:10 ARRIBA SAME. 
20:18 SE RETIRA SAME CON TRASLADO. 
20:58 SE RETIRA PERSONAL POLICIAL DANDO POR FINALIZADO ESTE EVENTO. POSTERIORMENTE SE AMPLIA MEDIANTE CARTA SAE ARRIBO SAME INTERNO 379 DE BASE CORDOBA A CARGO DEL DR.GUIMER MN168855. EL CUAL ASISTE Y TRASLADA AL MASCULINO CON DIAGNOSTICO POLITRAUMATISMO. SE TRASLADA AL HOSPITAL DURAN SIN RISGO DE VIDA. CICLISTA EN EL LUGAR SE REALIZA CONSULTA CON UNIDAD DE FLAGRANCIA NORTE A CARGO DEL DR. GALVAIRE ACTUACIONES POR LESIONES 94. ESTE EVENTO FUE MONITOREADO POR NATALIA LOUTRDES RODRIGUEZ DNI 30053111.</t>
  </si>
  <si>
    <t>SIENDO LAS 20:14. SE VISUALIZA MEDIANTE LA CÁMARA VILLA LUGANOO104 EMPLAZADA EN FONROUGE 4398 Y CHILAVERT A MASCULINO CON GORRA OSCURA CON ESCUDO DE BOCA CAMPERA AZUL OSCURA CON LINEAS AMARILLAS EN LOS BRAZOS PANTALÓN OSCURO CALZADO OSCURO CON SUELA BLANCA TREPAR EL INGRESO DE UN ESTABLECIMIENTO EDUCATIVO EL MISMO SE ENCUENTRA EN COMPAÑÍA DE UN SEGUNDO MASCULINO DE CAMPERA OSCURA PANTALÓN NEGRO CON LINEAS BLANCAS TIPO ADIDAS EN SUS LATERALES Y POR DETRÁS UNA LINEA ROJA Y CALZADO BLANCO LUEGO EL PRIMERO MASCULINO MENCIONADO ARROJA APARENTEMENTE CAJONES DE MADERA DEL INTERIOR DEL ESTABLECIMIENTO ASIMISMO EGRESA DEL LUGAR Y SE RETIRAN AMBOS MASCULINOS POR FONROUGE SENTIDO A UNANUE. SE DA AVISO A COMANDO GENERANDO CARTA SAE N° 48307872. 
20:18. ARRIBA MÓVIL POLICIAL AL LUGAR. SE TOMA CONOCIMIENTO MEDIANTE MODULACIÓN QUE EL PERSONAL POLICIAL SE ENCUENTRA IDENTIFICANDO A VARIOS MASCULINOS. 
20:26. SE VISUALIZA MEDIANTE LA CÁMARA VILLA LUGANOO103 EMPLAZADA EN UNANUE 5338 Y FONROUGE A PERSONAL POLICIAL APROXIMAR A UN GRUPO DE MASCULINOS AL QTH Y DESDE ESTA SALA SE CONFIRMA QUE DOS DE ELLOS SON LOS MASCULINOS OBSERVADOS ANTERIORMENTE. 
20:32. EL PERSONAL POLICIAL IDENTIFICAN A AMBOS MASCULINOS. 
21:05. SE RETIRAN LOS DOS MASCULINOS POR SUS PROPIOS MEDIOS. 
21:19. SE RETIRA MÓVIL POLICIAL DANDO POR FINALIZADO EL EVENTO. POSTERIORMENTE SE AMPLIA POR CARTA SAE QUE UTP AMPLIA QUE SE IDENTIFICO A MASCULINO SIN NOVEDAD EFECTUÁ CONSULTA NO SE ADOPTA TEMPERAMENTO POR PRINCIPIO DE INSIGNIFICANCIA CONSULTA CON EL JUZGADO CORRECCIONAL N.º 21 A CARGO DEL DR. FERNANDEZ SECRETARIA N.º 165 A CARGO DEL DR. RINDALDI.</t>
  </si>
  <si>
    <t>SE TOMA CONOCIMIENTO MEDIANTE CARTA SAE N° 48307851. DENUNCIANTE REFIERE QUE LE ROBARON A UN FEMENINO. REFIERE QUE FUERON DOS MASCULINOS A BORDO DE UN MOTOVEHICULO HONDA 350 COLOR NEGRO NO APORTA DOMINIO. MASCULINO ACOMPAÑANTE DE BUZO BORDO CON EL CASCO EN LA MANO FUGA HACIA CORRIENTES HACIA EL BAJO. SIENDO 
20:15 SE TOMA CONTROL DE CAMARA ALMAGRO71 EMPLAZADA EN CORRIENTES 4647 Y PANAMA NO SE VISUALIZA LO APORTADO. SE AMPLIA MEDIANTE LINEA DE TIEMPO EN CAMARA ALMAGRO71CAM01 EMPLAZADA EN CORRIENTES 4647 Y PANAMA 
20:12:06 SE VISUALIZA MOTOVEHICULO OSCURO CON PRIMER MASCULINO DE ROPAS OSCURAS CONN CALZADO BLANCO Y SEGUNDO MASCULINO DE BUZO ROJO CON PANTALON NEGRO Y CALZADO BLANCO LOS MISMOS POR CORRIENTES A GRAN VELOCIDAD. SE AMPLIA LINEA DE TIEMPO POR CAMARA ALMAGRO42CAM01 EMPLAZADA EN CORRIENTES 4206 Y GASCON SE VISUALIZA 
SIENDO LAS 20:12:56 MOTOVEHICULO POR GASCON SENTIDO A HUMAHUACA. 
20:23ARRIBA PERSONAL POLICIAL. 
20:27 SE RETIRA PERSONAL POLICIAL DANDO POR FINALIZADO ESTE EVENTO.POSTERIORMENTE SAE AMPLIA HT 5A INFORMA EN EL LUGAR PRESENCIA NOTORIA NEGATIVO DAMNIFICADA NEGATIVO DENUNCIANTE PANORAMA NORMAL. ESTE EVENTO FUE MONITOREADO POR NATALIA LOURDESRODRIGUEZ DNI 30053111.</t>
  </si>
  <si>
    <t>SIENDO LAS HS. 
20:32 SE TOMA CÁMARA FLORESTA38 EMPLAZADA EN J V GONZÁLEZ 301 Y BOGOTÁ. SE VISUALIZA PERSONA EN SITUACIÓN DE VULNERAVILIDAD . SE DA AVISO A COMANDO Y SE GENERA CARTA SAE N°48308207. 
20:34. ARRIBA PERSONAL POLICIAL . 
20:40. SE RETIRA PERSONAL POLICIAL. DANDO ASÍ POR FINALIZADO EL EVENTO . POSTERIORMENTE SE AMPLIA CARTA SAE . HT INDICA QUE SE IDENTIFICÓ AL MASCULINO Y SE RETIRA DEL LUGAR . ESTE EVENTO FUE MONITOREADO POR MARTÍNEZ RAQUEL FERNANDA DNI:22986617 CON LA COLABORACIÓN DE CEBALLOS FLORENCIA DNI:39911382 Y AGENTE DE PREVENCIÓN LOFRANCO ALEJANDRO DNI:32166961</t>
  </si>
  <si>
    <t>SIENDO LAS 20:36. SE TOMA LA CÁMARA CONSTITUCIÓN O122 LA MISMA EMPLAZADA EN LAS CALLES PAVÓN 1302 Y SANTIAGO DEL ESTERO EN EL LUGAR SE VISUALIZA A PERSONAL POLICIAL CON GRAN AGLOMERACIÓN DE PERSONAS SE DA AVISO A COMANDO Y SE GENERA CARTA SAE 48308145. 
20:40. SE TOMA CONOCIMIENTO MEDIANTE CARTA SAE QUE MÓVIL 801 EN EL LUGAR GUARDA RELACIÓN CON EL ORDEN NUMERO 4564 CONCENTRACIÓN CV1SUR SALTA Y PAVÓN FRECUENCIA POR METRO1.</t>
  </si>
  <si>
    <t>SE TOMA CONOCIMIENTO MEDIANTE CARTA SAE N° 48308038 DENUNCIANTE REFIERE QUE HABRÍAN PRENDIDO FUEGO UN CONTENEDOR DE RESIDUOS. 
SIENDO LAS 20:36 POR CÁMARA PALERMOO144 EMPLAZADA EN J B JUSTO 902 Y PARAGUAY SE VISUALIZA EL FOCO ÍGNEO ENTRE DOS AUTOMÓVILES. 
SE REALIZA LÍNEA DE TIEMPO 
SIENDO LAS 20:31 POR CÁMARA PALERMOO144CAM02 EMPLAZADA EN J B JUSTO 902 Y PARAGUAY VISUALIZANDO LA SALIDA DE LLAMAS DEL CONTENEDOR QUE SE ENCUENTRA SOBRE LA CALLE JUAN B. JUSTO SIN OBSERVAR NINGUNA IMAGEN DE RELEVANCIA DEBIDO A LA LEJANÍA Y NITIDEZ DE LA MISMA. 
20:38 ARRIBA BOMBEROS JUNTO A PERSONAL POLICIAL EN EL LUGAR. 
21:35 SE RETIRA BOMBEROS DEL LUGAR. 
21:38 SE RETIRA PERSONAL POLICIAL DANDO POR FINALIZADO ESTE EVENTO. POSTERIORMENTE SE AMPLÍA MEDIANTE CARTA SAE ARRIBO INTERNO 2637 A CARGO TENIENTE LP 24825 MENÉNDEZ DOT 7 X 1 DESTACAMENTO PALERMO QUIEN SOFOCO INCENDIO SIN NOVEDAD INTERVIENE UNIDAD DE FLAGRANCIA NORTE A CARGO DRA. CÁCERES SE PROCEDE AL LABRADO DE AVERIGUACIÓN INCENDIO. ESTE EVENTO FUE MONITOREADO POR MALENA DE SARRO DNI 44484026.</t>
  </si>
  <si>
    <t>SE TOMA CONOCIMIENTO MEDIANTE CARTA SAE 48308161 LLAMANTE REFIERE QUE MASCULINO FUGARÍA POR CERVANTES SENTIDO ARANGUREN MOCHILA GRIS MUSCULOSA. HABRÍA INTENTADO ROBAR UNA BICICLETA. 
SIENDO LAS 20:50 TOMO CÁMARA VÉLEZ SARFIELD02 CAM01 EMPLAZADA EN ARANGUREN 4902 Y CERVANTES. 
SE REALIZA LÍNEA DE TIEMPO POR MISMA CÁMARA VISUALIZANDO 
A LAS 20:39 UN MASCULINO DE SIMILARES CARACTERÍSTICAS CAMINANDO POR CERVANTES SENTIDO ARANGUREN CONTRARIO AL TRÁNSITO Y PERSONAL POLICIAL DETRÁS DE ÉL. SE DA POR FINALIZADO ESTE EVENTO SIN VISUALIZACIÓN DEL MOMENTO DE LA IDENTIFICACIÓN DEL MASCULINO POR LEJANÍA DE LA CÁMARA. POSTERIORMENTE SE AMPLÍA MEDIANTE CARTA SAE M710 SE IDENTIFICÓ AL MASCULINO SIN NOVEDAD. NO POSEE IMPEDIMENTO. NO POSEE ELEMENTO CONSTITUTIVO DEL DELITO. SE TRATÓ DE UN MAL ENTENDIDO. NEGATIVO ILÍCITO. ESTE EVENTO FUE MONITOREADO POR FLORENCIA CEBALLOS DNI 39911382</t>
  </si>
  <si>
    <t>SE TOMA CONOCIMIENTO MEDIANTE FRECUENCIA HT INFORMA MASCULINO CAÍDO DE SU PROPIA ALTURA. SE DA AVISO A COMANDO GENERANDO CARTA SAE N°48308067.
20:40. POSEE CAMARA VILLA LUGANOO234 EMPLAZADA EN BARROS PAZOS 5981 Y RUCCI VISUALIZANDO A MASCULINO TENDIDO EN LA ACERA SIENDO ASISTIDO POR UN GRUPO DE PERSONAS.
20:46.ARRIBO PERSONAL POLICIAL AL LUGAR.
20:51 ARRIBO SAME. 
21:01.SE RETIRA SAME CON TRASLADO DEL MASCULINO.
21:01.SE RETIRA PERSONAL POLICIAL DEL LUGAR DANDO POR FINALIZADO ESTE EVENTO. POSTERIORMENTE SE TOMA CONOCIMIENTO MEDIANTE AMPLIACIÓN CARTA SAE MOVIL AMPLIA SAME INTERNO 414 CESAC 3 A CARGO DR.QUISPE MN 153492 QUIEN ASISTE Y DERIVA HACIA HOSPITAL GRIERSON A MASCULINO CON DIAGNOSTICO CRISIS HIPERTENSO CONSTANCIA EN PARTE.</t>
  </si>
  <si>
    <t>SE TOMA CONOCIMIENTO MEDIANTE CARTA SAE N°48308136 BRIGADA SOLICITA MOVIL IDENTIFICABLE PARA INDENTIFICAR Y RETIRAR A UN MASCULINO. 
SIENDO LAS 20:40. SE TOMA CAMARA CABALLITOO138 EMPLAZADA EN RIGLOS 227 Y FORMOSA SE VISUALIZA PARCIALMENTE A UN MASCULINO Y APARENTE PERSONAL DE BRIGADA EN EL LUGAR. 
20:41. ARRIBA PERSONAL POLICIAL. 
21:16. SE RETIRA PERSONAL POLICIAL CON TRASLADO DANDO POR FINALIZADO EL EVENTO. SE AMPLIA MEDIANTE CARTA SAE BRIGADA DE C6B IDENTIFICA A UN MENOR EL CUAL ES IMPUTADO POR TENTATIVA DE HURTO DE MOTOVEHICULO EL MISMO ES TRASLADADO AL INSTITUTO INCHAUSTI. SE REALIZA CONSULTA CON EL JUZGADO DE MENORES N°3 A CARGO DR. MARIANO SANCHIS SECRETARIA N°7 A CARGO DR. BASANI QUIEN DISPONE LA DETENCIÒN Y QUE SE LABREN ACTAS POR TENTATIVA ROBO MOTOVEHICULO EN VÌA PÙBLICA ASI MISMO NO SE ENCONTRARON MOTOS VIOLENTADAS.</t>
  </si>
  <si>
    <t>SE TOMA CONOCIMIENTO MEDIANTE CARTA SAE N°48308304 DENUNCIANTE REFIERE QUE HABRIA CHOCADO UNA MOTO Y UN AUTO. 
20:53. SE TOMA LA CAMARA BOEDO75 EMPLAZADA EN SAN JUAN 4092 Y 33 ORIENTALES VISUALIZANDO LA COLISION EN EL QTH. NO SE LOGRA REALIZAR LINEA DE TIEMPO DEBIDO A QUE LA CAMARA PRESENTA DESPERFECTOS TECNICOS. 
20:56. ARRIBA PERSONAL POLICIAL. 
21:03. ARRIBA SAME. 
21:12. SE RETIRA SAME CON TRASLADO. 
21:48. SE DA POR FINALIZADO ESTE EVENTO QUEDANDO PERSONAL POLICIAL EN CONSGNA.</t>
  </si>
  <si>
    <t>SE TOMA CONOCIMIENTO MEDIANTE CARTA SAE N° 48308285 QUE LLAMANTE MASCULINO REFIERE QUE HABRÍA UN MASCULINO COBRANDO POR ESTACIONAR. INDICA QUE EL MASCULINO ESTÁ AGRESIVO. EL MASCULINO VESTIRÍA CAMPERA BEIGE PELO NEGRO MEDIO LARGO. SIENDO 
20:58 SE TOMA LA CÁMARA CHACARITA48 EMPLAZADA EN AGUIRRE 1301 Y HUMBOLDT Y SE VISUALIZA A UN MASCULINO CON LAS MISMAS CARACTERÍSTICAS DESCRIPTAS DIRIGIÉNDOSE HACIA LA CALLE DARWIN EN SENTIDO EN SENTIDO CONTRARIO AL TRÁNSITO PERDIÉNDOSE LA VISUAL DEL MISMO. 
21:04 ARRIBA PERSONAL POLICIAL AL LUGAR. 
21:06 PERSONAL POLICIAL SE RETIRA DEL LUGAR DANDO COMO FINALIZADO EL EVENTO. POSTERIORMENTE SE AMPLÍA MEDIANTE CARTA SAE MOTO INDICA QUE EN EL LUGAR SE VERIFICA LAS ARTERIAS NEGATIVO INCIDENCIA COMO NEGATIVO PERSONAS CON VESTIMENTA INDICADA. NI EN SITUACIÓN DE CONSUMO.</t>
  </si>
  <si>
    <t>SIENDO LAS 21:08. SE TOMA CÁMARA BALVANERA18 EMPLAZADA EN BARTOLOMÉ MITRE 2688 Y CASTELLI VISUALIZANDO A UN MASCULINO EN SITUACIÓN DE VULNERABILIDAD. SE DA AVISO A COMANDO GENERANDO CARTA SAE N°48308387. 
21:10. ARRIBA PERSONAL POLICIAL DANDO CON EL MASCULINO EN MENCIÓN. 
21:19. SE RETIRA PERSONAL POLICIAL DANDO POR FINALIZADO EL EVENTO. SE AMPLÍA MEDIANTE CARTA SAE MÓVIL 1103 IDENTIFICA MASCULINO EN SITUACIÓN DE CALLE EL MISMO CORRESPONDE Y NO POSEE IMPEDIMENTO. SE ENCUENTRA AGUARDANDO AL PERSONAL DE BAP.</t>
  </si>
  <si>
    <t>SE TOMA CONOCIMIENTO MEDIANTE CARTA SAE N°48308424 DENUNCIANTE REFIERE QUE UN MOTOVEHÍCULO ATROPELLO A UN MASCULINO. 
SIENDO LAS 21:11. SE TOMA CÁMARA MONSERRAT61 EMPLAZADA EN HIPÓLITO YRIGOYEN 1750 Y SOLÍS DONDE SE VISUALIZA A MASCULINO TENDIDO EN LA CINTA ASFÁLTICA JUNTO A UN GRUPO DE TRANSEÚNTES. 
SE REALIZA LÍNEA DE TIEMPO MEDIANTE CÁMARA MONSERRAT61CAM01 DONDE SE VISUALIZA 
A LAS 21:07 UN MOTOVEHÍCULO ROUSER COLOR ROJO QUE CIRCULABA POR HIPÓLITO YRIGOYEN HACIA SOLÍS Y LLEGANDO A LA INTERSECCIÓN ENVISTE A UN MASCULINO QUE SE ENCONTRABA CRUZANDO YRIGOYEN HACIA LA PLAZA. 
21:14. ARRIBA PERSONAL POLICIAL AL LUGAR. 
21:17. ARRIBA PERSONAL DE SAME. 
21:30. SE RETIRA SAME CON TRASLADO DE MASCULINO ATROPELLADO. 
SIENDO LAS 22:11. SE RETIRA MÓVIL POLICIAL DANDO POR FINALIZADO EL EVENTO. SE TOMA CONOCIMIENTO MEDIANTE AMPLIACIÓN DE CARTA SAE HT INFORMA QUE SE HACE SAME INTERNO 407 DOCTOR RIVEIRO TRASLADA AL HOSPITAL RAMOS MEJÍA POR DIAGNOSTICO FRACTURA DE TOBILLO DERECHO. INTERVIENE LA UNIDAD DE FLAGRANCIA ESTE DOCTOR ALMEIDA LESIONES 94. GAROSO ANA LAURA DNI 44425086.</t>
  </si>
  <si>
    <t>SE TOMA CONOCIMIENTO MEDIANTE CARTA SAE N° 48308517 REFIERE QUE PERSONAL POLICIAL TENDRÍA A UN MASCULINO RETENIDO EN EL LUGAR TRAS UNA PERSECUCIÓN. 
SIENDO LAS 21:26 SE TOMA CÁMARA RETIRO59 EMPLAZADA EN PARAGUAY 1308 Y TALCAHUANO VISUALIZANDO A PERSONAL POLICIAL CON MASCULINO DEMORADO. 
SE REALIZA LÍNEA DE TIEMPO POR CÁMARA RETIRO31 CAM01 SE VISUALIZA 
21:21 PERSONAL IDENTIFICANDO UN MASCULINO EL CUAL SIENDO 
21:22 LE DA UNA PATADA AL PERSONAL POLICIAL Y SE DA A LA FUGA POR PARAGUAY HACIA TALCAHUANO SIENDO PERSEGUIDO POR EL PERSONAL LOGRANDO SER DETENIDO A ESCASOS METROS. 
21:38 SE RETIRA PERSONAL POLICIAL DANDO POR FINALIZADO ESTE EVENTO. POSTERIORMENTE SE AMPLIA QUE MÓVIL 601A INFORMA QUE SE TRATÓ DE UNA INCIDENCIA SOLUCIONADA EN EL LUGAR. SE IDENTIFICÓ A UN MASCULINO SIN NOVEDAD.</t>
  </si>
  <si>
    <t>SE TOMA CONOCIMIENTO MEDIANTE CARTA SAE NRO. 48308622 LLAMANTE REFIERE QUE UN MASCULINO HABRÍA ROTO UN VIDRIO DE UN AUTO Y ESTARÍAN EN RIÑA AHORA 1 VISTE ROPA OSCURA ESTARÍAN EN LA VÍA PUBLICA. 
SIENDO LAS 21:43. SE TOMA CÁMARA SAN CRISTOBAL58 EMPLAZADA EN HUBERTO PRIMO 3092 Y GRAL. URQUIZA VISUALIZANDO A PERSONAL POLICIAL. 
21:47. SE VISUALIZA A PERSONAL POLICIAL CON UN MASCULINO DEMORADO. SE PROCEDE A REALIZAR LÍNEA DE TIEMPO MEDIANTE CÁMARA SAN CRISTOBAL58 CAM02 EN EL HORARIO DE LAS 
21:11. SE OBSERVA EL PASO DE ESTE MASCULINO DEMORADO EL CUAL SE DESPLAZA POR CALLE HUMBERTO PRIMO EN ACTITUD DE MERODEO POR LA VEREDA LADO IMPAR HACIA LA RIOJA ESCASOS MOMENTOS DESPUÉS REGRESA EN SUS PASOS Y SE LO PIERDE DE LA VISUAL DE LAS CÁMARAS PRÓXIMO A UN VEHÍCULO ESTACIONADO 
21:20. REGRESA DEL INTERIOR DEL RODADO POR SU LADO IZQUIERDO RETIRÁNDOSE HACIA EL SIGUIENTE VEHÍCULO ANTERIORMENTE APORTADO POR ESTA SALA. 
23:55. SE RETIRA PERSONAL POLICIAL DEL LUGAR CON TRASLADO DEL MASCULINO DANDO ASÍ POR FINALIZADO ESTE EVENTO. POSTERIORMENTE SE TOMA CONOCIMIENTO MEDIANTE AMPLIACIÓN SAE MTO CONSULTA FISCALÍA CRIMINAL CORRECCIONAL NUMERO 11 A CARGO DOCTOR TOGNI SECRETARIO A CARGO DOCTOR POSADAS ACTUACIONES POR TENTATIVA DE ROBO NO REQUIERE SERVICIOS A LUGAR. ESTE EVENTO FUE MONITOREADO POR DEBORA SABRINA SOSA DNI 38862287.</t>
  </si>
  <si>
    <t>SE TOMA CONOCIMIENTO MEDIANTE CARTA SAE N°48307852 LLAMANTE MASCULINO REFIERE QUE HAY UN MASCULINO QUERIENDO ROBARSE LAS SILLAS DE UN KIOSCO 365 QUE EL MASCULINO ESTA SENTADO TOMANDOSE UNA CERVEZA EL LLAMANTE LE AVISO A LA FEMENINO QUE ATIENDE EL COMERCIO PERO NO PUEDE SALIR PORQUE ESTA SOLA MASCULINO VISTE SUETER NEGRO REMERA NARANJA AL MOMENTO DE LA LLAMDA EL MASCULINO MENCIONA QUE PASA UN MOVIL POR EL LUGAR Y LO VA A ENTREVISTAR CMU INFORMA SE POSEE CAMARA COLEGIALES31 AL MOMENTO NO SE VISUALIZA LO APORTADO DEBIDO A OBSTRUCCION EDILICIA.CMU AMPLIA SE REALIZO LINEA DE TIEMPO CAMARA COLEGIALES31 CAM02 SE VISUALIZA MASCULINO SIMILARES CARACTERISTICAS SE LO PIERDE DE VISUAL POR ZABALA SENTIDO CIUDAD DE LA PAZ.CMU RECTIFICA COMENTARIO SE REALIZO LINEA DE TIEMPO CAMARA COLEGIALES31 CAM02 
20:08:10.MOTO 447 INDICA QUE SE ENCUENTRA CON MASCULINO DEMORADO ACUSADO DE ILICITO EN UN LOCAL UBICADO EN CABILDO Y ZABALA.CMU INFORMA SE POSEE CAMARACOLEGIALES07 CAM02 SE BRINDA APOYO OPTICO PARCIAL AL PERSONAL POLICIAL. SE DA POR FINALIZADO ESTE EVENTO Y POSTERIORMENTE SE AMPLIA MEDIANTE CARTA SAE FALTA AMPLIAR. ESTE EVENTO FUE MONITOREADO POR MONZON VIVIANA DNI 29078556</t>
  </si>
  <si>
    <t>SE TOMA CONOCIMIENTO MEDIANTE CARTA SAE N°48308235 LLAMANTE REFIERE QUE ESTA EN PROVINCIA Y QUE UN AMIGO LLAMADO SEBASTIAN FERNANDEZ QUE ESTA EN CABA LES ESCRIBIO DESPIDIENDOSE PORQUE SE VA A SUICIDAR. 
SIENDO LAS 20:48 SE TOMA LA CAMARA ALMAGRO03 EMPLAZADA EN BELGRANO 3602 Y BOEDO EN LA CUAL NO SE LOGRA VISUALIZAR IMAGEN DE RELEVANCIA DEBIDO A OBSTRUCCION DE ARBOLEDA. 
20:50 ARRIBA PERSONAL POLICIAL AL LUGAR. 
21:33 ARRIBA BOMBEROS AL LUGAR. 
21:50 SE RETIRA BOMBEROS DEL LUGAR. 
21:54 SE RETIRA PERSONAL POLICIAL DANDO POR FINALIZADO ESTE EVENTO. POSTERIORMENTE SE AMPLIA MEDIANTE CARTA SAE. FALTA AMPLIAR.</t>
  </si>
  <si>
    <t>SIENDO LAS 21:39. SE VISUALIZA MEDIANTE CÁMARA BALVANERA41CAM01 EMPLAZADA EN CORRIENTES Y ECUADOR A UN MASCULINO EN SITUACIÓN DE VULNERABILIDAD. SE DA AVISO A COMANDO GENERANDO CARTA SAE N°48308602. 
21:50. SE DA POR FINALIZADO ESTE EVENTO NO LOGRANDO VISUALIZAR ARRIBO DE PERSONAL POLICIAL. SE AMPLÍA MEDIANTE CARTA SAE MÓVIL 603 INFORMA QUE ES NEGATIVO LO APORTADO. NO SE APROXIMA DENUNCIANTE.</t>
  </si>
  <si>
    <t>SE TOMA CONOCIMIENTO MEDIANTE CARTA SAE N° 48308626 FEMENINO SOLICITA SAME POR COLISIÓN DE VEHÍCULO Y MOTOVEHICULO SE OBSERVA UN MASCULINO CAÍDO AL MOMENTO SE ENCUENTRA CONSCIENTE TENDRÍA LESIONES LLEVA CASCO VERIFICAR. 
22:17. SE TOMA CÁMARA PALERMOO133 EMPLAZADA EN AV. SARMIENTO 4400 Y CASARES EN DONDE SE VISUALIZA A PERSONAL POLICIAL EN EL LUGAR PRESTANDO ASISTENCIA. SE APORTA MEDIANTE LÍNEA DEL TIEMPO POR CÁMARA PALERMO O133 CAM03 
21:38 SE VISUALIZA AL MOTOCICLISTA CIRCULANDO A GRAN VELOCIDAD MOMENTO EN QUE PIERDE EL CONTROL DEL MOTOVEHÍCULO CAYENDO DE SU PROPIA ALTURA COLISIONANDO ASÍ CONTRA LOS RODADOS QUE CIRCULABAN POR EL LUGAR. FIN DE LÍNEA DEL TIEMPO. 
23:56. SE VISUALIZA EL ARRIBO DE VIALES AL LUGAR. 
00:44. SE VISUALIZA EL RETIRO DE VIALES ASÍ MISMO SE RETIRAN LAS PARTES CON SUS VEHÍCULOS 
00:46. SE RETIRA PERSONAL POLICIAL DEL LUGAR DANDO POR FINALIZADO EL EVENTO. SE AMPLÍA MEDIANTE CARTA SAE QUE MÓVIL 914 C INTERNO INFORMA ARRIBA SAME INTERNO 363 BASE ECO PARQUE A CARGO DEL DOCTOR COLA MN 166561 QUIEN ASISTE Y TRASLADA DIAGNÓSTICO POLITRAUMATISMO AL HOSPITAL RIVADAVIA SIN RIESGO DE VIDA AL CONDUCTOR DE MOTOVEHÍCULO. MÓVIL 914 EVACÚA CONSULTA CON UNIDAD DE FLAGRANCIA NORTE A CARGO DE LA DOCTORA FLORENCIA PAGLIALLITI QUIEN INTERIORIZADA DISPONE SERVICIOS VIALES Y TEST DE ALCOHOLEMIA PARA AMBOS CONDUCTORES. ACTUACIONES LESIONES 94. MÓVIL 1014 INFORMA QUE FINALIZÓ VIALES RESULTADO AMBAS PARTES RESULTADO NEGATIVO ALCOHOL EN SANGRE. EN NUEVA CONSULTA CON MAGISTRADO FINALIZADO NUEVO TEMPERAMENTO. MÓVIL 914 FINALIZÓ CONSULTA CON MAGISTRADO NOTIFICACIÓN IMPUTADO ENTREGA DE LOS RODADOS. ESTE EVENTO FUE MONITOREADO POR JAQUELINA QUIROGA DNI 34059155</t>
  </si>
  <si>
    <t>SE TOMA CONOCIMIENTO MEDIANTE CARTA SAE N°48308927 DENUNCIANTE REFIERE QUE HABRÍA UN FEMENINO CON UN BEBE QUE PIDE AYUDA. 
SIENDO LAS 22:40. SE TOMA CÁMARA SAN NICOLÁS 97 EMPLAZADA EN TUCUMÁN Y LUIS DELLEPIANE DONDE SE VISUALIZA A TRANSEÚNTES ASISTIENDO A UN MENOR DE EDAD. 
SIENDO LAS 22:41. SE VISUALIZA A PERSONAL POLICIAL ARRIBAR AL LUGAR DANDO CON EL MENOR DE EDAD. 
SIENDO LAS 23:02. SE VISUALIZA A SAME ARRIBAR AL LUGAR. 
SIENDO LAS 23:10. SE VISUALIZA A SAME RETIRARSE DEL LUGAR. SE TOMA CONOCIMIENTO MEDIANTE AMPLIACIÓN DE CARTA SAE ARRIBO SAME INTERNO 379DE BASE CÓRDOBA A CARGO DOCTOR ILLESCA ASISTE Y DERIVA A BEBE AL HOSPITAL RAMOS MEJÍA CON DIAGNOSTICO CONVULSIÓN FABRIL SIN RIESGO DE VIDA.</t>
  </si>
  <si>
    <t>SE TOMA CONOCIMIENTO MEDIANTE CARTA SAE N.° 48308997 DE QUE PERSONAL DE TRÁNSITO SOLICITA PRESENCIA POLICIAL EN COOPERACIÓN CON EL MINISTERIO DE DEFENSA. 
SIENDO LAS 22:58., SE VISUALIZA A TRAVÉS DE LA CÁMARA PUERTO MADERO 44, EMPLAZADA EN AV. ALICIA MOREAU DE JUSTO 1150 Y MORENO, PERSONAL DE TRÁNSITO Y PERSONAL POLICIAL EN EL LUGAR. 
SIENDO LAS 23:53., SE RETIRAN DEL LUGAR TANTO EL PERSONAL DE TRÁNSITO COMO EL PERSONAL POLICIAL, DANDO POR FINALIZADO EL EVENTO. POSTERIORMENTE, SE TOMA CONOCIMIENTO MEDIANTE AMPLIACIÓN DE LA CARTA SAE DE QUE EL MÓVIL 1001D INFORMA QUE LOS VEHÍCULOS SE ENCUENTRAN EN DESPLAZAMIENTO HACIA EL BATALLÓN DE ARSENALES, EN LA LOCALIDAD DE BOULOGNE. SE COOPERA CON EL PERSONAL PARA EL TRASLADO DE VEHÍCULOS DE GUERRA.</t>
  </si>
  <si>
    <t>SE TOMA CONOCIMIENTO MEDIANTE LA CARTA SAE N.° 48309023, EN LA QUE LA DENUNCIANTE REFIERE QUE EL PADRE DE SU HIJO SE ENCONTRARÍA AGRESIVO. 
23:05: SE VISUALIZA, MEDIANTE LA CÁMARA SAN NICOLÁS 92, EMPLAZADA EN VIAMONTE 1617 Y DEL CARMEN, EL ARRIBO DE PERSONAL POLICIAL AL LUGAR. 
23:30: SE RETIRA EL PERSONAL POLICIAL, DANDO POR FINALIZADO EL EVENTO. POSTERIORMENTE, SE TOMA CONOCIMIENTO MEDIANTE LA AMPLIACIÓN DE LA CARTA SAE QUE HT ENTREVISTA A LA LLAMANTE, QUIEN MANIFIESTA HABER TENIDO UNA INCIDENCIA CON SU HIJO, SITUACIÓN QUE AL MOMENTO SE ENCONTRABA SOLUCIONADA. ASIMISMO, INDICA QUE EL MISMO SE HABRÍA RETIRADO DEL LUGAR ANTES DEL ARRIBO DEL PERSONAL POLICIAL.</t>
  </si>
  <si>
    <t>SE TOMA CONOCIMIENTO MEDIANTE CARTA SAE N.° 48309105. EL DENUNCIANTE REFIERE QUE ESTARÍA SALIENDO HUMO DE COLOR BLANCO DENTRO DE UN DEPARTAMENTO. 
23:20: SE TOMA CÁMARA SAN TELMO 01, EMPLAZADA EN INDEPENDENCIA 498 Y BOLÍVAR, DONDE SE VISUALIZA A PERSONAL POLICIAL Y BOMBEROS EN EL LUGAR. 
23:54: ARRIBA PERSONAL DEL SAME AL LUGAR Y SE RETIRA LA DOTACIÓN DE BOMBEROS. 
23:57: SE RETIRA EL SAME DEL LUGAR. 
00:17: SE RETIRA EL PERSONAL POLICIAL DEL LUGAR, DANDO POR FINALIZADO EL EVENTO. POSTERIORMENTE, SE TOMA CONOCIMIENTO MEDIANTE LA AMPLIACIÓN DE LA CARTA SAE M-601 QUE ARRIBÓ AL LUGAR PERSONAL DE BOMBEROS DE LA ESTACIÓN 1 PUERTO MADERO, A CARGO DEL CABO LP 73410 GIMÉNEZ, INTERNO MÓVIL 101, CON UNA DOTACIÓN DE 7 EFECTIVOS. SE INFORMA QUE NO EXISTE RIESGO PARA TERCEROS. SE DEJA CONSTANCIA EN EL EXPEDIENTE DE QUE LA SALIDA DE HUMO SE PRODUJO DEBIDO A QUE LOS MORADORES OLVIDARON UNA OLLA CON CARNE SOBRE EL FUEGO. SE ENTREVISTÓ A LA PAREJA RESIDENTE EN EL INMUEBLE.</t>
  </si>
  <si>
    <t>SE TOMA CONOCIMIENTO MEDIANTE LA CARTA SAE N.° 48309155 DE QUE EL DENUNCIANTE REFIERE LA PRESENCIA DE DOS MASCULINOS MERODEANDO DE MANERA SOSPECHOSA EN LAS INMEDIACIONES DE LOS VEHÍCULOS, OBSERVANDO EL INTERIOR DE LOS MISMOS A TRAVÉS DE LAS VENTANILLAS. 
SIENDO LAS 23:33., SE VISUALIZA MEDIANTE LA CÁMARA CONSTITUCIÓN 28, EMPLAZADA EN BRASIL 901 Y TACUARÍ, A UN MASCULINO DE SIMILARES CARACTERÍSTICAS A LAS APORTADAS: CAMPERA GRIS, GORRA Y PANTALÓN NEGRO. LOS INDIVIDUOS SE RETIRAN POR TACUARÍ EN DIRECCIÓN A JUAN DE GARAY. 
SIENDO LAS 23:40., SE VISUALIZA EL ARRIBO DE PERSONAL POLICIAL, MOMENTO EN EL CUAL LOS MASCULINOS SE RETIRAN POR BRASIL EN DIRECCIÓN A BERNARDO DE IRIGOYEN. 
SIENDO LAS 23:42., SE VISUALIZA MEDIANTE LA CÁMARA CONSTITUCIÓN 46, EMPLAZADA EN BRASIL 1002 Y BERNARDO DE IRIGOYEN, A LOS MASCULINOS JUNTO CON PERSONAL POLICIAL, QUIENES LOGRAN INTERCEPTARLOS. 
SIENDO LAS 23:51., LOS MASCULINOS SE RETIRAN POR SUS PROPIOS MEDIOS, DANDO POR FINALIZADO EL EVENTO. POSTERIORMENTE, SE TOMA CONOCIMIENTO MEDIANTE AMPLIACIÓN DE LA CARTA SAE DE QUE EL MÓVIL 1101 INFORMA QUE SE IDENTIFICÓ A DOS MASCULINOS Y UNA FEMENINA, QUIENES CORRESPONDEN CON LAS CARACTERÍSTICAS APORTADAS Y NO REGISTRAN IMPEDIMENTOS. NEGATIVO VEHÍCULOS VIOLENTADOS.</t>
  </si>
  <si>
    <t>SE TOMA CONOCIMIENTO MEDIANTE LA CARTA SAE NUMERO 48309197 HT INFORMA QUE PERSONAL DE ESPACIOS PUBLICOS SOLICITA COOPERACION PARA ODENTIFICAR A UN MACULINO. ARRIBAN UTP Y MOVILES A MARCHA MODERADA. PERSONAL POLICIAL ILESO. 
SIENDO LAS 23:46. SE TOMA CAMARA BARRACASO122 EMPLAZADA EN OSVALDO CRUZ 3195 Y MAGALDI DONDE SE VISUALIZA A PERSONAL DE ESPACIOS PUBLICOS Y PERSONAL POLICIAL EN EL LUGAR.
SIENDO LAS 00:49 PERSONAL POLICIAL SE RETIRA DEL LUGAR DANDO POR FINALIZADO ESTE EVENTO. POSTERIORMENTE CARTA SAE AMPLIA 604D INFORMA QUE SE TRATO DE PERSONA EN SITUACION DE CALLE. SE COOPERO CON PERSONAL DE ESPACIOS PUBLICOS NEGATIVO INCIDENCIA SE SOLICITO PERSONAL A FIN DE RETIRAR A MASCULINO DEL LUGAR. EL MISMO AFUSCADO NO APORTA DATOS.</t>
  </si>
  <si>
    <t>SE TOMA CONOCIMIENTO MEDIANTE CARTA SAE N° 48308853 DENUNCIANTE REFIERE QUE ESCUCHARÍA UNA DETONACIÓN DE UN ARMA DE FUEGO NO SABE SI SERÍA DENTRO DEL EDIFICIO O EN LA VÍA PUBLICA SE ESCUCHARÍAN GRITOS. SIENDO 
22:35 SE TOMA CÁMARA BALVANERA 89 EMPLAZADA EN VIAMONTE 2492 Y LARREA Y SE VISUALIZA PERSONAL POLICIAL EN EL LUGAR. POSTERIOR 
22:47 SE TOMA CÁMARA BALVANERA 70 EMPLAZADA BEN LARREA 395 Y CORRIENTES Y SE VISUALIZA SAME EN EL LUGAR. 
SE REALIZA LÍNEA DE TIEMPO POR CÁMARA BALVANERA 89 DOMO CAM01 02 03 Y NO SE LOGRA VISUALIZAR IMÁGENES DE RELEVANCIA. 
23:07 SE RETIRA SAME NO SE VISUALIZA TRASLADO.
00:08 SE RETIRA PERSONAL POLICIAL CON TRASLADO DANDO ASÍ POR FINALIZADO ESTE EVENTO. POSTERIOR SE AMPLÍA POR CARTA SAE QUE 203C CONSULTA FISCALÍA CRIMINAL CORRECCIONAL N° 11 A CARGO DR TOGNI SECRETARIA A CARGO DR PATRAO ACTUACIONES POR TENTATIVA DE ROBO Y LESIONES DISPONE UCM COMPLETO Y BALÍSTICA AL QTH IMPLANTA CONSIGNA OFICIAL ORQUERA LP 35970 NR POC 1144348414 203C INFORMA ARRIBO SAME INTERNO 380 BASE CÓRDOBA A CARGO DOCTOR ALEC MN198705 ASISTE Y NO DERIVA A LAS 3 DAMNIFICADOS DIAGNOSTICO LA FEMENINA TRAUMA MANO IZQUIERDO EL MASCULINO Y SU DIAGNÓSTICO HIJA CONTROL CLÍNICO.</t>
  </si>
  <si>
    <t>SE TOMA CONOCIMIENTO MEDIANTE CARTA SAE N°48308921 DENUNCIANTE PERSONAL POLICIAL SALIENTE DE SERVICIO REFIERE QUE LE HABRÍAN ROBADO EN ARMAMENTO Y EL CHALECO EN CONDARCO Y SALVATIERRA. ESTARÍA HERIDO EN EL ROSTRO. LOS AUTORES ESTARÍAN EN TRES MOTOVEHÍCULOS Y SE RETIRAN POR ZABALA SENTIDO A ESTACION. 
SIENDO LAS 22:42. SE TOMA CÁMARA PATERNAL28 EMPLAZADA EN PAZ SOLDAN 1505 Y CONSTITUYENTES SIN VISUALIZAR IMAGENES DE RELEVANCIA. SE PROCEDE A REALIZAR LÍNEA DE TIEMPO MEDIANTE CÁMARAS ALEDAÑAS. 
SIENDO LAS 22:22. MEDIANTE CÁMARA PATERNAL28 CAM01 Y CAM02. SE VISUALIZA EL PASO DE UN PRIMER MOTOVEHÍCULO COLOR NEGRO PROVENIENTE DESDE EL QTH POR DR. JOAQUIN ZABALA TOMANDO AVENIDA CONSTITUYENTES PARA POSTERIOMENTE TOMAR AVENIDA WARNES SENTIDO A CHORROARIN. SEGUIDAMENTE MEDIANTE CÁMARA EN MENCIÓN SE VISUALIZA EL PASO DE DOS MOTOVEHÍCULOS PROVENIENTES DEL QTH REALIZANDO MISMO RECORRIDO. POSTERIORMENTE 
22:26:18. CÁMARA AGRONOMIA06 CAM02 EMPLAZADA EN CHORROARÍN 188 Y WARNES SE VISUALIZA EL PASO DE LOS MOTOVEHÍCULOS POR CHORROARÍN TOMANDO WARNES SENTIDO A AVENIDA SAN MARTIN. CÁMARA VILLA DEL PARQUE33 CAM02 EMPLAZADA EN AVENIDA SAN MARTIN 4096 Y BASILIO CITTADI 
SIENDO LAS 22:26:46. SE VISUALIZA A LOS MOTOVEHÍCULOS DESDE CHORROARÍN TOMANDO AVENIDA SAN MARTIN HACIA GENERAL RIVAS. 
22:30:26. MEDIANTE CÁMARA VILLA DEVOTO04 CAM02 Y CAM03 EMPLAZADA EN AVENIDA SAN MARTÍN 7465 Y GENERAL PAZ EL PASO DE LOS MOTOVEHÍCULOS POR AVENIDA SAN MARTIN HACIA AVENIDA GENERAL PAZ CRUZANDO ESTA ÚLTIMA SENTIDO A PROVINCIA PERDIÉNDOSE DE LA VISUAL DE LAS CÁMARAS. SE FINALIZA LÍNEA DE TIEMPO. SE DA POR FINALIZADO ESTE EVENTO SIN VISUALIZAR RECURSOS. POSTERIORMENTE SE TOMA CONOCIMIENTO MEDIANTE AMPLIACIÓN SAE QUE MÓVIL 615A EN EL LUGAR EL PERSONAL SE ENCONTRABA CIRCULANDO POR ZABALA MANO CONSTITUYENTE 100 METROS DE CONSTITUYENTES UN MOTOVEHÍCULO SE COLOCA EN FRENTE Y DOS DE COSTADO EL MOTOVEHÍCULO LADO ACOMPAÑANTE ROMPE EL CRISTAL Y SUSTRAE TABLET Y EL DEL LADO DEL CONDUCTOR A PUNTA DE PISTOLA LE SUSTRAE EL ARMA REGLAMENTARIA Y EL CHALECO. SE REALIZA CONSULTA CON LA FISCALÍA N°56 A CARGO DEL DOCTOR ORFILIA SECRETARÍA ÚNICA A CARGO DEL DOCTOR DESIMONE MARCOS ACTUACIONES POR ROBO.</t>
  </si>
  <si>
    <t>SE TOMA CONOCIMIENTO MEDIANTE CARTA SAE N° 48309208 QUE DENUNCIANTE REFIERE QUE SALDRÍA FUEGO DEL HORNO. MENCIONA QUE HABRÍA ABANDONADO EL DEPARTAMENTO Y POR EL BALCÓN VISUALIZA QUE SALDRÍA HUMO GRIS. 
SIENDO LAS 23:53. SE TOMA CÁMARA COGHLAN46 EMPLAZADA EN RICARDO BALBÍN 2602 Y ROOSEVELT DONDE SE VISUALIZA A PERSONAL POLICIAL Y BOMBEROS EN EL LUGAR. 
00:00. ARRIBA SAME. 
00:18. SE RETIRA SAME. 
00:23. SE RETIRA BOMBEROS. 
00:44. SE RETIRA PERSONAL POLICIAL DANDO ASI POR FINALIZADO ESTE EVENTO. POSTERIORMENTE SE AMPLÍA MEDIANTE CARTA SAE QUE SECTOR 4 AL LUGAR ARRIBO BOMBEROS INTERNO 2673 ESTACIÓN V TENIENTE LP 74359 DESIO HECTOR QUIEN INDICA CONSTANCIA EN PARTE. ASI MISMO ARRIBO SAME INTERNO 406 DOCTORA SOLÍS MATRICULA N° 158790. SECTOR 4 EN EL LUGAR INFORMA SE ENCONTRABA COCINANDO Y SE HABRÍA QUEMADO LA COMIDA. ESTE EVENTO FUE MONITOREADO POR RIGONI VALENTINA DNI 45756657.</t>
  </si>
  <si>
    <t>SE TOMA CONOCIMIENTO MEDIANTE CARTA SAE N°48309218. DENUNCIANTE REFIERE QUE SU EX PAREJA ESTARIA VIOLENTO ARROJANDO PIEDRAS. 
23:50. SE TOMA CAMARA FLORES05 EMPLAZADA EN LAFUENTE 1291 Y ZUVIRIA VISUALIZANDOSE A FEMENINO APARENTE DAMNIFICADO EN QTH. 
00:03. ARRIBA PERSONAL POLICIAL. 
00:46. SE RETIRA PERSONAL POLICIAL CON TRASLADO DE FEMENINO DANDO ASI POR FINALIZADO ESTE EVENTO. POSTERIORMENTE SE TOMA CONOCIMIENTO MEDIANTE AMPLIACION SAE 907 UNIDAD DE FLAGRANCIA OESTE A CARGO DOCTORA TAMARA CRISTIN SECRETARIA UNICA ACTUACIONES DESOBEDIENCIA ARTICULO 239 ARTICULO 89 TRASLADO AL FEMENINO A OFICINAS DE VIOLENCIA DE GENERO NOTA DE MEDICO LEGISTA Y BOTON ANTIPANICO CONSIGNA OFICIAL 29095 MAGALI AVILA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</si>
</sst>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9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rgb="FF000000"/>
      <name val="Calibri"/>
      <family val="2"/>
    </font>
    <font>
      <sz val="11"/>
      <color theme="1"/>
      <name val="Calibri"/>
      <family val="2"/>
    </font>
    <font>
      <sz val="12"/>
      <color theme="1"/>
      <name val="Calibri"/>
      <family val="2"/>
      <scheme val="minor"/>
    </font>
    <font>
      <sz val="10"/>
      <color theme="1"/>
      <name val="Arial"/>
      <family val="2"/>
    </font>
    <font>
      <sz val="11"/>
      <name val="Calibri"/>
      <family val="2"/>
      <scheme val="minor"/>
    </font>
    <font>
      <sz val="12"/>
      <color rgb="FF000000"/>
      <name val="Calibri"/>
      <family val="2"/>
      <scheme val="minor"/>
    </font>
    <font>
      <sz val="11"/>
      <name val="Calibri"/>
      <family val="2"/>
    </font>
    <font>
      <sz val="10"/>
      <color rgb="FF000000"/>
      <name val="Calibri"/>
      <family val="2"/>
    </font>
    <font>
      <sz val="10"/>
      <name val="Microsoft Tai Le"/>
      <family val="2"/>
    </font>
    <font>
      <b/>
      <sz val="12"/>
      <color theme="1"/>
      <name val="Calibri"/>
      <family val="2"/>
      <scheme val="minor"/>
    </font>
    <font>
      <b/>
      <sz val="12"/>
      <color indexed="8"/>
      <name val="Calibri"/>
      <family val="2"/>
    </font>
    <font>
      <b/>
      <sz val="10"/>
      <color rgb="FF000000"/>
      <name val="Liberation Sans"/>
      <family val="2"/>
    </font>
    <font>
      <sz val="10"/>
      <color rgb="FFFFFFFF"/>
      <name val="Liberation Sans"/>
      <family val="2"/>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family val="2"/>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family val="2"/>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family val="2"/>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family val="2"/>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family val="2"/>
    </font>
    <font>
      <b/>
      <i/>
      <sz val="16"/>
      <color rgb="FF000000"/>
      <name val="Arial"/>
      <family val="2"/>
    </font>
    <font>
      <b/>
      <sz val="24"/>
      <color rgb="FF000000"/>
      <name val="Liberation Sans"/>
      <family val="2"/>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family val="2"/>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family val="2"/>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family val="2"/>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family val="2"/>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family val="2"/>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family val="2"/>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family val="2"/>
    </font>
    <font>
      <b/>
      <i/>
      <u/>
      <sz val="11"/>
      <color rgb="FF000000"/>
      <name val="Arial1"/>
      <charset val="134"/>
    </font>
    <font>
      <sz val="11"/>
      <color theme="1"/>
      <name val="Calibri"/>
      <family val="2"/>
      <scheme val="minor"/>
    </font>
    <font>
      <sz val="10"/>
      <color rgb="FFF9FAFB"/>
      <name val="Consolas"/>
      <family val="3"/>
    </font>
    <font>
      <b/>
      <sz val="12"/>
      <color indexed="8"/>
      <name val="Calibri"/>
      <family val="2"/>
    </font>
    <font>
      <b/>
      <i/>
      <sz val="11"/>
      <color theme="1"/>
      <name val="Calibri"/>
      <family val="2"/>
      <scheme val="minor"/>
    </font>
    <font>
      <sz val="11"/>
      <color theme="1"/>
      <name val="Calibri"/>
      <family val="2"/>
      <charset val="134"/>
      <scheme val="minor"/>
    </font>
  </fonts>
  <fills count="32">
    <fill>
      <patternFill patternType="none"/>
    </fill>
    <fill>
      <patternFill patternType="gray125"/>
    </fill>
    <fill>
      <patternFill patternType="solid">
        <fgColor theme="0" tint="-0.249977111117893"/>
        <bgColor indexed="64"/>
      </patternFill>
    </fill>
    <fill>
      <patternFill patternType="solid">
        <fgColor rgb="FFA6A6A6"/>
        <bgColor indexed="64"/>
      </patternFill>
    </fill>
    <fill>
      <patternFill patternType="solid">
        <fgColor rgb="FFBFBFBF"/>
        <bgColor rgb="FF000000"/>
      </patternFill>
    </fill>
    <fill>
      <patternFill patternType="solid">
        <fgColor theme="9" tint="0.59999389629810485"/>
        <bgColor indexed="64"/>
      </patternFill>
    </fill>
    <fill>
      <patternFill patternType="solid">
        <fgColor theme="7" tint="0.59999389629810485"/>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thin">
        <color auto="1"/>
      </left>
      <right/>
      <top/>
      <bottom/>
      <diagonal/>
    </border>
    <border>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s>
  <cellStyleXfs count="427">
    <xf numFmtId="0" fontId="0" fillId="0" borderId="0"/>
    <xf numFmtId="0" fontId="19" fillId="0" borderId="0" applyNumberFormat="0" applyBorder="0" applyProtection="0"/>
    <xf numFmtId="0" fontId="20" fillId="10" borderId="0" applyNumberFormat="0" applyBorder="0" applyProtection="0"/>
    <xf numFmtId="0" fontId="21" fillId="11" borderId="0" applyBorder="0" applyProtection="0"/>
    <xf numFmtId="164" fontId="22" fillId="11" borderId="0" applyBorder="0" applyProtection="0"/>
    <xf numFmtId="164" fontId="23" fillId="12" borderId="0" applyBorder="0" applyProtection="0"/>
    <xf numFmtId="164" fontId="23" fillId="12" borderId="0" applyBorder="0" applyProtection="0"/>
    <xf numFmtId="164" fontId="24" fillId="13" borderId="0"/>
    <xf numFmtId="164" fontId="24" fillId="13" borderId="0"/>
    <xf numFmtId="164" fontId="25" fillId="10" borderId="0"/>
    <xf numFmtId="0" fontId="26" fillId="10" borderId="0"/>
    <xf numFmtId="0" fontId="27" fillId="10" borderId="0"/>
    <xf numFmtId="164" fontId="28" fillId="12" borderId="0" applyBorder="0" applyProtection="0"/>
    <xf numFmtId="164" fontId="28" fillId="12" borderId="0" applyBorder="0" applyProtection="0"/>
    <xf numFmtId="164" fontId="29" fillId="13" borderId="0"/>
    <xf numFmtId="164" fontId="29" fillId="13" borderId="0"/>
    <xf numFmtId="164" fontId="28" fillId="12" borderId="0" applyBorder="0" applyProtection="0"/>
    <xf numFmtId="164" fontId="28" fillId="12" borderId="0" applyBorder="0" applyProtection="0"/>
    <xf numFmtId="164" fontId="29" fillId="13" borderId="0"/>
    <xf numFmtId="164" fontId="29" fillId="13" borderId="0"/>
    <xf numFmtId="164" fontId="30" fillId="11" borderId="0" applyBorder="0" applyProtection="0"/>
    <xf numFmtId="164" fontId="31" fillId="10" borderId="0"/>
    <xf numFmtId="0" fontId="21" fillId="11" borderId="0" applyBorder="0" applyProtection="0"/>
    <xf numFmtId="0" fontId="27" fillId="10" borderId="0"/>
    <xf numFmtId="0" fontId="20" fillId="14" borderId="0" applyNumberFormat="0" applyBorder="0" applyProtection="0"/>
    <xf numFmtId="0" fontId="21" fillId="15" borderId="0" applyBorder="0" applyProtection="0"/>
    <xf numFmtId="0" fontId="21" fillId="15" borderId="0" applyBorder="0" applyProtection="0"/>
    <xf numFmtId="0" fontId="27" fillId="14" borderId="0"/>
    <xf numFmtId="0" fontId="27" fillId="14" borderId="0"/>
    <xf numFmtId="0" fontId="21" fillId="15" borderId="0" applyBorder="0" applyProtection="0"/>
    <xf numFmtId="164" fontId="22" fillId="15" borderId="0" applyBorder="0" applyProtection="0"/>
    <xf numFmtId="164" fontId="23" fillId="15" borderId="0" applyBorder="0" applyProtection="0"/>
    <xf numFmtId="164" fontId="23" fillId="15" borderId="0" applyBorder="0" applyProtection="0"/>
    <xf numFmtId="164" fontId="24" fillId="14" borderId="0"/>
    <xf numFmtId="164" fontId="24" fillId="14" borderId="0"/>
    <xf numFmtId="164" fontId="22" fillId="15" borderId="0" applyBorder="0" applyProtection="0"/>
    <xf numFmtId="164" fontId="25" fillId="14" borderId="0"/>
    <xf numFmtId="164" fontId="25" fillId="14" borderId="0"/>
    <xf numFmtId="0" fontId="26" fillId="14" borderId="0"/>
    <xf numFmtId="0" fontId="27" fillId="14" borderId="0"/>
    <xf numFmtId="164" fontId="28" fillId="15" borderId="0" applyBorder="0" applyProtection="0"/>
    <xf numFmtId="164" fontId="28" fillId="15" borderId="0" applyBorder="0" applyProtection="0"/>
    <xf numFmtId="164" fontId="29" fillId="14" borderId="0"/>
    <xf numFmtId="164" fontId="29" fillId="14" borderId="0"/>
    <xf numFmtId="164" fontId="28" fillId="15" borderId="0" applyBorder="0" applyProtection="0"/>
    <xf numFmtId="164" fontId="28" fillId="15" borderId="0" applyBorder="0" applyProtection="0"/>
    <xf numFmtId="164" fontId="29" fillId="14" borderId="0"/>
    <xf numFmtId="164" fontId="29" fillId="14" borderId="0"/>
    <xf numFmtId="164" fontId="30" fillId="15" borderId="0" applyBorder="0" applyProtection="0"/>
    <xf numFmtId="164" fontId="30" fillId="15" borderId="0" applyBorder="0" applyProtection="0"/>
    <xf numFmtId="164" fontId="31" fillId="14" borderId="0"/>
    <xf numFmtId="164" fontId="31" fillId="14" borderId="0"/>
    <xf numFmtId="0" fontId="19" fillId="16" borderId="0" applyNumberFormat="0" applyBorder="0" applyProtection="0"/>
    <xf numFmtId="164" fontId="32" fillId="17" borderId="0" applyBorder="0" applyProtection="0"/>
    <xf numFmtId="164" fontId="32" fillId="17" borderId="0" applyBorder="0" applyProtection="0"/>
    <xf numFmtId="164" fontId="33" fillId="18" borderId="0"/>
    <xf numFmtId="164" fontId="33" fillId="18" borderId="0"/>
    <xf numFmtId="0" fontId="34" fillId="19" borderId="0" applyBorder="0" applyProtection="0"/>
    <xf numFmtId="0" fontId="34" fillId="19" borderId="0" applyBorder="0" applyProtection="0"/>
    <xf numFmtId="0" fontId="35" fillId="16" borderId="0"/>
    <xf numFmtId="0" fontId="35" fillId="16" borderId="0"/>
    <xf numFmtId="0" fontId="34" fillId="19" borderId="0" applyBorder="0" applyProtection="0"/>
    <xf numFmtId="164" fontId="36" fillId="17" borderId="0" applyBorder="0" applyProtection="0"/>
    <xf numFmtId="164" fontId="37" fillId="19" borderId="0" applyBorder="0" applyProtection="0"/>
    <xf numFmtId="164" fontId="37" fillId="19" borderId="0" applyBorder="0" applyProtection="0"/>
    <xf numFmtId="164" fontId="38" fillId="16" borderId="0"/>
    <xf numFmtId="164" fontId="38" fillId="16" borderId="0"/>
    <xf numFmtId="164" fontId="36" fillId="17" borderId="0" applyBorder="0" applyProtection="0"/>
    <xf numFmtId="164" fontId="39" fillId="18" borderId="0"/>
    <xf numFmtId="164" fontId="39" fillId="18" borderId="0"/>
    <xf numFmtId="0" fontId="40" fillId="16" borderId="0"/>
    <xf numFmtId="0" fontId="35" fillId="16" borderId="0"/>
    <xf numFmtId="164" fontId="41" fillId="19" borderId="0" applyBorder="0" applyProtection="0"/>
    <xf numFmtId="164" fontId="41" fillId="19" borderId="0" applyBorder="0" applyProtection="0"/>
    <xf numFmtId="164" fontId="42" fillId="16" borderId="0"/>
    <xf numFmtId="164" fontId="42" fillId="16" borderId="0"/>
    <xf numFmtId="164" fontId="41" fillId="19" borderId="0" applyBorder="0" applyProtection="0"/>
    <xf numFmtId="164" fontId="41" fillId="19" borderId="0" applyBorder="0" applyProtection="0"/>
    <xf numFmtId="164" fontId="42" fillId="16" borderId="0"/>
    <xf numFmtId="164" fontId="42" fillId="16" borderId="0"/>
    <xf numFmtId="164" fontId="36" fillId="0" borderId="0" applyBorder="0" applyProtection="0"/>
    <xf numFmtId="164" fontId="37" fillId="0" borderId="0" applyBorder="0" applyProtection="0"/>
    <xf numFmtId="164" fontId="38" fillId="0" borderId="0"/>
    <xf numFmtId="164" fontId="39" fillId="0" borderId="0"/>
    <xf numFmtId="164" fontId="41" fillId="0" borderId="0" applyBorder="0" applyProtection="0"/>
    <xf numFmtId="164" fontId="42" fillId="0" borderId="0"/>
    <xf numFmtId="164" fontId="41" fillId="0" borderId="0" applyBorder="0" applyProtection="0"/>
    <xf numFmtId="164" fontId="42" fillId="0" borderId="0"/>
    <xf numFmtId="164" fontId="32" fillId="0" borderId="0" applyBorder="0" applyProtection="0"/>
    <xf numFmtId="164" fontId="33" fillId="0" borderId="0"/>
    <xf numFmtId="0" fontId="34" fillId="0" borderId="0" applyBorder="0" applyProtection="0"/>
    <xf numFmtId="0" fontId="35" fillId="0" borderId="0"/>
    <xf numFmtId="0" fontId="40" fillId="0" borderId="0"/>
    <xf numFmtId="0" fontId="34" fillId="0" borderId="0" applyBorder="0" applyProtection="0"/>
    <xf numFmtId="0" fontId="35" fillId="0" borderId="0"/>
    <xf numFmtId="0" fontId="43" fillId="20" borderId="0" applyNumberFormat="0" applyBorder="0" applyProtection="0"/>
    <xf numFmtId="164" fontId="44" fillId="21" borderId="0" applyBorder="0" applyProtection="0"/>
    <xf numFmtId="164" fontId="45" fillId="20" borderId="0"/>
    <xf numFmtId="164" fontId="46" fillId="22" borderId="0" applyBorder="0" applyProtection="0"/>
    <xf numFmtId="164" fontId="47" fillId="23" borderId="0"/>
    <xf numFmtId="0" fontId="48" fillId="21" borderId="0" applyBorder="0" applyProtection="0"/>
    <xf numFmtId="0" fontId="49" fillId="20" borderId="0"/>
    <xf numFmtId="0" fontId="48" fillId="21" borderId="0" applyBorder="0" applyProtection="0"/>
    <xf numFmtId="164" fontId="50" fillId="22" borderId="0" applyBorder="0" applyProtection="0"/>
    <xf numFmtId="164" fontId="51" fillId="21" borderId="0" applyBorder="0" applyProtection="0"/>
    <xf numFmtId="164" fontId="52" fillId="20" borderId="0"/>
    <xf numFmtId="164" fontId="53" fillId="23" borderId="0"/>
    <xf numFmtId="0" fontId="54" fillId="20" borderId="0"/>
    <xf numFmtId="0" fontId="49" fillId="20" borderId="0"/>
    <xf numFmtId="164" fontId="44" fillId="21" borderId="0" applyBorder="0" applyProtection="0"/>
    <xf numFmtId="164" fontId="45" fillId="20" borderId="0"/>
    <xf numFmtId="0" fontId="55" fillId="24" borderId="0" applyNumberFormat="0" applyBorder="0" applyProtection="0"/>
    <xf numFmtId="164" fontId="56" fillId="25" borderId="0" applyBorder="0" applyProtection="0"/>
    <xf numFmtId="164" fontId="57" fillId="24" borderId="0"/>
    <xf numFmtId="164" fontId="56" fillId="25" borderId="0" applyBorder="0" applyProtection="0"/>
    <xf numFmtId="164" fontId="57" fillId="24" borderId="0"/>
    <xf numFmtId="164" fontId="58" fillId="26" borderId="0" applyBorder="0" applyProtection="0"/>
    <xf numFmtId="164" fontId="59" fillId="27" borderId="0"/>
    <xf numFmtId="0" fontId="60" fillId="25" borderId="0" applyBorder="0" applyProtection="0"/>
    <xf numFmtId="0" fontId="61" fillId="24" borderId="0"/>
    <xf numFmtId="0" fontId="60" fillId="25" borderId="0" applyBorder="0" applyProtection="0"/>
    <xf numFmtId="164" fontId="62" fillId="26" borderId="0" applyBorder="0" applyProtection="0"/>
    <xf numFmtId="164" fontId="63" fillId="25" borderId="0" applyBorder="0" applyProtection="0"/>
    <xf numFmtId="164" fontId="64" fillId="24" borderId="0"/>
    <xf numFmtId="164" fontId="65" fillId="27" borderId="0"/>
    <xf numFmtId="0" fontId="66" fillId="24" borderId="0"/>
    <xf numFmtId="0" fontId="61" fillId="24" borderId="0"/>
    <xf numFmtId="164" fontId="8" fillId="0" borderId="0"/>
    <xf numFmtId="164" fontId="67" fillId="0" borderId="0"/>
    <xf numFmtId="164" fontId="68" fillId="0" borderId="0" applyBorder="0" applyProtection="0"/>
    <xf numFmtId="0" fontId="7" fillId="0" borderId="0" applyBorder="0" applyProtection="0"/>
    <xf numFmtId="164" fontId="8" fillId="0" borderId="0" applyBorder="0" applyProtection="0"/>
    <xf numFmtId="164" fontId="8" fillId="0" borderId="0" applyBorder="0" applyProtection="0"/>
    <xf numFmtId="0" fontId="69" fillId="0" borderId="0" applyNumberFormat="0" applyBorder="0" applyProtection="0"/>
    <xf numFmtId="164" fontId="70" fillId="0" borderId="0" applyBorder="0" applyProtection="0"/>
    <xf numFmtId="164" fontId="71" fillId="0" borderId="0"/>
    <xf numFmtId="164" fontId="70" fillId="0" borderId="0" applyBorder="0" applyProtection="0"/>
    <xf numFmtId="164" fontId="71" fillId="0" borderId="0"/>
    <xf numFmtId="164" fontId="70" fillId="0" borderId="0" applyBorder="0" applyProtection="0"/>
    <xf numFmtId="164" fontId="71" fillId="0" borderId="0"/>
    <xf numFmtId="0" fontId="72" fillId="0" borderId="0" applyBorder="0" applyProtection="0"/>
    <xf numFmtId="0" fontId="73" fillId="0" borderId="0"/>
    <xf numFmtId="0" fontId="72" fillId="0" borderId="0" applyBorder="0" applyProtection="0"/>
    <xf numFmtId="164" fontId="74" fillId="0" borderId="0" applyBorder="0" applyProtection="0"/>
    <xf numFmtId="164" fontId="74" fillId="0" borderId="0" applyBorder="0" applyProtection="0"/>
    <xf numFmtId="164" fontId="75" fillId="0" borderId="0"/>
    <xf numFmtId="164" fontId="75" fillId="0" borderId="0"/>
    <xf numFmtId="0" fontId="76" fillId="0" borderId="0"/>
    <xf numFmtId="0" fontId="73" fillId="0" borderId="0"/>
    <xf numFmtId="0" fontId="77" fillId="28" borderId="0" applyNumberFormat="0" applyBorder="0" applyProtection="0"/>
    <xf numFmtId="164" fontId="78" fillId="29" borderId="0" applyBorder="0" applyProtection="0"/>
    <xf numFmtId="164" fontId="79" fillId="28" borderId="0"/>
    <xf numFmtId="164" fontId="78" fillId="29" borderId="0" applyBorder="0" applyProtection="0"/>
    <xf numFmtId="164" fontId="79" fillId="28" borderId="0"/>
    <xf numFmtId="164" fontId="80" fillId="29" borderId="0" applyBorder="0" applyProtection="0"/>
    <xf numFmtId="164" fontId="81" fillId="28" borderId="0"/>
    <xf numFmtId="0" fontId="82" fillId="29" borderId="0" applyBorder="0" applyProtection="0"/>
    <xf numFmtId="0" fontId="83" fillId="28" borderId="0"/>
    <xf numFmtId="0" fontId="82" fillId="29" borderId="0" applyBorder="0" applyProtection="0"/>
    <xf numFmtId="164" fontId="84" fillId="29" borderId="0" applyBorder="0" applyProtection="0"/>
    <xf numFmtId="164" fontId="85" fillId="29" borderId="0" applyBorder="0" applyProtection="0"/>
    <xf numFmtId="164" fontId="86" fillId="28" borderId="0"/>
    <xf numFmtId="164" fontId="87" fillId="28" borderId="0"/>
    <xf numFmtId="0" fontId="88" fillId="28" borderId="0"/>
    <xf numFmtId="0" fontId="83" fillId="28" borderId="0"/>
    <xf numFmtId="0" fontId="89" fillId="0" borderId="0" applyNumberFormat="0" applyFont="0" applyFill="0" applyBorder="0" applyAlignment="0" applyProtection="0"/>
    <xf numFmtId="0" fontId="90" fillId="0" borderId="0" applyNumberFormat="0" applyFont="0" applyBorder="0" applyProtection="0"/>
    <xf numFmtId="0" fontId="91" fillId="0" borderId="0" applyNumberFormat="0" applyBorder="0" applyProtection="0">
      <alignment horizontal="center"/>
    </xf>
    <xf numFmtId="0" fontId="92" fillId="0" borderId="0" applyNumberFormat="0" applyBorder="0" applyProtection="0"/>
    <xf numFmtId="164" fontId="93" fillId="0" borderId="0"/>
    <xf numFmtId="164" fontId="94" fillId="0" borderId="0" applyBorder="0" applyProtection="0"/>
    <xf numFmtId="164" fontId="93" fillId="0" borderId="0"/>
    <xf numFmtId="164" fontId="95" fillId="0" borderId="0" applyBorder="0" applyProtection="0"/>
    <xf numFmtId="164" fontId="96" fillId="0" borderId="0"/>
    <xf numFmtId="164" fontId="95" fillId="0" borderId="0" applyBorder="0" applyProtection="0"/>
    <xf numFmtId="164" fontId="96" fillId="0" borderId="0"/>
    <xf numFmtId="164" fontId="94" fillId="0" borderId="0" applyBorder="0" applyProtection="0"/>
    <xf numFmtId="164" fontId="93" fillId="0" borderId="0"/>
    <xf numFmtId="0" fontId="97" fillId="0" borderId="0" applyBorder="0" applyProtection="0"/>
    <xf numFmtId="0" fontId="98" fillId="0" borderId="0"/>
    <xf numFmtId="0" fontId="97" fillId="0" borderId="0" applyBorder="0" applyProtection="0"/>
    <xf numFmtId="164" fontId="99" fillId="0" borderId="0" applyBorder="0" applyProtection="0"/>
    <xf numFmtId="164" fontId="100" fillId="0" borderId="0" applyBorder="0" applyProtection="0"/>
    <xf numFmtId="164" fontId="101" fillId="0" borderId="0"/>
    <xf numFmtId="164" fontId="102" fillId="0" borderId="0"/>
    <xf numFmtId="0" fontId="103" fillId="0" borderId="0"/>
    <xf numFmtId="0" fontId="103" fillId="0" borderId="0"/>
    <xf numFmtId="0" fontId="98" fillId="0" borderId="0"/>
    <xf numFmtId="0" fontId="104" fillId="0" borderId="0" applyNumberFormat="0" applyBorder="0" applyProtection="0"/>
    <xf numFmtId="164" fontId="105" fillId="0" borderId="0" applyBorder="0" applyProtection="0"/>
    <xf numFmtId="164" fontId="106" fillId="0" borderId="0"/>
    <xf numFmtId="164" fontId="105" fillId="0" borderId="0" applyBorder="0" applyProtection="0"/>
    <xf numFmtId="164" fontId="106" fillId="0" borderId="0"/>
    <xf numFmtId="164" fontId="107" fillId="0" borderId="0" applyBorder="0" applyProtection="0"/>
    <xf numFmtId="164" fontId="108" fillId="0" borderId="0"/>
    <xf numFmtId="0" fontId="109" fillId="0" borderId="0" applyBorder="0" applyProtection="0"/>
    <xf numFmtId="0" fontId="110" fillId="0" borderId="0"/>
    <xf numFmtId="0" fontId="109" fillId="0" borderId="0" applyBorder="0" applyProtection="0"/>
    <xf numFmtId="164" fontId="111" fillId="0" borderId="0" applyBorder="0" applyProtection="0"/>
    <xf numFmtId="164" fontId="112" fillId="0" borderId="0" applyBorder="0" applyProtection="0"/>
    <xf numFmtId="164" fontId="113" fillId="0" borderId="0"/>
    <xf numFmtId="164" fontId="114" fillId="0" borderId="0"/>
    <xf numFmtId="0" fontId="115" fillId="0" borderId="0"/>
    <xf numFmtId="0" fontId="110" fillId="0" borderId="0"/>
    <xf numFmtId="0" fontId="116" fillId="0" borderId="0" applyNumberFormat="0" applyBorder="0" applyProtection="0"/>
    <xf numFmtId="164" fontId="117" fillId="0" borderId="0" applyBorder="0" applyProtection="0"/>
    <xf numFmtId="164" fontId="118" fillId="0" borderId="0"/>
    <xf numFmtId="164" fontId="117" fillId="0" borderId="0" applyBorder="0" applyProtection="0"/>
    <xf numFmtId="164" fontId="118" fillId="0" borderId="0"/>
    <xf numFmtId="164" fontId="119" fillId="0" borderId="0" applyBorder="0" applyProtection="0"/>
    <xf numFmtId="164" fontId="120" fillId="0" borderId="0"/>
    <xf numFmtId="0" fontId="121" fillId="0" borderId="0" applyBorder="0" applyProtection="0"/>
    <xf numFmtId="0" fontId="122" fillId="0" borderId="0"/>
    <xf numFmtId="0" fontId="121" fillId="0" borderId="0" applyBorder="0" applyProtection="0"/>
    <xf numFmtId="164" fontId="123" fillId="0" borderId="0" applyBorder="0" applyProtection="0"/>
    <xf numFmtId="164" fontId="124" fillId="0" borderId="0" applyBorder="0" applyProtection="0"/>
    <xf numFmtId="164" fontId="125" fillId="0" borderId="0"/>
    <xf numFmtId="164" fontId="126" fillId="0" borderId="0"/>
    <xf numFmtId="0" fontId="127" fillId="0" borderId="0"/>
    <xf numFmtId="0" fontId="122" fillId="0" borderId="0"/>
    <xf numFmtId="0" fontId="128" fillId="0" borderId="0" applyNumberFormat="0" applyBorder="0" applyProtection="0">
      <alignment horizontal="center"/>
    </xf>
    <xf numFmtId="0" fontId="92" fillId="0" borderId="0" applyNumberFormat="0" applyBorder="0" applyProtection="0"/>
    <xf numFmtId="0" fontId="92" fillId="0" borderId="0" applyNumberFormat="0" applyBorder="0" applyProtection="0"/>
    <xf numFmtId="0" fontId="92" fillId="0" borderId="0" applyNumberFormat="0" applyBorder="0" applyProtection="0"/>
    <xf numFmtId="0" fontId="129" fillId="0" borderId="0">
      <alignment horizontal="center"/>
    </xf>
    <xf numFmtId="0" fontId="129" fillId="0" borderId="0">
      <alignment horizontal="center"/>
    </xf>
    <xf numFmtId="0" fontId="130" fillId="0" borderId="0">
      <alignment horizontal="center"/>
    </xf>
    <xf numFmtId="0" fontId="91" fillId="0" borderId="0" applyNumberFormat="0" applyBorder="0" applyProtection="0">
      <alignment horizontal="center" textRotation="90"/>
    </xf>
    <xf numFmtId="0" fontId="131" fillId="0" borderId="0" applyBorder="0" applyProtection="0">
      <alignment horizontal="center" textRotation="90"/>
    </xf>
    <xf numFmtId="164" fontId="94" fillId="0" borderId="0" applyBorder="0" applyProtection="0">
      <alignment horizontal="right" textRotation="90"/>
    </xf>
    <xf numFmtId="164" fontId="93" fillId="0" borderId="0">
      <alignment horizontal="right" textRotation="90"/>
    </xf>
    <xf numFmtId="0" fontId="130" fillId="0" borderId="0">
      <alignment horizontal="center" textRotation="90"/>
    </xf>
    <xf numFmtId="164" fontId="93" fillId="0" borderId="0">
      <alignment horizontal="right" textRotation="90"/>
    </xf>
    <xf numFmtId="164" fontId="132" fillId="0" borderId="0" applyBorder="0" applyProtection="0">
      <alignment horizontal="center" textRotation="90"/>
    </xf>
    <xf numFmtId="164" fontId="133" fillId="0" borderId="0">
      <alignment horizontal="center" textRotation="90"/>
    </xf>
    <xf numFmtId="164" fontId="95" fillId="0" borderId="0" applyBorder="0" applyProtection="0">
      <alignment horizontal="right" textRotation="90"/>
    </xf>
    <xf numFmtId="164" fontId="96" fillId="0" borderId="0">
      <alignment horizontal="right" textRotation="90"/>
    </xf>
    <xf numFmtId="0" fontId="128" fillId="0" borderId="0" applyNumberFormat="0" applyBorder="0" applyProtection="0">
      <alignment horizontal="center" textRotation="90"/>
    </xf>
    <xf numFmtId="0" fontId="92" fillId="0" borderId="0" applyNumberFormat="0" applyBorder="0" applyProtection="0">
      <alignment textRotation="90"/>
    </xf>
    <xf numFmtId="0" fontId="129" fillId="0" borderId="0">
      <alignment horizontal="center" textRotation="90"/>
    </xf>
    <xf numFmtId="0" fontId="129" fillId="0" borderId="0">
      <alignment horizontal="center" textRotation="90"/>
    </xf>
    <xf numFmtId="0" fontId="130" fillId="0" borderId="0">
      <alignment horizontal="center" textRotation="90"/>
    </xf>
    <xf numFmtId="0" fontId="134" fillId="0" borderId="0" applyNumberFormat="0" applyBorder="0" applyProtection="0"/>
    <xf numFmtId="164" fontId="135" fillId="0" borderId="0" applyBorder="0" applyProtection="0"/>
    <xf numFmtId="164" fontId="136" fillId="0" borderId="0"/>
    <xf numFmtId="164" fontId="135" fillId="0" borderId="0" applyBorder="0" applyProtection="0"/>
    <xf numFmtId="164" fontId="136" fillId="0" borderId="0"/>
    <xf numFmtId="164" fontId="135" fillId="0" borderId="0" applyBorder="0" applyProtection="0"/>
    <xf numFmtId="164" fontId="136" fillId="0" borderId="0"/>
    <xf numFmtId="0" fontId="137" fillId="0" borderId="0" applyBorder="0" applyProtection="0"/>
    <xf numFmtId="0" fontId="138" fillId="0" borderId="0"/>
    <xf numFmtId="164" fontId="139" fillId="0" borderId="0" applyBorder="0" applyProtection="0"/>
    <xf numFmtId="164" fontId="139" fillId="0" borderId="0" applyBorder="0" applyProtection="0"/>
    <xf numFmtId="164" fontId="140" fillId="0" borderId="0"/>
    <xf numFmtId="164" fontId="140" fillId="0" borderId="0"/>
    <xf numFmtId="0" fontId="137" fillId="0" borderId="0" applyBorder="0" applyProtection="0"/>
    <xf numFmtId="0" fontId="141" fillId="0" borderId="0"/>
    <xf numFmtId="0" fontId="138" fillId="0" borderId="0"/>
    <xf numFmtId="164" fontId="142" fillId="30" borderId="0" applyBorder="0" applyProtection="0"/>
    <xf numFmtId="164" fontId="143" fillId="30" borderId="0" applyBorder="0" applyProtection="0"/>
    <xf numFmtId="164" fontId="144" fillId="31" borderId="0"/>
    <xf numFmtId="164" fontId="145" fillId="31" borderId="0"/>
    <xf numFmtId="0" fontId="146" fillId="31" borderId="0" applyNumberFormat="0" applyBorder="0" applyProtection="0"/>
    <xf numFmtId="164" fontId="147" fillId="30" borderId="0" applyBorder="0" applyProtection="0"/>
    <xf numFmtId="164" fontId="148" fillId="31" borderId="0"/>
    <xf numFmtId="0" fontId="149" fillId="31" borderId="0"/>
    <xf numFmtId="0" fontId="150" fillId="31" borderId="0"/>
    <xf numFmtId="0" fontId="151" fillId="0" borderId="0"/>
    <xf numFmtId="0" fontId="151" fillId="0" borderId="0"/>
    <xf numFmtId="0" fontId="190" fillId="0" borderId="0"/>
    <xf numFmtId="0" fontId="152" fillId="0" borderId="0"/>
    <xf numFmtId="164" fontId="153" fillId="0" borderId="0" applyBorder="0" applyProtection="0"/>
    <xf numFmtId="164" fontId="153" fillId="0" borderId="0" applyBorder="0" applyProtection="0"/>
    <xf numFmtId="164" fontId="154" fillId="0" borderId="0" applyBorder="0" applyProtection="0"/>
    <xf numFmtId="164" fontId="155" fillId="0" borderId="0"/>
    <xf numFmtId="0" fontId="153" fillId="0" borderId="0" applyBorder="0" applyProtection="0"/>
    <xf numFmtId="0" fontId="67" fillId="0" borderId="0"/>
    <xf numFmtId="164" fontId="67" fillId="0" borderId="0"/>
    <xf numFmtId="0" fontId="8" fillId="0" borderId="0" applyNumberFormat="0" applyBorder="0" applyProtection="0"/>
    <xf numFmtId="164" fontId="153" fillId="0" borderId="0" applyBorder="0" applyProtection="0"/>
    <xf numFmtId="164" fontId="154" fillId="0" borderId="0" applyBorder="0" applyProtection="0"/>
    <xf numFmtId="164" fontId="155" fillId="0" borderId="0"/>
    <xf numFmtId="164" fontId="67" fillId="0" borderId="0"/>
    <xf numFmtId="0" fontId="8" fillId="0" borderId="0"/>
    <xf numFmtId="164" fontId="154" fillId="0" borderId="0" applyBorder="0" applyProtection="0"/>
    <xf numFmtId="164" fontId="155" fillId="0" borderId="0"/>
    <xf numFmtId="0" fontId="8" fillId="0" borderId="0" applyBorder="0" applyProtection="0"/>
    <xf numFmtId="0" fontId="8" fillId="0" borderId="0"/>
    <xf numFmtId="164" fontId="67" fillId="0" borderId="0"/>
    <xf numFmtId="0" fontId="151" fillId="0" borderId="0"/>
    <xf numFmtId="164" fontId="156" fillId="0" borderId="0" applyBorder="0" applyProtection="0"/>
    <xf numFmtId="164" fontId="156" fillId="0" borderId="0" applyBorder="0" applyProtection="0"/>
    <xf numFmtId="164" fontId="157" fillId="0" borderId="0" applyBorder="0" applyProtection="0"/>
    <xf numFmtId="164" fontId="158" fillId="0" borderId="0"/>
    <xf numFmtId="164" fontId="159" fillId="0" borderId="0"/>
    <xf numFmtId="164" fontId="160" fillId="0" borderId="0"/>
    <xf numFmtId="164" fontId="161" fillId="0" borderId="0"/>
    <xf numFmtId="0" fontId="162" fillId="0" borderId="0" applyNumberFormat="0" applyBorder="0" applyProtection="0"/>
    <xf numFmtId="164" fontId="157" fillId="0" borderId="0" applyBorder="0" applyProtection="0"/>
    <xf numFmtId="0" fontId="161" fillId="0" borderId="0" applyNumberFormat="0" applyBorder="0" applyProtection="0"/>
    <xf numFmtId="164" fontId="159" fillId="0" borderId="0"/>
    <xf numFmtId="164" fontId="158" fillId="0" borderId="0"/>
    <xf numFmtId="0" fontId="152" fillId="0" borderId="0"/>
    <xf numFmtId="0" fontId="162" fillId="0" borderId="0" applyBorder="0" applyProtection="0"/>
    <xf numFmtId="0" fontId="163" fillId="0" borderId="0"/>
    <xf numFmtId="164" fontId="160" fillId="0" borderId="0"/>
    <xf numFmtId="164" fontId="161" fillId="0" borderId="0"/>
    <xf numFmtId="0" fontId="8" fillId="0" borderId="0"/>
    <xf numFmtId="0" fontId="190" fillId="0" borderId="0"/>
    <xf numFmtId="0" fontId="151" fillId="0" borderId="0"/>
    <xf numFmtId="0" fontId="190" fillId="0" borderId="0"/>
    <xf numFmtId="164" fontId="154" fillId="0" borderId="0" applyBorder="0" applyProtection="0"/>
    <xf numFmtId="0" fontId="164" fillId="0" borderId="0" applyNumberFormat="0" applyBorder="0" applyProtection="0"/>
    <xf numFmtId="164" fontId="155" fillId="0" borderId="0"/>
    <xf numFmtId="0" fontId="90" fillId="0" borderId="0"/>
    <xf numFmtId="0" fontId="164" fillId="0" borderId="0" applyBorder="0" applyProtection="0"/>
    <xf numFmtId="0" fontId="164" fillId="0" borderId="0"/>
    <xf numFmtId="164" fontId="155" fillId="0" borderId="0"/>
    <xf numFmtId="164" fontId="154" fillId="0" borderId="0" applyBorder="0" applyProtection="0"/>
    <xf numFmtId="0" fontId="8" fillId="0" borderId="0"/>
    <xf numFmtId="164" fontId="165" fillId="0" borderId="0" applyBorder="0" applyProtection="0"/>
    <xf numFmtId="164" fontId="166" fillId="0" borderId="0" applyBorder="0" applyProtection="0"/>
    <xf numFmtId="164" fontId="167" fillId="0" borderId="0"/>
    <xf numFmtId="164" fontId="168" fillId="0" borderId="0"/>
    <xf numFmtId="0" fontId="89" fillId="0" borderId="0"/>
    <xf numFmtId="164" fontId="169" fillId="0" borderId="0" applyBorder="0" applyProtection="0"/>
    <xf numFmtId="164" fontId="170" fillId="0" borderId="0"/>
    <xf numFmtId="164" fontId="169" fillId="0" borderId="0" applyBorder="0" applyProtection="0"/>
    <xf numFmtId="164" fontId="170" fillId="0" borderId="0"/>
    <xf numFmtId="0" fontId="8" fillId="0" borderId="0" applyBorder="0" applyProtection="0"/>
    <xf numFmtId="0" fontId="8" fillId="0" borderId="0"/>
    <xf numFmtId="0" fontId="171" fillId="0" borderId="0"/>
    <xf numFmtId="0" fontId="172" fillId="0" borderId="0"/>
    <xf numFmtId="0" fontId="173" fillId="0" borderId="0"/>
    <xf numFmtId="0" fontId="174" fillId="31" borderId="25" applyNumberFormat="0" applyProtection="0"/>
    <xf numFmtId="164" fontId="175" fillId="30" borderId="25" applyProtection="0"/>
    <xf numFmtId="164" fontId="176" fillId="31" borderId="25"/>
    <xf numFmtId="164" fontId="175" fillId="30" borderId="25" applyProtection="0"/>
    <xf numFmtId="164" fontId="176" fillId="31" borderId="25"/>
    <xf numFmtId="164" fontId="175" fillId="30" borderId="25" applyProtection="0"/>
    <xf numFmtId="164" fontId="176" fillId="31" borderId="25"/>
    <xf numFmtId="164" fontId="177" fillId="30" borderId="25" applyProtection="0"/>
    <xf numFmtId="164" fontId="177" fillId="30" borderId="25" applyProtection="0"/>
    <xf numFmtId="164" fontId="178" fillId="31" borderId="25"/>
    <xf numFmtId="164" fontId="178" fillId="31" borderId="25"/>
    <xf numFmtId="0" fontId="179" fillId="30" borderId="25" applyProtection="0"/>
    <xf numFmtId="0" fontId="180" fillId="31" borderId="25"/>
    <xf numFmtId="0" fontId="179" fillId="30" borderId="25" applyProtection="0"/>
    <xf numFmtId="0" fontId="158" fillId="31" borderId="25"/>
    <xf numFmtId="0" fontId="180" fillId="31" borderId="25"/>
    <xf numFmtId="0" fontId="181" fillId="0" borderId="0" applyNumberFormat="0" applyBorder="0" applyProtection="0"/>
    <xf numFmtId="0" fontId="182" fillId="0" borderId="0" applyBorder="0" applyProtection="0"/>
    <xf numFmtId="164" fontId="183" fillId="0" borderId="0" applyBorder="0" applyProtection="0"/>
    <xf numFmtId="164" fontId="184" fillId="0" borderId="0"/>
    <xf numFmtId="0" fontId="185" fillId="0" borderId="0"/>
    <xf numFmtId="164" fontId="184" fillId="0" borderId="0"/>
    <xf numFmtId="164" fontId="186" fillId="0" borderId="0" applyBorder="0" applyProtection="0"/>
    <xf numFmtId="164" fontId="187" fillId="0" borderId="0"/>
    <xf numFmtId="164" fontId="186" fillId="0" borderId="0" applyBorder="0" applyProtection="0"/>
    <xf numFmtId="164" fontId="187" fillId="0" borderId="0"/>
    <xf numFmtId="0" fontId="188" fillId="0" borderId="0" applyNumberFormat="0" applyBorder="0" applyProtection="0"/>
    <xf numFmtId="0" fontId="189" fillId="0" borderId="0"/>
    <xf numFmtId="0" fontId="189" fillId="0" borderId="0"/>
    <xf numFmtId="0" fontId="185" fillId="0" borderId="0"/>
    <xf numFmtId="0" fontId="181" fillId="0" borderId="0" applyNumberFormat="0" applyBorder="0" applyProtection="0"/>
    <xf numFmtId="165" fontId="182" fillId="0" borderId="0" applyBorder="0" applyProtection="0"/>
    <xf numFmtId="165" fontId="183" fillId="0" borderId="0" applyBorder="0" applyProtection="0"/>
    <xf numFmtId="166" fontId="184" fillId="0" borderId="0"/>
    <xf numFmtId="166" fontId="185" fillId="0" borderId="0"/>
    <xf numFmtId="166" fontId="184" fillId="0" borderId="0"/>
    <xf numFmtId="167" fontId="186" fillId="0" borderId="0" applyBorder="0" applyProtection="0"/>
    <xf numFmtId="168" fontId="187" fillId="0" borderId="0"/>
    <xf numFmtId="165" fontId="186" fillId="0" borderId="0" applyBorder="0" applyProtection="0"/>
    <xf numFmtId="166" fontId="187" fillId="0" borderId="0"/>
    <xf numFmtId="169" fontId="188" fillId="0" borderId="0" applyBorder="0" applyProtection="0"/>
    <xf numFmtId="166" fontId="188" fillId="0" borderId="0" applyBorder="0" applyProtection="0"/>
    <xf numFmtId="166" fontId="189" fillId="0" borderId="0"/>
    <xf numFmtId="166" fontId="189" fillId="0" borderId="0"/>
    <xf numFmtId="166" fontId="185"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43" fillId="0" borderId="0" applyNumberFormat="0" applyBorder="0" applyProtection="0"/>
    <xf numFmtId="164" fontId="50" fillId="0" borderId="0" applyBorder="0" applyProtection="0"/>
    <xf numFmtId="164" fontId="51" fillId="0" borderId="0" applyBorder="0" applyProtection="0"/>
    <xf numFmtId="164" fontId="52" fillId="0" borderId="0"/>
    <xf numFmtId="164" fontId="53" fillId="0" borderId="0"/>
    <xf numFmtId="164" fontId="44" fillId="0" borderId="0" applyBorder="0" applyProtection="0"/>
    <xf numFmtId="164" fontId="45" fillId="0" borderId="0"/>
    <xf numFmtId="164" fontId="44" fillId="0" borderId="0" applyBorder="0" applyProtection="0"/>
    <xf numFmtId="164" fontId="45" fillId="0" borderId="0"/>
    <xf numFmtId="164" fontId="46" fillId="0" borderId="0" applyBorder="0" applyProtection="0"/>
    <xf numFmtId="164" fontId="47" fillId="0" borderId="0"/>
    <xf numFmtId="0" fontId="48" fillId="0" borderId="0" applyBorder="0" applyProtection="0"/>
    <xf numFmtId="0" fontId="49" fillId="0" borderId="0"/>
    <xf numFmtId="0" fontId="48" fillId="0" borderId="0" applyBorder="0" applyProtection="0"/>
    <xf numFmtId="0" fontId="54" fillId="0" borderId="0"/>
    <xf numFmtId="0" fontId="49" fillId="0" borderId="0"/>
  </cellStyleXfs>
  <cellXfs count="115">
    <xf numFmtId="0" fontId="0" fillId="0" borderId="0" xfId="0"/>
    <xf numFmtId="0" fontId="0" fillId="2" borderId="1" xfId="0" applyFill="1" applyBorder="1"/>
    <xf numFmtId="0" fontId="7" fillId="3" borderId="2" xfId="0" applyFont="1" applyFill="1" applyBorder="1"/>
    <xf numFmtId="0" fontId="7" fillId="0" borderId="0" xfId="0" applyFont="1"/>
    <xf numFmtId="0" fontId="0" fillId="2" borderId="2" xfId="0" applyFill="1" applyBorder="1"/>
    <xf numFmtId="0" fontId="0" fillId="2" borderId="3" xfId="0" applyFill="1" applyBorder="1"/>
    <xf numFmtId="0" fontId="8" fillId="4" borderId="2" xfId="0" applyFont="1" applyFill="1" applyBorder="1"/>
    <xf numFmtId="0" fontId="8" fillId="4" borderId="0" xfId="0" applyFont="1" applyFill="1"/>
    <xf numFmtId="0" fontId="7" fillId="0" borderId="1" xfId="0" applyFont="1" applyBorder="1"/>
    <xf numFmtId="0" fontId="9" fillId="0" borderId="0" xfId="0" applyFont="1" applyAlignment="1">
      <alignment horizontal="left"/>
    </xf>
    <xf numFmtId="0" fontId="0" fillId="0" borderId="4" xfId="0" applyBorder="1"/>
    <xf numFmtId="0" fontId="0" fillId="0" borderId="5" xfId="0" applyBorder="1" applyAlignment="1">
      <alignment horizontal="center"/>
    </xf>
    <xf numFmtId="0" fontId="8" fillId="0" borderId="0" xfId="0" applyFont="1"/>
    <xf numFmtId="0" fontId="10" fillId="0" borderId="1" xfId="0" applyFont="1" applyBorder="1" applyAlignment="1">
      <alignment vertical="center"/>
    </xf>
    <xf numFmtId="0" fontId="7" fillId="5" borderId="0" xfId="0" applyFont="1" applyFill="1"/>
    <xf numFmtId="0" fontId="0" fillId="0" borderId="7" xfId="0" applyBorder="1"/>
    <xf numFmtId="0" fontId="0" fillId="0" borderId="8" xfId="0" applyBorder="1" applyAlignment="1">
      <alignment horizontal="center"/>
    </xf>
    <xf numFmtId="0" fontId="9" fillId="0" borderId="0" xfId="0" applyFont="1" applyAlignment="1">
      <alignment horizontal="center" vertical="center"/>
    </xf>
    <xf numFmtId="0" fontId="7" fillId="6" borderId="0" xfId="0" applyFont="1" applyFill="1"/>
    <xf numFmtId="20" fontId="7" fillId="0" borderId="1" xfId="0" applyNumberFormat="1" applyFont="1" applyBorder="1"/>
    <xf numFmtId="0" fontId="0" fillId="0" borderId="0" xfId="0" applyAlignment="1">
      <alignment horizontal="left"/>
    </xf>
    <xf numFmtId="0" fontId="0" fillId="0" borderId="10" xfId="0" applyBorder="1"/>
    <xf numFmtId="0" fontId="0" fillId="0" borderId="11" xfId="0" applyBorder="1" applyAlignment="1">
      <alignment horizontal="center"/>
    </xf>
    <xf numFmtId="0" fontId="0" fillId="0" borderId="12" xfId="0" applyBorder="1"/>
    <xf numFmtId="0" fontId="0" fillId="0" borderId="13" xfId="0" applyBorder="1" applyAlignment="1">
      <alignment horizontal="center"/>
    </xf>
    <xf numFmtId="0" fontId="0" fillId="0" borderId="14" xfId="0" applyBorder="1"/>
    <xf numFmtId="0" fontId="0" fillId="0" borderId="3" xfId="0" applyBorder="1" applyAlignment="1">
      <alignment horizontal="center"/>
    </xf>
    <xf numFmtId="0" fontId="0" fillId="0" borderId="6" xfId="0" applyBorder="1" applyAlignment="1">
      <alignment horizontal="center" vertical="center" wrapText="1"/>
    </xf>
    <xf numFmtId="0" fontId="0" fillId="0" borderId="15" xfId="0" applyBorder="1"/>
    <xf numFmtId="0" fontId="8" fillId="0" borderId="0" xfId="0" applyFont="1" applyAlignment="1">
      <alignment horizontal="left"/>
    </xf>
    <xf numFmtId="0" fontId="0" fillId="0" borderId="16" xfId="0" applyBorder="1"/>
    <xf numFmtId="0" fontId="0" fillId="0" borderId="17" xfId="0" applyBorder="1" applyAlignment="1">
      <alignment horizontal="center"/>
    </xf>
    <xf numFmtId="0" fontId="11" fillId="0" borderId="0" xfId="0" applyFont="1"/>
    <xf numFmtId="0" fontId="12" fillId="0" borderId="4" xfId="309" applyFont="1" applyBorder="1"/>
    <xf numFmtId="0" fontId="12" fillId="0" borderId="10" xfId="309" applyFont="1" applyBorder="1"/>
    <xf numFmtId="0" fontId="13" fillId="0" borderId="1" xfId="0" applyFont="1" applyBorder="1" applyAlignment="1">
      <alignment vertical="center"/>
    </xf>
    <xf numFmtId="0" fontId="12" fillId="0" borderId="7" xfId="309" applyFont="1" applyBorder="1"/>
    <xf numFmtId="0" fontId="12" fillId="0" borderId="19" xfId="309" applyFont="1" applyBorder="1"/>
    <xf numFmtId="0" fontId="0" fillId="0" borderId="20" xfId="0" applyBorder="1" applyAlignment="1">
      <alignment horizontal="center"/>
    </xf>
    <xf numFmtId="0" fontId="0" fillId="0" borderId="19" xfId="0" applyBorder="1"/>
    <xf numFmtId="0" fontId="0" fillId="0" borderId="21" xfId="0" applyBorder="1"/>
    <xf numFmtId="0" fontId="0" fillId="0" borderId="22" xfId="0" applyBorder="1" applyAlignment="1">
      <alignment horizontal="center"/>
    </xf>
    <xf numFmtId="0" fontId="0" fillId="0" borderId="0" xfId="0" applyAlignment="1">
      <alignment horizontal="center"/>
    </xf>
    <xf numFmtId="0" fontId="14" fillId="0" borderId="0" xfId="0" applyFont="1" applyAlignment="1">
      <alignment horizontal="right" vertical="center"/>
    </xf>
    <xf numFmtId="0" fontId="15" fillId="0" borderId="0" xfId="0" applyFont="1"/>
    <xf numFmtId="0" fontId="8" fillId="0" borderId="1" xfId="0" applyFont="1" applyBorder="1"/>
    <xf numFmtId="0" fontId="16" fillId="0" borderId="0" xfId="0" applyFont="1" applyAlignment="1">
      <alignment horizontal="right"/>
    </xf>
    <xf numFmtId="0" fontId="0" fillId="0" borderId="0" xfId="0" applyAlignment="1">
      <alignment horizontal="center" vertical="center" wrapText="1"/>
    </xf>
    <xf numFmtId="14" fontId="17" fillId="2" borderId="1" xfId="0" applyNumberFormat="1" applyFont="1" applyFill="1" applyBorder="1" applyAlignment="1">
      <alignment horizontal="center" vertical="center" wrapText="1"/>
    </xf>
    <xf numFmtId="0" fontId="18" fillId="7" borderId="1" xfId="0" applyFont="1" applyFill="1" applyBorder="1" applyAlignment="1">
      <alignment horizontal="center" vertical="center" wrapText="1"/>
    </xf>
    <xf numFmtId="170" fontId="18" fillId="7" borderId="1" xfId="0" applyNumberFormat="1"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18" fillId="7" borderId="23" xfId="0" applyFont="1" applyFill="1" applyBorder="1" applyAlignment="1">
      <alignment horizontal="center" vertical="center" wrapText="1"/>
    </xf>
    <xf numFmtId="0" fontId="0" fillId="0" borderId="1" xfId="0" applyBorder="1" applyAlignment="1">
      <alignment horizontal="center"/>
    </xf>
    <xf numFmtId="170" fontId="0" fillId="0" borderId="1" xfId="0" applyNumberFormat="1" applyBorder="1" applyAlignment="1">
      <alignment horizontal="center"/>
    </xf>
    <xf numFmtId="0" fontId="0" fillId="0" borderId="1" xfId="0" applyBorder="1"/>
    <xf numFmtId="1" fontId="0" fillId="0" borderId="1" xfId="0" applyNumberFormat="1" applyBorder="1" applyAlignment="1">
      <alignment horizontal="center"/>
    </xf>
    <xf numFmtId="20" fontId="0" fillId="0" borderId="1" xfId="0" applyNumberFormat="1" applyBorder="1" applyAlignment="1">
      <alignment horizontal="center"/>
    </xf>
    <xf numFmtId="14" fontId="0" fillId="0" borderId="1" xfId="0" applyNumberFormat="1" applyBorder="1"/>
    <xf numFmtId="0" fontId="191" fillId="0" borderId="0" xfId="0" applyFont="1" applyAlignment="1">
      <alignment horizontal="left" vertical="center" indent="1"/>
    </xf>
    <xf numFmtId="0" fontId="192" fillId="7" borderId="1" xfId="0" applyFont="1" applyFill="1" applyBorder="1" applyAlignment="1">
      <alignment horizontal="center" vertical="center" wrapText="1"/>
    </xf>
    <xf numFmtId="0" fontId="6" fillId="0" borderId="0" xfId="0" applyFont="1" applyAlignment="1">
      <alignment horizontal="center" vertical="center"/>
    </xf>
    <xf numFmtId="0" fontId="0" fillId="0" borderId="0" xfId="0" applyAlignment="1">
      <alignment horizontal="center" vertical="center"/>
    </xf>
    <xf numFmtId="0" fontId="193" fillId="0" borderId="1" xfId="0" applyFont="1" applyBorder="1" applyAlignment="1">
      <alignment horizontal="center" vertical="center"/>
    </xf>
    <xf numFmtId="0" fontId="193" fillId="0" borderId="1" xfId="0" applyFont="1" applyBorder="1"/>
    <xf numFmtId="0" fontId="5" fillId="0" borderId="0" xfId="0" applyFont="1" applyAlignment="1">
      <alignment horizontal="center"/>
    </xf>
    <xf numFmtId="0" fontId="192" fillId="7"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14" fontId="0" fillId="0" borderId="1" xfId="0" applyNumberFormat="1" applyBorder="1" applyAlignment="1">
      <alignment horizontal="center" vertical="center"/>
    </xf>
    <xf numFmtId="0" fontId="0" fillId="0" borderId="1" xfId="0" applyBorder="1" applyAlignment="1">
      <alignment horizontal="center" vertical="center"/>
    </xf>
    <xf numFmtId="170" fontId="0" fillId="0" borderId="1" xfId="0" applyNumberFormat="1" applyBorder="1" applyAlignment="1">
      <alignment horizontal="center" vertical="center"/>
    </xf>
    <xf numFmtId="0" fontId="0" fillId="0" borderId="1" xfId="0" applyBorder="1" applyAlignment="1">
      <alignment vertical="center"/>
    </xf>
    <xf numFmtId="0" fontId="0" fillId="0" borderId="24" xfId="0" applyBorder="1" applyAlignment="1">
      <alignment horizontal="center" vertical="center"/>
    </xf>
    <xf numFmtId="20"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0" xfId="0" applyAlignment="1">
      <alignment vertical="center"/>
    </xf>
    <xf numFmtId="0" fontId="0" fillId="0" borderId="1" xfId="0" applyBorder="1" applyAlignment="1">
      <alignment horizontal="left" vertical="top" wrapText="1"/>
    </xf>
    <xf numFmtId="171" fontId="0" fillId="0" borderId="1" xfId="0" applyNumberFormat="1" applyBorder="1" applyAlignment="1">
      <alignment horizontal="left" vertical="top" wrapText="1"/>
    </xf>
    <xf numFmtId="0" fontId="5" fillId="0" borderId="1"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vertical="top" wrapText="1"/>
    </xf>
    <xf numFmtId="0" fontId="0" fillId="0" borderId="0" xfId="0" applyAlignment="1">
      <alignment vertical="top" wrapText="1"/>
    </xf>
    <xf numFmtId="0" fontId="7" fillId="0" borderId="1" xfId="0" applyFont="1" applyBorder="1" applyAlignment="1">
      <alignment horizontal="center" vertical="top" wrapText="1"/>
    </xf>
    <xf numFmtId="0" fontId="0" fillId="8" borderId="1" xfId="0" applyFill="1" applyBorder="1" applyAlignment="1">
      <alignment vertical="top" wrapText="1"/>
    </xf>
    <xf numFmtId="0" fontId="0" fillId="2" borderId="1" xfId="0" applyFill="1" applyBorder="1" applyAlignment="1">
      <alignment vertical="top" wrapText="1"/>
    </xf>
    <xf numFmtId="0" fontId="0" fillId="9" borderId="1" xfId="0" applyFill="1" applyBorder="1" applyAlignment="1">
      <alignment vertical="top" wrapText="1"/>
    </xf>
    <xf numFmtId="0" fontId="0" fillId="0" borderId="1" xfId="0" applyBorder="1" applyAlignment="1">
      <alignment horizontal="left" vertical="top"/>
    </xf>
    <xf numFmtId="0" fontId="7" fillId="0" borderId="1" xfId="0" applyFont="1" applyBorder="1" applyAlignment="1">
      <alignment horizontal="center" vertical="top"/>
    </xf>
    <xf numFmtId="0" fontId="0" fillId="0" borderId="1" xfId="0" applyBorder="1" applyAlignment="1">
      <alignment vertical="top"/>
    </xf>
    <xf numFmtId="0" fontId="0" fillId="0" borderId="1" xfId="0" applyBorder="1" applyAlignment="1">
      <alignment horizontal="center" vertical="top"/>
    </xf>
    <xf numFmtId="0" fontId="0" fillId="8" borderId="1" xfId="0" applyFill="1" applyBorder="1" applyAlignment="1">
      <alignment vertical="top"/>
    </xf>
    <xf numFmtId="0" fontId="0" fillId="2" borderId="1" xfId="0" applyFill="1" applyBorder="1" applyAlignment="1">
      <alignment vertical="top"/>
    </xf>
    <xf numFmtId="0" fontId="0" fillId="9" borderId="1" xfId="0" applyFill="1" applyBorder="1" applyAlignment="1">
      <alignment vertical="top"/>
    </xf>
    <xf numFmtId="171" fontId="0" fillId="0" borderId="1" xfId="0" applyNumberFormat="1" applyBorder="1" applyAlignment="1">
      <alignment horizontal="left" vertical="top"/>
    </xf>
    <xf numFmtId="0" fontId="4" fillId="0" borderId="1" xfId="0" applyFont="1" applyBorder="1" applyAlignment="1">
      <alignment horizontal="left" vertical="top"/>
    </xf>
    <xf numFmtId="0" fontId="3" fillId="8" borderId="1" xfId="0" applyFont="1" applyFill="1" applyBorder="1" applyAlignment="1">
      <alignment vertical="top" wrapText="1"/>
    </xf>
    <xf numFmtId="0" fontId="3" fillId="0" borderId="1" xfId="0" applyFont="1" applyBorder="1" applyAlignment="1">
      <alignment horizontal="left" vertical="top"/>
    </xf>
    <xf numFmtId="0" fontId="3" fillId="0" borderId="1" xfId="0" applyFont="1" applyBorder="1" applyAlignment="1">
      <alignment vertical="top"/>
    </xf>
    <xf numFmtId="0" fontId="194" fillId="0" borderId="1" xfId="0" applyFont="1" applyBorder="1" applyAlignment="1">
      <alignment horizontal="left" vertical="top"/>
    </xf>
    <xf numFmtId="0" fontId="3" fillId="9" borderId="1" xfId="0" applyFont="1" applyFill="1" applyBorder="1" applyAlignment="1">
      <alignment vertical="top"/>
    </xf>
    <xf numFmtId="0" fontId="3" fillId="8" borderId="1" xfId="0" applyFont="1" applyFill="1" applyBorder="1" applyAlignment="1">
      <alignment vertical="top"/>
    </xf>
    <xf numFmtId="0" fontId="194" fillId="0" borderId="1" xfId="0" applyFont="1" applyBorder="1" applyAlignment="1">
      <alignment horizontal="left" vertical="top" wrapText="1"/>
    </xf>
    <xf numFmtId="0" fontId="3" fillId="0" borderId="1" xfId="0" applyFont="1" applyBorder="1" applyAlignment="1">
      <alignment horizontal="left" vertical="top" wrapText="1"/>
    </xf>
    <xf numFmtId="0" fontId="3" fillId="9"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xf numFmtId="0" fontId="2" fillId="0" borderId="1" xfId="0" applyFont="1" applyBorder="1" applyAlignment="1">
      <alignment vertical="top" wrapText="1"/>
    </xf>
    <xf numFmtId="0" fontId="2" fillId="9" borderId="1" xfId="0" applyFont="1" applyFill="1" applyBorder="1" applyAlignment="1">
      <alignment vertical="top" wrapText="1"/>
    </xf>
    <xf numFmtId="0" fontId="2" fillId="0" borderId="1" xfId="0" applyFont="1" applyBorder="1" applyAlignment="1">
      <alignment horizontal="center"/>
    </xf>
    <xf numFmtId="0" fontId="2" fillId="8" borderId="1" xfId="0" applyFont="1" applyFill="1" applyBorder="1" applyAlignment="1">
      <alignment vertical="top" wrapText="1"/>
    </xf>
    <xf numFmtId="0" fontId="1" fillId="0" borderId="0" xfId="0" applyFont="1" applyAlignment="1">
      <alignment wrapText="1"/>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8" xfId="0" applyBorder="1" applyAlignment="1">
      <alignment horizontal="center" vertical="center"/>
    </xf>
  </cellXfs>
  <cellStyles count="427">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xfId="95" xr:uid="{00000000-0005-0000-0000-00005E000000}"/>
    <cellStyle name="Bad 10" xfId="96" xr:uid="{00000000-0005-0000-0000-00005F000000}"/>
    <cellStyle name="Bad 10 2" xfId="97" xr:uid="{00000000-0005-0000-0000-000060000000}"/>
    <cellStyle name="Bad 11" xfId="98" xr:uid="{00000000-0005-0000-0000-000061000000}"/>
    <cellStyle name="Bad 11 2" xfId="99" xr:uid="{00000000-0005-0000-0000-000062000000}"/>
    <cellStyle name="Bad 12" xfId="100" xr:uid="{00000000-0005-0000-0000-000063000000}"/>
    <cellStyle name="Bad 12 2" xfId="101" xr:uid="{00000000-0005-0000-0000-000064000000}"/>
    <cellStyle name="Bad 13" xfId="102" xr:uid="{00000000-0005-0000-0000-000065000000}"/>
    <cellStyle name="Bad 2" xfId="103" xr:uid="{00000000-0005-0000-0000-000066000000}"/>
    <cellStyle name="Bad 2 2" xfId="104" xr:uid="{00000000-0005-0000-0000-000067000000}"/>
    <cellStyle name="Bad 2 2 2" xfId="105" xr:uid="{00000000-0005-0000-0000-000068000000}"/>
    <cellStyle name="Bad 2 3" xfId="106" xr:uid="{00000000-0005-0000-0000-000069000000}"/>
    <cellStyle name="Bad 3" xfId="107" xr:uid="{00000000-0005-0000-0000-00006A000000}"/>
    <cellStyle name="Bad 4" xfId="108" xr:uid="{00000000-0005-0000-0000-00006B000000}"/>
    <cellStyle name="Bad 9" xfId="109" xr:uid="{00000000-0005-0000-0000-00006C000000}"/>
    <cellStyle name="Bad 9 2" xfId="110" xr:uid="{00000000-0005-0000-0000-00006D000000}"/>
    <cellStyle name="Error" xfId="111" xr:uid="{00000000-0005-0000-0000-00006E000000}"/>
    <cellStyle name="Error 10" xfId="112" xr:uid="{00000000-0005-0000-0000-00006F000000}"/>
    <cellStyle name="Error 10 2" xfId="113" xr:uid="{00000000-0005-0000-0000-000070000000}"/>
    <cellStyle name="Error 11" xfId="114" xr:uid="{00000000-0005-0000-0000-000071000000}"/>
    <cellStyle name="Error 11 2" xfId="115" xr:uid="{00000000-0005-0000-0000-000072000000}"/>
    <cellStyle name="Error 12" xfId="116" xr:uid="{00000000-0005-0000-0000-000073000000}"/>
    <cellStyle name="Error 12 2" xfId="117" xr:uid="{00000000-0005-0000-0000-000074000000}"/>
    <cellStyle name="Error 13" xfId="118" xr:uid="{00000000-0005-0000-0000-000075000000}"/>
    <cellStyle name="Error 13 2" xfId="119" xr:uid="{00000000-0005-0000-0000-000076000000}"/>
    <cellStyle name="Error 14" xfId="120" xr:uid="{00000000-0005-0000-0000-000077000000}"/>
    <cellStyle name="Error 2" xfId="121" xr:uid="{00000000-0005-0000-0000-000078000000}"/>
    <cellStyle name="Error 2 2" xfId="122" xr:uid="{00000000-0005-0000-0000-000079000000}"/>
    <cellStyle name="Error 2 2 2" xfId="123" xr:uid="{00000000-0005-0000-0000-00007A000000}"/>
    <cellStyle name="Error 2 3" xfId="124" xr:uid="{00000000-0005-0000-0000-00007B000000}"/>
    <cellStyle name="Error 3" xfId="125" xr:uid="{00000000-0005-0000-0000-00007C000000}"/>
    <cellStyle name="Error 4" xfId="126" xr:uid="{00000000-0005-0000-0000-00007D000000}"/>
    <cellStyle name="Excel Built-in Normal" xfId="127" xr:uid="{00000000-0005-0000-0000-00007E000000}"/>
    <cellStyle name="Excel Built-in Normal 1" xfId="128" xr:uid="{00000000-0005-0000-0000-00007F000000}"/>
    <cellStyle name="Excel Built-in Normal 2" xfId="129" xr:uid="{00000000-0005-0000-0000-000080000000}"/>
    <cellStyle name="Excel Built-in Normal 2 2" xfId="130" xr:uid="{00000000-0005-0000-0000-000081000000}"/>
    <cellStyle name="Excel Built-in Normal 2 3" xfId="131" xr:uid="{00000000-0005-0000-0000-000082000000}"/>
    <cellStyle name="Excel Built-in Normal 3" xfId="132" xr:uid="{00000000-0005-0000-0000-000083000000}"/>
    <cellStyle name="Footnote" xfId="133" xr:uid="{00000000-0005-0000-0000-000084000000}"/>
    <cellStyle name="Footnote 11" xfId="134" xr:uid="{00000000-0005-0000-0000-000085000000}"/>
    <cellStyle name="Footnote 11 2" xfId="135" xr:uid="{00000000-0005-0000-0000-000086000000}"/>
    <cellStyle name="Footnote 12" xfId="136" xr:uid="{00000000-0005-0000-0000-000087000000}"/>
    <cellStyle name="Footnote 12 2" xfId="137" xr:uid="{00000000-0005-0000-0000-000088000000}"/>
    <cellStyle name="Footnote 13" xfId="138" xr:uid="{00000000-0005-0000-0000-000089000000}"/>
    <cellStyle name="Footnote 13 2" xfId="139" xr:uid="{00000000-0005-0000-0000-00008A000000}"/>
    <cellStyle name="Footnote 14" xfId="140" xr:uid="{00000000-0005-0000-0000-00008B000000}"/>
    <cellStyle name="Footnote 14 2" xfId="141" xr:uid="{00000000-0005-0000-0000-00008C000000}"/>
    <cellStyle name="Footnote 15" xfId="142" xr:uid="{00000000-0005-0000-0000-00008D000000}"/>
    <cellStyle name="Footnote 2" xfId="143" xr:uid="{00000000-0005-0000-0000-00008E000000}"/>
    <cellStyle name="Footnote 2 2" xfId="144" xr:uid="{00000000-0005-0000-0000-00008F000000}"/>
    <cellStyle name="Footnote 2 2 2" xfId="145" xr:uid="{00000000-0005-0000-0000-000090000000}"/>
    <cellStyle name="Footnote 2 3" xfId="146" xr:uid="{00000000-0005-0000-0000-000091000000}"/>
    <cellStyle name="Footnote 3" xfId="147" xr:uid="{00000000-0005-0000-0000-000092000000}"/>
    <cellStyle name="Footnote 4" xfId="148" xr:uid="{00000000-0005-0000-0000-000093000000}"/>
    <cellStyle name="Good" xfId="149" xr:uid="{00000000-0005-0000-0000-000094000000}"/>
    <cellStyle name="Good 12" xfId="150" xr:uid="{00000000-0005-0000-0000-000095000000}"/>
    <cellStyle name="Good 12 2" xfId="151" xr:uid="{00000000-0005-0000-0000-000096000000}"/>
    <cellStyle name="Good 13" xfId="152" xr:uid="{00000000-0005-0000-0000-000097000000}"/>
    <cellStyle name="Good 13 2" xfId="153" xr:uid="{00000000-0005-0000-0000-000098000000}"/>
    <cellStyle name="Good 14" xfId="154" xr:uid="{00000000-0005-0000-0000-000099000000}"/>
    <cellStyle name="Good 14 2" xfId="155" xr:uid="{00000000-0005-0000-0000-00009A000000}"/>
    <cellStyle name="Good 15" xfId="156" xr:uid="{00000000-0005-0000-0000-00009B000000}"/>
    <cellStyle name="Good 15 2" xfId="157" xr:uid="{00000000-0005-0000-0000-00009C000000}"/>
    <cellStyle name="Good 16" xfId="158" xr:uid="{00000000-0005-0000-0000-00009D000000}"/>
    <cellStyle name="Good 2" xfId="159" xr:uid="{00000000-0005-0000-0000-00009E000000}"/>
    <cellStyle name="Good 2 2" xfId="160" xr:uid="{00000000-0005-0000-0000-00009F000000}"/>
    <cellStyle name="Good 2 2 2" xfId="161" xr:uid="{00000000-0005-0000-0000-0000A0000000}"/>
    <cellStyle name="Good 2 3" xfId="162" xr:uid="{00000000-0005-0000-0000-0000A1000000}"/>
    <cellStyle name="Good 3" xfId="163" xr:uid="{00000000-0005-0000-0000-0000A2000000}"/>
    <cellStyle name="Good 4" xfId="164" xr:uid="{00000000-0005-0000-0000-0000A3000000}"/>
    <cellStyle name="Graphics" xfId="165" xr:uid="{00000000-0005-0000-0000-0000A4000000}"/>
    <cellStyle name="Graphics 2" xfId="166" xr:uid="{00000000-0005-0000-0000-0000A5000000}"/>
    <cellStyle name="Heading" xfId="167" xr:uid="{00000000-0005-0000-0000-0000A6000000}"/>
    <cellStyle name="Heading (user)" xfId="168" xr:uid="{00000000-0005-0000-0000-0000A7000000}"/>
    <cellStyle name="Heading (user) (user)" xfId="169" xr:uid="{00000000-0005-0000-0000-0000A8000000}"/>
    <cellStyle name="Heading (user) (user) (user)" xfId="170" xr:uid="{00000000-0005-0000-0000-0000A9000000}"/>
    <cellStyle name="Heading (user) (user) (user) 2" xfId="171" xr:uid="{00000000-0005-0000-0000-0000AA000000}"/>
    <cellStyle name="Heading (user) 13" xfId="172" xr:uid="{00000000-0005-0000-0000-0000AB000000}"/>
    <cellStyle name="Heading (user) 13 2" xfId="173" xr:uid="{00000000-0005-0000-0000-0000AC000000}"/>
    <cellStyle name="Heading (user) 14" xfId="174" xr:uid="{00000000-0005-0000-0000-0000AD000000}"/>
    <cellStyle name="Heading (user) 14 2" xfId="175" xr:uid="{00000000-0005-0000-0000-0000AE000000}"/>
    <cellStyle name="Heading (user) 15" xfId="176" xr:uid="{00000000-0005-0000-0000-0000AF000000}"/>
    <cellStyle name="Heading (user) 15 2" xfId="177" xr:uid="{00000000-0005-0000-0000-0000B0000000}"/>
    <cellStyle name="Heading (user) 16" xfId="178" xr:uid="{00000000-0005-0000-0000-0000B1000000}"/>
    <cellStyle name="Heading (user) 16 2" xfId="179" xr:uid="{00000000-0005-0000-0000-0000B2000000}"/>
    <cellStyle name="Heading (user) 17" xfId="180" xr:uid="{00000000-0005-0000-0000-0000B3000000}"/>
    <cellStyle name="Heading (user) 2" xfId="181" xr:uid="{00000000-0005-0000-0000-0000B4000000}"/>
    <cellStyle name="Heading (user) 2 2" xfId="182" xr:uid="{00000000-0005-0000-0000-0000B5000000}"/>
    <cellStyle name="Heading (user) 2 2 2" xfId="183" xr:uid="{00000000-0005-0000-0000-0000B6000000}"/>
    <cellStyle name="Heading (user) 2 3" xfId="184" xr:uid="{00000000-0005-0000-0000-0000B7000000}"/>
    <cellStyle name="Heading (user) 3" xfId="185" xr:uid="{00000000-0005-0000-0000-0000B8000000}"/>
    <cellStyle name="Heading (user) 4" xfId="186" xr:uid="{00000000-0005-0000-0000-0000B9000000}"/>
    <cellStyle name="Heading (user) 5" xfId="187" xr:uid="{00000000-0005-0000-0000-0000BA000000}"/>
    <cellStyle name="Heading 1" xfId="188" xr:uid="{00000000-0005-0000-0000-0000BB000000}"/>
    <cellStyle name="Heading 1 14" xfId="189" xr:uid="{00000000-0005-0000-0000-0000BC000000}"/>
    <cellStyle name="Heading 1 14 2" xfId="190" xr:uid="{00000000-0005-0000-0000-0000BD000000}"/>
    <cellStyle name="Heading 1 15" xfId="191" xr:uid="{00000000-0005-0000-0000-0000BE000000}"/>
    <cellStyle name="Heading 1 15 2" xfId="192" xr:uid="{00000000-0005-0000-0000-0000BF000000}"/>
    <cellStyle name="Heading 1 16" xfId="193" xr:uid="{00000000-0005-0000-0000-0000C0000000}"/>
    <cellStyle name="Heading 1 16 2" xfId="194" xr:uid="{00000000-0005-0000-0000-0000C1000000}"/>
    <cellStyle name="Heading 1 17" xfId="195" xr:uid="{00000000-0005-0000-0000-0000C2000000}"/>
    <cellStyle name="Heading 1 17 2" xfId="196" xr:uid="{00000000-0005-0000-0000-0000C3000000}"/>
    <cellStyle name="Heading 1 18" xfId="197" xr:uid="{00000000-0005-0000-0000-0000C4000000}"/>
    <cellStyle name="Heading 1 2" xfId="198" xr:uid="{00000000-0005-0000-0000-0000C5000000}"/>
    <cellStyle name="Heading 1 2 2" xfId="199" xr:uid="{00000000-0005-0000-0000-0000C6000000}"/>
    <cellStyle name="Heading 1 2 2 2" xfId="200" xr:uid="{00000000-0005-0000-0000-0000C7000000}"/>
    <cellStyle name="Heading 1 2 3" xfId="201" xr:uid="{00000000-0005-0000-0000-0000C8000000}"/>
    <cellStyle name="Heading 1 3" xfId="202" xr:uid="{00000000-0005-0000-0000-0000C9000000}"/>
    <cellStyle name="Heading 1 4" xfId="203" xr:uid="{00000000-0005-0000-0000-0000CA000000}"/>
    <cellStyle name="Heading 2" xfId="204" xr:uid="{00000000-0005-0000-0000-0000CB000000}"/>
    <cellStyle name="Heading 2 15" xfId="205" xr:uid="{00000000-0005-0000-0000-0000CC000000}"/>
    <cellStyle name="Heading 2 15 2" xfId="206" xr:uid="{00000000-0005-0000-0000-0000CD000000}"/>
    <cellStyle name="Heading 2 16" xfId="207" xr:uid="{00000000-0005-0000-0000-0000CE000000}"/>
    <cellStyle name="Heading 2 16 2" xfId="208" xr:uid="{00000000-0005-0000-0000-0000CF000000}"/>
    <cellStyle name="Heading 2 17" xfId="209" xr:uid="{00000000-0005-0000-0000-0000D0000000}"/>
    <cellStyle name="Heading 2 17 2" xfId="210" xr:uid="{00000000-0005-0000-0000-0000D1000000}"/>
    <cellStyle name="Heading 2 18" xfId="211" xr:uid="{00000000-0005-0000-0000-0000D2000000}"/>
    <cellStyle name="Heading 2 18 2" xfId="212" xr:uid="{00000000-0005-0000-0000-0000D3000000}"/>
    <cellStyle name="Heading 2 19" xfId="213" xr:uid="{00000000-0005-0000-0000-0000D4000000}"/>
    <cellStyle name="Heading 2 2" xfId="214" xr:uid="{00000000-0005-0000-0000-0000D5000000}"/>
    <cellStyle name="Heading 2 2 2" xfId="215" xr:uid="{00000000-0005-0000-0000-0000D6000000}"/>
    <cellStyle name="Heading 2 2 2 2" xfId="216" xr:uid="{00000000-0005-0000-0000-0000D7000000}"/>
    <cellStyle name="Heading 2 2 3" xfId="217" xr:uid="{00000000-0005-0000-0000-0000D8000000}"/>
    <cellStyle name="Heading 2 3" xfId="218" xr:uid="{00000000-0005-0000-0000-0000D9000000}"/>
    <cellStyle name="Heading 2 4" xfId="219" xr:uid="{00000000-0005-0000-0000-0000DA000000}"/>
    <cellStyle name="Heading 3" xfId="220" xr:uid="{00000000-0005-0000-0000-0000DB000000}"/>
    <cellStyle name="Heading 4" xfId="221" xr:uid="{00000000-0005-0000-0000-0000DC000000}"/>
    <cellStyle name="Heading 5" xfId="222" xr:uid="{00000000-0005-0000-0000-0000DD000000}"/>
    <cellStyle name="Heading 6" xfId="223" xr:uid="{00000000-0005-0000-0000-0000DE000000}"/>
    <cellStyle name="Heading 7" xfId="224" xr:uid="{00000000-0005-0000-0000-0000DF000000}"/>
    <cellStyle name="Heading 8" xfId="225" xr:uid="{00000000-0005-0000-0000-0000E0000000}"/>
    <cellStyle name="Heading 9" xfId="226" xr:uid="{00000000-0005-0000-0000-0000E1000000}"/>
    <cellStyle name="Heading1" xfId="227" xr:uid="{00000000-0005-0000-0000-0000E2000000}"/>
    <cellStyle name="Heading1 (user)" xfId="228" xr:uid="{00000000-0005-0000-0000-0000E3000000}"/>
    <cellStyle name="Heading1 (user) (user)" xfId="229" xr:uid="{00000000-0005-0000-0000-0000E4000000}"/>
    <cellStyle name="Heading1 (user) (user) 2" xfId="230" xr:uid="{00000000-0005-0000-0000-0000E5000000}"/>
    <cellStyle name="Heading1 (user) 2" xfId="231" xr:uid="{00000000-0005-0000-0000-0000E6000000}"/>
    <cellStyle name="Heading1 (user) 3" xfId="232" xr:uid="{00000000-0005-0000-0000-0000E7000000}"/>
    <cellStyle name="Heading1 1" xfId="233" xr:uid="{00000000-0005-0000-0000-0000E8000000}"/>
    <cellStyle name="Heading1 1 2" xfId="234" xr:uid="{00000000-0005-0000-0000-0000E9000000}"/>
    <cellStyle name="Heading1 2" xfId="235" xr:uid="{00000000-0005-0000-0000-0000EA000000}"/>
    <cellStyle name="Heading1 2 2" xfId="236" xr:uid="{00000000-0005-0000-0000-0000EB000000}"/>
    <cellStyle name="Heading1 2 3" xfId="237" xr:uid="{00000000-0005-0000-0000-0000EC000000}"/>
    <cellStyle name="Heading1 3" xfId="238" xr:uid="{00000000-0005-0000-0000-0000ED000000}"/>
    <cellStyle name="Heading1 4" xfId="239" xr:uid="{00000000-0005-0000-0000-0000EE000000}"/>
    <cellStyle name="Heading1 5" xfId="240" xr:uid="{00000000-0005-0000-0000-0000EF000000}"/>
    <cellStyle name="Heading1 6" xfId="241" xr:uid="{00000000-0005-0000-0000-0000F0000000}"/>
    <cellStyle name="Hyperlink" xfId="242" xr:uid="{00000000-0005-0000-0000-0000F1000000}"/>
    <cellStyle name="Hyperlink 16" xfId="243" xr:uid="{00000000-0005-0000-0000-0000F2000000}"/>
    <cellStyle name="Hyperlink 16 2" xfId="244" xr:uid="{00000000-0005-0000-0000-0000F3000000}"/>
    <cellStyle name="Hyperlink 17" xfId="245" xr:uid="{00000000-0005-0000-0000-0000F4000000}"/>
    <cellStyle name="Hyperlink 17 2" xfId="246" xr:uid="{00000000-0005-0000-0000-0000F5000000}"/>
    <cellStyle name="Hyperlink 18" xfId="247" xr:uid="{00000000-0005-0000-0000-0000F6000000}"/>
    <cellStyle name="Hyperlink 18 2" xfId="248" xr:uid="{00000000-0005-0000-0000-0000F7000000}"/>
    <cellStyle name="Hyperlink 19" xfId="249" xr:uid="{00000000-0005-0000-0000-0000F8000000}"/>
    <cellStyle name="Hyperlink 19 2" xfId="250" xr:uid="{00000000-0005-0000-0000-0000F9000000}"/>
    <cellStyle name="Hyperlink 2" xfId="251" xr:uid="{00000000-0005-0000-0000-0000FA000000}"/>
    <cellStyle name="Hyperlink 2 2" xfId="252" xr:uid="{00000000-0005-0000-0000-0000FB000000}"/>
    <cellStyle name="Hyperlink 2 2 2" xfId="253" xr:uid="{00000000-0005-0000-0000-0000FC000000}"/>
    <cellStyle name="Hyperlink 2 3" xfId="254" xr:uid="{00000000-0005-0000-0000-0000FD000000}"/>
    <cellStyle name="Hyperlink 20" xfId="255" xr:uid="{00000000-0005-0000-0000-0000FE000000}"/>
    <cellStyle name="Hyperlink 3" xfId="256" xr:uid="{00000000-0005-0000-0000-0000FF000000}"/>
    <cellStyle name="Hyperlink 4" xfId="257" xr:uid="{00000000-0005-0000-0000-000000010000}"/>
    <cellStyle name="Neutral 2" xfId="258" xr:uid="{00000000-0005-0000-0000-000001010000}"/>
    <cellStyle name="Neutral 2 2" xfId="259" xr:uid="{00000000-0005-0000-0000-000002010000}"/>
    <cellStyle name="Neutral 2 2 2" xfId="260" xr:uid="{00000000-0005-0000-0000-000003010000}"/>
    <cellStyle name="Neutral 2 3" xfId="261" xr:uid="{00000000-0005-0000-0000-000004010000}"/>
    <cellStyle name="Neutral 2 4" xfId="262" xr:uid="{00000000-0005-0000-0000-000005010000}"/>
    <cellStyle name="Neutral 3" xfId="263" xr:uid="{00000000-0005-0000-0000-000006010000}"/>
    <cellStyle name="Neutral 3 2" xfId="264" xr:uid="{00000000-0005-0000-0000-000007010000}"/>
    <cellStyle name="Neutral 4" xfId="265" xr:uid="{00000000-0005-0000-0000-000008010000}"/>
    <cellStyle name="Neutral 5" xfId="266" xr:uid="{00000000-0005-0000-0000-000009010000}"/>
    <cellStyle name="Normal" xfId="0" builtinId="0"/>
    <cellStyle name="Normal 10 2" xfId="267" xr:uid="{00000000-0005-0000-0000-00000B010000}"/>
    <cellStyle name="Normal 10 2 2" xfId="268" xr:uid="{00000000-0005-0000-0000-00000C010000}"/>
    <cellStyle name="Normal 10 3 13" xfId="269" xr:uid="{00000000-0005-0000-0000-00000D010000}"/>
    <cellStyle name="Normal 10 4" xfId="270" xr:uid="{00000000-0005-0000-0000-00000E010000}"/>
    <cellStyle name="Normal 2" xfId="271" xr:uid="{00000000-0005-0000-0000-00000F010000}"/>
    <cellStyle name="Normal 2 2" xfId="272" xr:uid="{00000000-0005-0000-0000-000010010000}"/>
    <cellStyle name="Normal 2 2 2" xfId="273" xr:uid="{00000000-0005-0000-0000-000011010000}"/>
    <cellStyle name="Normal 2 2 2 2" xfId="274" xr:uid="{00000000-0005-0000-0000-000012010000}"/>
    <cellStyle name="Normal 2 2 3" xfId="275" xr:uid="{00000000-0005-0000-0000-000013010000}"/>
    <cellStyle name="Normal 2 2 3 2" xfId="276" xr:uid="{00000000-0005-0000-0000-000014010000}"/>
    <cellStyle name="Normal 2 2 3 3" xfId="277" xr:uid="{00000000-0005-0000-0000-000015010000}"/>
    <cellStyle name="Normal 2 2 4" xfId="278" xr:uid="{00000000-0005-0000-0000-000016010000}"/>
    <cellStyle name="Normal 2 3" xfId="279" xr:uid="{00000000-0005-0000-0000-000017010000}"/>
    <cellStyle name="Normal 2 3 2" xfId="280" xr:uid="{00000000-0005-0000-0000-000018010000}"/>
    <cellStyle name="Normal 2 3 2 2" xfId="281" xr:uid="{00000000-0005-0000-0000-000019010000}"/>
    <cellStyle name="Normal 2 3 3" xfId="282" xr:uid="{00000000-0005-0000-0000-00001A010000}"/>
    <cellStyle name="Normal 2 3 4" xfId="283" xr:uid="{00000000-0005-0000-0000-00001B010000}"/>
    <cellStyle name="Normal 2 4" xfId="284" xr:uid="{00000000-0005-0000-0000-00001C010000}"/>
    <cellStyle name="Normal 2 4 2" xfId="285" xr:uid="{00000000-0005-0000-0000-00001D010000}"/>
    <cellStyle name="Normal 2 5" xfId="286" xr:uid="{00000000-0005-0000-0000-00001E010000}"/>
    <cellStyle name="Normal 2 5 2" xfId="287" xr:uid="{00000000-0005-0000-0000-00001F010000}"/>
    <cellStyle name="Normal 2 5 3" xfId="288" xr:uid="{00000000-0005-0000-0000-000020010000}"/>
    <cellStyle name="Normal 2 6" xfId="289" xr:uid="{00000000-0005-0000-0000-000021010000}"/>
    <cellStyle name="Normal 3" xfId="290" xr:uid="{00000000-0005-0000-0000-000022010000}"/>
    <cellStyle name="Normal 3 2" xfId="291" xr:uid="{00000000-0005-0000-0000-000023010000}"/>
    <cellStyle name="Normal 3 2 2" xfId="292" xr:uid="{00000000-0005-0000-0000-000024010000}"/>
    <cellStyle name="Normal 3 2 2 2" xfId="293" xr:uid="{00000000-0005-0000-0000-000025010000}"/>
    <cellStyle name="Normal 3 2 2 3" xfId="294" xr:uid="{00000000-0005-0000-0000-000026010000}"/>
    <cellStyle name="Normal 3 2 3" xfId="295" xr:uid="{00000000-0005-0000-0000-000027010000}"/>
    <cellStyle name="Normal 3 2 4" xfId="296" xr:uid="{00000000-0005-0000-0000-000028010000}"/>
    <cellStyle name="Normal 3 2 5" xfId="297" xr:uid="{00000000-0005-0000-0000-000029010000}"/>
    <cellStyle name="Normal 3 3" xfId="298" xr:uid="{00000000-0005-0000-0000-00002A010000}"/>
    <cellStyle name="Normal 3 3 2" xfId="299" xr:uid="{00000000-0005-0000-0000-00002B010000}"/>
    <cellStyle name="Normal 3 3 3" xfId="300" xr:uid="{00000000-0005-0000-0000-00002C010000}"/>
    <cellStyle name="Normal 3 3 4" xfId="301" xr:uid="{00000000-0005-0000-0000-00002D010000}"/>
    <cellStyle name="Normal 3 3 5" xfId="302" xr:uid="{00000000-0005-0000-0000-00002E010000}"/>
    <cellStyle name="Normal 3 4" xfId="303" xr:uid="{00000000-0005-0000-0000-00002F010000}"/>
    <cellStyle name="Normal 3 4 2" xfId="304" xr:uid="{00000000-0005-0000-0000-000030010000}"/>
    <cellStyle name="Normal 3 4 3" xfId="305" xr:uid="{00000000-0005-0000-0000-000031010000}"/>
    <cellStyle name="Normal 3 5" xfId="306" xr:uid="{00000000-0005-0000-0000-000032010000}"/>
    <cellStyle name="Normal 3 6" xfId="307" xr:uid="{00000000-0005-0000-0000-000033010000}"/>
    <cellStyle name="Normal 32" xfId="308" xr:uid="{00000000-0005-0000-0000-000034010000}"/>
    <cellStyle name="Normal 35" xfId="309" xr:uid="{00000000-0005-0000-0000-000035010000}"/>
    <cellStyle name="Normal 4" xfId="310" xr:uid="{00000000-0005-0000-0000-000036010000}"/>
    <cellStyle name="Normal 4 2" xfId="311" xr:uid="{00000000-0005-0000-0000-000037010000}"/>
    <cellStyle name="Normal 4 2 2" xfId="312" xr:uid="{00000000-0005-0000-0000-000038010000}"/>
    <cellStyle name="Normal 4 2 3" xfId="313" xr:uid="{00000000-0005-0000-0000-000039010000}"/>
    <cellStyle name="Normal 4 2 4" xfId="314" xr:uid="{00000000-0005-0000-0000-00003A010000}"/>
    <cellStyle name="Normal 4 3" xfId="315" xr:uid="{00000000-0005-0000-0000-00003B010000}"/>
    <cellStyle name="Normal 4 3 2" xfId="316" xr:uid="{00000000-0005-0000-0000-00003C010000}"/>
    <cellStyle name="Normal 4 3 3" xfId="317" xr:uid="{00000000-0005-0000-0000-00003D010000}"/>
    <cellStyle name="Normal 4 4" xfId="318" xr:uid="{00000000-0005-0000-0000-00003E010000}"/>
    <cellStyle name="Normal 4 5" xfId="319" xr:uid="{00000000-0005-0000-0000-00003F010000}"/>
    <cellStyle name="Normal 5" xfId="320" xr:uid="{00000000-0005-0000-0000-000040010000}"/>
    <cellStyle name="Normal 5 2" xfId="321" xr:uid="{00000000-0005-0000-0000-000041010000}"/>
    <cellStyle name="Normal 5 2 2" xfId="322" xr:uid="{00000000-0005-0000-0000-000042010000}"/>
    <cellStyle name="Normal 5 3" xfId="323" xr:uid="{00000000-0005-0000-0000-000043010000}"/>
    <cellStyle name="Normal 5 4" xfId="324" xr:uid="{00000000-0005-0000-0000-000044010000}"/>
    <cellStyle name="Normal 6" xfId="325" xr:uid="{00000000-0005-0000-0000-000045010000}"/>
    <cellStyle name="Normal 6 2" xfId="326" xr:uid="{00000000-0005-0000-0000-000046010000}"/>
    <cellStyle name="Normal 7" xfId="327" xr:uid="{00000000-0005-0000-0000-000047010000}"/>
    <cellStyle name="Normal 7 2" xfId="328" xr:uid="{00000000-0005-0000-0000-000048010000}"/>
    <cellStyle name="Normal 8" xfId="329" xr:uid="{00000000-0005-0000-0000-000049010000}"/>
    <cellStyle name="Normal 8 2" xfId="330" xr:uid="{00000000-0005-0000-0000-00004A010000}"/>
    <cellStyle name="Normal 8 3" xfId="331" xr:uid="{00000000-0005-0000-0000-00004B010000}"/>
    <cellStyle name="Normal 9" xfId="332" xr:uid="{00000000-0005-0000-0000-00004C010000}"/>
    <cellStyle name="Normal 9 2" xfId="333" xr:uid="{00000000-0005-0000-0000-00004D010000}"/>
    <cellStyle name="Note" xfId="334" xr:uid="{00000000-0005-0000-0000-00004E010000}"/>
    <cellStyle name="Note 17" xfId="335" xr:uid="{00000000-0005-0000-0000-00004F010000}"/>
    <cellStyle name="Note 17 2" xfId="336" xr:uid="{00000000-0005-0000-0000-000050010000}"/>
    <cellStyle name="Note 18" xfId="337" xr:uid="{00000000-0005-0000-0000-000051010000}"/>
    <cellStyle name="Note 18 2" xfId="338" xr:uid="{00000000-0005-0000-0000-000052010000}"/>
    <cellStyle name="Note 19" xfId="339" xr:uid="{00000000-0005-0000-0000-000053010000}"/>
    <cellStyle name="Note 19 2" xfId="340" xr:uid="{00000000-0005-0000-0000-000054010000}"/>
    <cellStyle name="Note 2" xfId="341" xr:uid="{00000000-0005-0000-0000-000055010000}"/>
    <cellStyle name="Note 2 2" xfId="342" xr:uid="{00000000-0005-0000-0000-000056010000}"/>
    <cellStyle name="Note 2 2 2" xfId="343" xr:uid="{00000000-0005-0000-0000-000057010000}"/>
    <cellStyle name="Note 2 3" xfId="344" xr:uid="{00000000-0005-0000-0000-000058010000}"/>
    <cellStyle name="Note 20" xfId="345" xr:uid="{00000000-0005-0000-0000-000059010000}"/>
    <cellStyle name="Note 20 2" xfId="346" xr:uid="{00000000-0005-0000-0000-00005A010000}"/>
    <cellStyle name="Note 21" xfId="347" xr:uid="{00000000-0005-0000-0000-00005B010000}"/>
    <cellStyle name="Note 3" xfId="348" xr:uid="{00000000-0005-0000-0000-00005C010000}"/>
    <cellStyle name="Note 4" xfId="349" xr:uid="{00000000-0005-0000-0000-00005D010000}"/>
    <cellStyle name="Result" xfId="350" xr:uid="{00000000-0005-0000-0000-00005E010000}"/>
    <cellStyle name="Result (user)" xfId="351" xr:uid="{00000000-0005-0000-0000-00005F010000}"/>
    <cellStyle name="Result (user) (user)" xfId="352" xr:uid="{00000000-0005-0000-0000-000060010000}"/>
    <cellStyle name="Result (user) (user) 2" xfId="353" xr:uid="{00000000-0005-0000-0000-000061010000}"/>
    <cellStyle name="Result (user) 2" xfId="354" xr:uid="{00000000-0005-0000-0000-000062010000}"/>
    <cellStyle name="Result (user) 3" xfId="355" xr:uid="{00000000-0005-0000-0000-000063010000}"/>
    <cellStyle name="Result 1" xfId="356" xr:uid="{00000000-0005-0000-0000-000064010000}"/>
    <cellStyle name="Result 1 2" xfId="357" xr:uid="{00000000-0005-0000-0000-000065010000}"/>
    <cellStyle name="Result 2" xfId="358" xr:uid="{00000000-0005-0000-0000-000066010000}"/>
    <cellStyle name="Result 2 2" xfId="359" xr:uid="{00000000-0005-0000-0000-000067010000}"/>
    <cellStyle name="Result 2 3" xfId="360" xr:uid="{00000000-0005-0000-0000-000068010000}"/>
    <cellStyle name="Result 3" xfId="361" xr:uid="{00000000-0005-0000-0000-000069010000}"/>
    <cellStyle name="Result 4" xfId="362" xr:uid="{00000000-0005-0000-0000-00006A010000}"/>
    <cellStyle name="Result 5" xfId="363" xr:uid="{00000000-0005-0000-0000-00006B010000}"/>
    <cellStyle name="Result2" xfId="364" xr:uid="{00000000-0005-0000-0000-00006C010000}"/>
    <cellStyle name="Result2 (user)" xfId="365" xr:uid="{00000000-0005-0000-0000-00006D010000}"/>
    <cellStyle name="Result2 (user) (user)" xfId="366" xr:uid="{00000000-0005-0000-0000-00006E010000}"/>
    <cellStyle name="Result2 (user) (user) 2" xfId="367" xr:uid="{00000000-0005-0000-0000-00006F010000}"/>
    <cellStyle name="Result2 (user) 2" xfId="368" xr:uid="{00000000-0005-0000-0000-000070010000}"/>
    <cellStyle name="Result2 (user) 3" xfId="369" xr:uid="{00000000-0005-0000-0000-000071010000}"/>
    <cellStyle name="Result2 1" xfId="370" xr:uid="{00000000-0005-0000-0000-000072010000}"/>
    <cellStyle name="Result2 1 2" xfId="371" xr:uid="{00000000-0005-0000-0000-000073010000}"/>
    <cellStyle name="Result2 2" xfId="372" xr:uid="{00000000-0005-0000-0000-000074010000}"/>
    <cellStyle name="Result2 2 2" xfId="373" xr:uid="{00000000-0005-0000-0000-000075010000}"/>
    <cellStyle name="Result2 2 3" xfId="374" xr:uid="{00000000-0005-0000-0000-000076010000}"/>
    <cellStyle name="Result2 3" xfId="375" xr:uid="{00000000-0005-0000-0000-000077010000}"/>
    <cellStyle name="Result2 4" xfId="376" xr:uid="{00000000-0005-0000-0000-000078010000}"/>
    <cellStyle name="Result2 5" xfId="377" xr:uid="{00000000-0005-0000-0000-000079010000}"/>
    <cellStyle name="Result2 6" xfId="378" xr:uid="{00000000-0005-0000-0000-00007A010000}"/>
    <cellStyle name="Status" xfId="379" xr:uid="{00000000-0005-0000-0000-00007B010000}"/>
    <cellStyle name="Status 18" xfId="380" xr:uid="{00000000-0005-0000-0000-00007C010000}"/>
    <cellStyle name="Status 18 2" xfId="381" xr:uid="{00000000-0005-0000-0000-00007D010000}"/>
    <cellStyle name="Status 19" xfId="382" xr:uid="{00000000-0005-0000-0000-00007E010000}"/>
    <cellStyle name="Status 19 2" xfId="383" xr:uid="{00000000-0005-0000-0000-00007F010000}"/>
    <cellStyle name="Status 2" xfId="384" xr:uid="{00000000-0005-0000-0000-000080010000}"/>
    <cellStyle name="Status 2 2" xfId="385" xr:uid="{00000000-0005-0000-0000-000081010000}"/>
    <cellStyle name="Status 2 2 2" xfId="386" xr:uid="{00000000-0005-0000-0000-000082010000}"/>
    <cellStyle name="Status 2 3" xfId="387" xr:uid="{00000000-0005-0000-0000-000083010000}"/>
    <cellStyle name="Status 20" xfId="388" xr:uid="{00000000-0005-0000-0000-000084010000}"/>
    <cellStyle name="Status 20 2" xfId="389" xr:uid="{00000000-0005-0000-0000-000085010000}"/>
    <cellStyle name="Status 21" xfId="390" xr:uid="{00000000-0005-0000-0000-000086010000}"/>
    <cellStyle name="Status 21 2" xfId="391" xr:uid="{00000000-0005-0000-0000-000087010000}"/>
    <cellStyle name="Status 22" xfId="392" xr:uid="{00000000-0005-0000-0000-000088010000}"/>
    <cellStyle name="Status 3" xfId="393" xr:uid="{00000000-0005-0000-0000-000089010000}"/>
    <cellStyle name="Status 4" xfId="394" xr:uid="{00000000-0005-0000-0000-00008A010000}"/>
    <cellStyle name="Text" xfId="395" xr:uid="{00000000-0005-0000-0000-00008B010000}"/>
    <cellStyle name="Text 19" xfId="396" xr:uid="{00000000-0005-0000-0000-00008C010000}"/>
    <cellStyle name="Text 19 2" xfId="397" xr:uid="{00000000-0005-0000-0000-00008D010000}"/>
    <cellStyle name="Text 2" xfId="398" xr:uid="{00000000-0005-0000-0000-00008E010000}"/>
    <cellStyle name="Text 2 2" xfId="399" xr:uid="{00000000-0005-0000-0000-00008F010000}"/>
    <cellStyle name="Text 2 2 2" xfId="400" xr:uid="{00000000-0005-0000-0000-000090010000}"/>
    <cellStyle name="Text 2 3" xfId="401" xr:uid="{00000000-0005-0000-0000-000091010000}"/>
    <cellStyle name="Text 20" xfId="402" xr:uid="{00000000-0005-0000-0000-000092010000}"/>
    <cellStyle name="Text 20 2" xfId="403" xr:uid="{00000000-0005-0000-0000-000093010000}"/>
    <cellStyle name="Text 21" xfId="404" xr:uid="{00000000-0005-0000-0000-000094010000}"/>
    <cellStyle name="Text 21 2" xfId="405" xr:uid="{00000000-0005-0000-0000-000095010000}"/>
    <cellStyle name="Text 22" xfId="406" xr:uid="{00000000-0005-0000-0000-000096010000}"/>
    <cellStyle name="Text 22 2" xfId="407" xr:uid="{00000000-0005-0000-0000-000097010000}"/>
    <cellStyle name="Text 23" xfId="408" xr:uid="{00000000-0005-0000-0000-000098010000}"/>
    <cellStyle name="Text 3" xfId="409" xr:uid="{00000000-0005-0000-0000-000099010000}"/>
    <cellStyle name="Text 4" xfId="410" xr:uid="{00000000-0005-0000-0000-00009A010000}"/>
    <cellStyle name="Warning" xfId="411" xr:uid="{00000000-0005-0000-0000-00009B010000}"/>
    <cellStyle name="Warning 2" xfId="412" xr:uid="{00000000-0005-0000-0000-00009C010000}"/>
    <cellStyle name="Warning 2 2" xfId="413" xr:uid="{00000000-0005-0000-0000-00009D010000}"/>
    <cellStyle name="Warning 2 2 2" xfId="414" xr:uid="{00000000-0005-0000-0000-00009E010000}"/>
    <cellStyle name="Warning 2 3" xfId="415" xr:uid="{00000000-0005-0000-0000-00009F010000}"/>
    <cellStyle name="Warning 20" xfId="416" xr:uid="{00000000-0005-0000-0000-0000A0010000}"/>
    <cellStyle name="Warning 20 2" xfId="417" xr:uid="{00000000-0005-0000-0000-0000A1010000}"/>
    <cellStyle name="Warning 21" xfId="418" xr:uid="{00000000-0005-0000-0000-0000A2010000}"/>
    <cellStyle name="Warning 21 2" xfId="419" xr:uid="{00000000-0005-0000-0000-0000A3010000}"/>
    <cellStyle name="Warning 22" xfId="420" xr:uid="{00000000-0005-0000-0000-0000A4010000}"/>
    <cellStyle name="Warning 22 2" xfId="421" xr:uid="{00000000-0005-0000-0000-0000A5010000}"/>
    <cellStyle name="Warning 23" xfId="422" xr:uid="{00000000-0005-0000-0000-0000A6010000}"/>
    <cellStyle name="Warning 23 2" xfId="423" xr:uid="{00000000-0005-0000-0000-0000A7010000}"/>
    <cellStyle name="Warning 24" xfId="424" xr:uid="{00000000-0005-0000-0000-0000A8010000}"/>
    <cellStyle name="Warning 3" xfId="425" xr:uid="{00000000-0005-0000-0000-0000A9010000}"/>
    <cellStyle name="Warning 4" xfId="426" xr:uid="{00000000-0005-0000-0000-0000AA010000}"/>
  </cellStyles>
  <dxfs count="21">
    <dxf>
      <font>
        <color rgb="FF9C0006"/>
      </font>
      <fill>
        <patternFill patternType="solid">
          <bgColor rgb="FFFFC7CE"/>
        </patternFill>
      </fill>
    </dxf>
    <dxf>
      <font>
        <strike/>
      </font>
      <fill>
        <patternFill patternType="darkTrellis">
          <fgColor theme="0"/>
          <bgColor rgb="FFC00000"/>
        </patternFill>
      </fill>
    </dxf>
    <dxf>
      <fill>
        <patternFill patternType="solid">
          <bgColor theme="9" tint="0.59996337778862885"/>
        </patternFill>
      </fill>
    </dxf>
    <dxf>
      <fill>
        <patternFill patternType="solid">
          <bgColor theme="7" tint="0.59996337778862885"/>
        </patternFill>
      </fill>
    </dxf>
    <dxf>
      <font>
        <strike val="0"/>
      </font>
      <fill>
        <patternFill patternType="darkTrellis">
          <fgColor theme="0"/>
          <bgColor rgb="FFC00000"/>
        </patternFill>
      </fill>
    </dxf>
    <dxf>
      <font>
        <strike val="0"/>
      </font>
      <fill>
        <patternFill patternType="darkTrellis">
          <fgColor theme="0"/>
          <bgColor rgb="FFC00000"/>
        </patternFill>
      </fill>
    </dxf>
    <dxf>
      <font>
        <color auto="1"/>
      </font>
      <fill>
        <patternFill patternType="solid">
          <bgColor rgb="FFFF0000"/>
        </patternFill>
      </fill>
      <border>
        <left style="thin">
          <color auto="1"/>
        </left>
        <right style="thin">
          <color auto="1"/>
        </right>
        <top style="thin">
          <color auto="1"/>
        </top>
        <bottom style="thin">
          <color auto="1"/>
        </bottom>
      </border>
    </dxf>
    <dxf>
      <fill>
        <patternFill patternType="solid">
          <bgColor rgb="FFFF0000"/>
        </patternFill>
      </fill>
    </dxf>
    <dxf>
      <fill>
        <patternFill patternType="solid">
          <bgColor rgb="FFFF0000"/>
        </patternFill>
      </fill>
    </dxf>
    <dxf>
      <fill>
        <patternFill>
          <bgColor rgb="FF92D050"/>
        </patternFill>
      </fill>
    </dxf>
    <dxf>
      <font>
        <color rgb="FF9C0006"/>
      </font>
      <fill>
        <patternFill patternType="solid">
          <bgColor rgb="FFFFC7CE"/>
        </patternFill>
      </fill>
    </dxf>
    <dxf>
      <fill>
        <patternFill patternType="solid">
          <bgColor rgb="FFFF0000"/>
        </patternFill>
      </fill>
    </dxf>
    <dxf>
      <fill>
        <patternFill patternType="mediumGray">
          <fgColor rgb="FFC00000"/>
          <bgColor theme="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lightUp">
          <bgColor rgb="FF00B0F0"/>
        </patternFill>
      </fill>
    </dxf>
    <dxf>
      <fill>
        <patternFill patternType="lightUp">
          <bgColor rgb="FF00B0F0"/>
        </patternFill>
      </fill>
    </dxf>
    <dxf>
      <fill>
        <patternFill patternType="solid">
          <bgColor theme="5" tint="0.39967040009765925"/>
        </patternFill>
      </fill>
    </dxf>
  </dxfs>
  <tableStyles count="0" defaultTableStyle="TableStyleMedium2" defaultPivotStyle="PivotStyleLight16"/>
  <colors>
    <mruColors>
      <color rgb="FFFFCCFF"/>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2374900</xdr:colOff>
          <xdr:row>13</xdr:row>
          <xdr:rowOff>139700</xdr:rowOff>
        </xdr:from>
        <xdr:to>
          <xdr:col>5</xdr:col>
          <xdr:colOff>12700</xdr:colOff>
          <xdr:row>15</xdr:row>
          <xdr:rowOff>63500</xdr:rowOff>
        </xdr:to>
        <xdr:sp macro="" textlink="">
          <xdr:nvSpPr>
            <xdr:cNvPr id="2053" name="Button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s-MX" sz="1100" b="0" i="0" u="none" strike="noStrike" baseline="0">
                  <a:solidFill>
                    <a:srgbClr val="000000"/>
                  </a:solidFill>
                  <a:latin typeface="Calibri" pitchFamily="2" charset="0"/>
                  <a:cs typeface="Calibri" pitchFamily="2" charset="0"/>
                </a:rPr>
                <a:t>ELIMINAR FILTROS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3</xdr:col>
          <xdr:colOff>317500</xdr:colOff>
          <xdr:row>12</xdr:row>
          <xdr:rowOff>0</xdr:rowOff>
        </xdr:to>
        <xdr:sp macro="" textlink="">
          <xdr:nvSpPr>
            <xdr:cNvPr id="2055" name="CommandButton2"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139700</xdr:rowOff>
        </xdr:from>
        <xdr:to>
          <xdr:col>3</xdr:col>
          <xdr:colOff>317500</xdr:colOff>
          <xdr:row>5</xdr:row>
          <xdr:rowOff>139700</xdr:rowOff>
        </xdr:to>
        <xdr:sp macro="" textlink="">
          <xdr:nvSpPr>
            <xdr:cNvPr id="2056" name="CommandButton1"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N250"/>
  <sheetViews>
    <sheetView showGridLines="0" tabSelected="1" topLeftCell="C1" zoomScaleNormal="100" workbookViewId="0">
      <pane ySplit="1" topLeftCell="A111" activePane="bottomLeft" state="frozen"/>
      <selection pane="bottomLeft" activeCell="X112" sqref="X112"/>
    </sheetView>
  </sheetViews>
  <sheetFormatPr baseColWidth="10" defaultColWidth="11.5" defaultRowHeight="15" customHeight="1"/>
  <cols>
    <col min="1" max="1" width="12.33203125" customWidth="1"/>
    <col min="3" max="3" width="12.83203125" customWidth="1"/>
    <col min="4" max="4" width="9.6640625" customWidth="1"/>
    <col min="5" max="5" width="8.5" customWidth="1"/>
    <col min="6" max="7" width="20.6640625" style="80" customWidth="1"/>
    <col min="8" max="8" width="8.6640625" style="63" customWidth="1"/>
    <col min="9" max="9" width="11.5" style="63" customWidth="1"/>
    <col min="10" max="10" width="9.6640625" customWidth="1"/>
    <col min="11" max="11" width="16" style="80" customWidth="1"/>
    <col min="12" max="12" width="10.1640625" style="80" customWidth="1"/>
    <col min="13" max="13" width="10.5" style="80" customWidth="1"/>
    <col min="14" max="14" width="9.83203125" style="80" customWidth="1"/>
    <col min="15" max="15" width="15.33203125" style="80" customWidth="1"/>
    <col min="16" max="16" width="9.6640625" style="80" customWidth="1"/>
    <col min="17" max="23" width="6.6640625" customWidth="1"/>
    <col min="24" max="24" width="11.5" style="82" customWidth="1"/>
    <col min="25" max="29" width="6.6640625" style="42" customWidth="1"/>
    <col min="30" max="30" width="7.5" customWidth="1"/>
    <col min="31" max="31" width="4.5" customWidth="1"/>
    <col min="32" max="32" width="9.5" style="82" customWidth="1"/>
    <col min="33" max="37" width="20.6640625" style="82" customWidth="1"/>
    <col min="38" max="38" width="9" customWidth="1"/>
    <col min="39" max="40" width="11.5" customWidth="1"/>
  </cols>
  <sheetData>
    <row r="1" spans="1:40" s="47" customFormat="1" ht="15" customHeight="1">
      <c r="A1" s="48" t="s">
        <v>0</v>
      </c>
      <c r="B1" s="49" t="s">
        <v>1</v>
      </c>
      <c r="C1" s="49" t="s">
        <v>2</v>
      </c>
      <c r="D1" s="49" t="s">
        <v>3</v>
      </c>
      <c r="E1" s="49" t="s">
        <v>4</v>
      </c>
      <c r="F1" s="68" t="s">
        <v>5</v>
      </c>
      <c r="G1" s="68" t="s">
        <v>6</v>
      </c>
      <c r="H1" s="49" t="s">
        <v>7</v>
      </c>
      <c r="I1" s="49" t="s">
        <v>8</v>
      </c>
      <c r="J1" s="61" t="s">
        <v>2515</v>
      </c>
      <c r="K1" s="67" t="s">
        <v>2514</v>
      </c>
      <c r="L1" s="68" t="s">
        <v>10</v>
      </c>
      <c r="M1" s="68" t="s">
        <v>11</v>
      </c>
      <c r="N1" s="68" t="s">
        <v>2518</v>
      </c>
      <c r="O1" s="68" t="s">
        <v>12</v>
      </c>
      <c r="P1" s="68" t="s">
        <v>13</v>
      </c>
      <c r="Q1" s="50" t="s">
        <v>14</v>
      </c>
      <c r="R1" s="50" t="s">
        <v>15</v>
      </c>
      <c r="S1" s="50" t="s">
        <v>16</v>
      </c>
      <c r="T1" s="50" t="s">
        <v>17</v>
      </c>
      <c r="U1" s="50" t="s">
        <v>18</v>
      </c>
      <c r="V1" s="50" t="s">
        <v>19</v>
      </c>
      <c r="W1" s="50" t="s">
        <v>20</v>
      </c>
      <c r="X1" s="49" t="s">
        <v>21</v>
      </c>
      <c r="Y1" s="49" t="s">
        <v>22</v>
      </c>
      <c r="Z1" s="49" t="s">
        <v>23</v>
      </c>
      <c r="AA1" s="49" t="s">
        <v>24</v>
      </c>
      <c r="AB1" s="49" t="s">
        <v>25</v>
      </c>
      <c r="AC1" s="49" t="s">
        <v>26</v>
      </c>
      <c r="AD1" s="49" t="s">
        <v>27</v>
      </c>
      <c r="AE1" s="49" t="s">
        <v>28</v>
      </c>
      <c r="AF1" s="49" t="s">
        <v>29</v>
      </c>
      <c r="AG1" s="49" t="s">
        <v>30</v>
      </c>
      <c r="AH1" s="49" t="s">
        <v>31</v>
      </c>
      <c r="AI1" s="49" t="s">
        <v>32</v>
      </c>
      <c r="AJ1" s="51" t="s">
        <v>33</v>
      </c>
      <c r="AK1" s="52" t="s">
        <v>34</v>
      </c>
      <c r="AL1" s="53" t="s">
        <v>35</v>
      </c>
      <c r="AM1" s="53" t="s">
        <v>36</v>
      </c>
      <c r="AN1" s="53" t="s">
        <v>37</v>
      </c>
    </row>
    <row r="2" spans="1:40" s="76" customFormat="1" ht="15" customHeight="1">
      <c r="A2" s="69">
        <v>46175</v>
      </c>
      <c r="B2" s="70" t="str">
        <f t="shared" ref="B2" si="0">IF(AND(VALUE(Q2)&gt;=VALUE("06:00"),VALUE(Q2)&lt;=VALUE("17:59")),"06 A 18","18 A 06")</f>
        <v>18 A 06</v>
      </c>
      <c r="C2" s="71" t="str">
        <f t="shared" ref="C2" si="1">IF(AND(VALUE(Q2)&gt;=VALUE("00:00"),VALUE(Q2)&lt;=VALUE("01:59")),"00:00 a 02:00",IF(AND(VALUE(Q2)&gt;=VALUE("02:00"),VALUE(Q2)&lt;=VALUE("03:59")),"02:00 a 04:00",IF(AND(VALUE(Q2)&gt;=VALUE("04:00"),VALUE(Q2)&lt;=VALUE("05:59")),"04:00 a 06:00",IF(AND(VALUE(Q2)&gt;=VALUE("06:00"),VALUE(Q2)&lt;=VALUE("07:59")),"06:00 a 08:00",IF(AND(VALUE(Q2)&gt;=VALUE("08:00"),VALUE(Q2)&lt;=VALUE("09:59")),"08:00 a 10:00",IF(AND(VALUE(Q2)&gt;=VALUE("10:00"),VALUE(Q2)&lt;=VALUE("11:59")),"10:00 a 12:00",IF(AND(VALUE(Q2)&gt;=VALUE("12:00"),VALUE(Q2)&lt;=VALUE("13:59")),"12:00 a 14:00",IF(AND(VALUE(Q2)&gt;=VALUE("14:00"),VALUE(Q2)&lt;=VALUE("15:59")),"14:00 a 16:00",IF(AND(VALUE(Q2)&gt;=VALUE("16:00"),VALUE(Q2)&lt;=VALUE("17:59")),"16:00 a 18:00",IF(AND(VALUE(Q2)&gt;=VALUE("18:00"),VALUE(Q2)&lt;=VALUE("19:59")),"18:00 a 20:00",IF(AND(VALUE(Q2)&gt;=VALUE("20:00"),VALUE(Q2)&lt;=VALUE("21:59")),"20:00 a 22:00",IF(AND(VALUE(Q2)&gt;=VALUE("22:00"),VALUE(Q2)&lt;=VALUE("23:59")),"22:00 a 00:00","no corresponde"))))))))))))</f>
        <v>00:00 a 02:00</v>
      </c>
      <c r="D2" s="71" t="s">
        <v>2630</v>
      </c>
      <c r="E2" s="70">
        <v>3</v>
      </c>
      <c r="F2" s="87" t="s">
        <v>2631</v>
      </c>
      <c r="G2" s="87" t="s">
        <v>476</v>
      </c>
      <c r="H2" s="73">
        <v>341037</v>
      </c>
      <c r="I2" s="70">
        <v>48299818</v>
      </c>
      <c r="J2" s="70" t="s">
        <v>2544</v>
      </c>
      <c r="K2" s="95" t="s">
        <v>87</v>
      </c>
      <c r="L2" s="97" t="s">
        <v>174</v>
      </c>
      <c r="M2" s="87"/>
      <c r="N2" s="87"/>
      <c r="O2" s="87" t="s">
        <v>2635</v>
      </c>
      <c r="P2" s="87" t="s">
        <v>2573</v>
      </c>
      <c r="Q2" s="74">
        <v>2.0833333333333298E-3</v>
      </c>
      <c r="R2" s="74">
        <v>1.52777777777778E-2</v>
      </c>
      <c r="S2" s="74">
        <v>4.8611111111111103E-3</v>
      </c>
      <c r="T2" s="74" t="s">
        <v>2530</v>
      </c>
      <c r="U2" s="74" t="s">
        <v>2530</v>
      </c>
      <c r="V2" s="74" t="s">
        <v>2530</v>
      </c>
      <c r="W2" s="74" t="s">
        <v>2530</v>
      </c>
      <c r="X2" t="s">
        <v>2882</v>
      </c>
      <c r="Y2" s="75">
        <v>0</v>
      </c>
      <c r="Z2" s="75">
        <v>0</v>
      </c>
      <c r="AA2" s="75">
        <v>0</v>
      </c>
      <c r="AB2" s="70" t="s">
        <v>2574</v>
      </c>
      <c r="AC2" s="70" t="s">
        <v>2539</v>
      </c>
      <c r="AD2" s="70" t="s">
        <v>2540</v>
      </c>
      <c r="AE2" s="70"/>
      <c r="AF2" s="87"/>
      <c r="AG2" s="88" t="s">
        <v>45</v>
      </c>
      <c r="AH2" s="89"/>
      <c r="AI2" s="89"/>
      <c r="AJ2" s="89"/>
      <c r="AK2" s="90"/>
      <c r="AL2" s="63">
        <f>VLOOKUP(G2,VALIDACIONES!P:Q,2,0)</f>
        <v>30461376</v>
      </c>
      <c r="AM2" s="76" t="str">
        <f t="shared" ref="AM2" si="2">IF(OR(Z2&gt;0,Y2&gt;0),"IMPUTADO","NADA")</f>
        <v>NADA</v>
      </c>
      <c r="AN2" s="76" t="str">
        <f>IF(AND(AM2="IMPUTADO",ISBLANK(M2)),"FALTO","NO")</f>
        <v>NO</v>
      </c>
    </row>
    <row r="3" spans="1:40" s="76" customFormat="1" ht="15" customHeight="1">
      <c r="A3" s="69">
        <v>46175</v>
      </c>
      <c r="B3" s="70" t="str">
        <f t="shared" ref="B3:B66" si="3">IF(AND(VALUE(Q3)&gt;=VALUE("06:00"),VALUE(Q3)&lt;=VALUE("17:59")),"06 A 18","18 A 06")</f>
        <v>18 A 06</v>
      </c>
      <c r="C3" s="71" t="str">
        <f t="shared" ref="C3:C66" si="4">IF(AND(VALUE(Q3)&gt;=VALUE("00:00"),VALUE(Q3)&lt;=VALUE("01:59")),"00:00 a 02:00",IF(AND(VALUE(Q3)&gt;=VALUE("02:00"),VALUE(Q3)&lt;=VALUE("03:59")),"02:00 a 04:00",IF(AND(VALUE(Q3)&gt;=VALUE("04:00"),VALUE(Q3)&lt;=VALUE("05:59")),"04:00 a 06:00",IF(AND(VALUE(Q3)&gt;=VALUE("06:00"),VALUE(Q3)&lt;=VALUE("07:59")),"06:00 a 08:00",IF(AND(VALUE(Q3)&gt;=VALUE("08:00"),VALUE(Q3)&lt;=VALUE("09:59")),"08:00 a 10:00",IF(AND(VALUE(Q3)&gt;=VALUE("10:00"),VALUE(Q3)&lt;=VALUE("11:59")),"10:00 a 12:00",IF(AND(VALUE(Q3)&gt;=VALUE("12:00"),VALUE(Q3)&lt;=VALUE("13:59")),"12:00 a 14:00",IF(AND(VALUE(Q3)&gt;=VALUE("14:00"),VALUE(Q3)&lt;=VALUE("15:59")),"14:00 a 16:00",IF(AND(VALUE(Q3)&gt;=VALUE("16:00"),VALUE(Q3)&lt;=VALUE("17:59")),"16:00 a 18:00",IF(AND(VALUE(Q3)&gt;=VALUE("18:00"),VALUE(Q3)&lt;=VALUE("19:59")),"18:00 a 20:00",IF(AND(VALUE(Q3)&gt;=VALUE("20:00"),VALUE(Q3)&lt;=VALUE("21:59")),"20:00 a 22:00",IF(AND(VALUE(Q3)&gt;=VALUE("22:00"),VALUE(Q3)&lt;=VALUE("23:59")),"22:00 a 00:00","no corresponde"))))))))))))</f>
        <v>00:00 a 02:00</v>
      </c>
      <c r="D3" s="72" t="s">
        <v>2630</v>
      </c>
      <c r="E3" s="70">
        <v>3</v>
      </c>
      <c r="F3" s="87" t="s">
        <v>2632</v>
      </c>
      <c r="G3" s="87" t="s">
        <v>1066</v>
      </c>
      <c r="H3" s="73">
        <v>340984</v>
      </c>
      <c r="I3" s="70">
        <v>48299935</v>
      </c>
      <c r="J3" s="72" t="s">
        <v>2538</v>
      </c>
      <c r="K3" s="97" t="s">
        <v>146</v>
      </c>
      <c r="L3" s="87"/>
      <c r="M3" s="87"/>
      <c r="N3" s="87"/>
      <c r="O3" s="87" t="s">
        <v>2636</v>
      </c>
      <c r="P3" s="94" t="s">
        <v>2557</v>
      </c>
      <c r="Q3" s="74">
        <v>2.0833333333333301E-2</v>
      </c>
      <c r="R3" s="74">
        <v>2.5694444444444402E-2</v>
      </c>
      <c r="S3" s="74">
        <v>2.0833333333333301E-2</v>
      </c>
      <c r="T3" s="74" t="s">
        <v>2530</v>
      </c>
      <c r="U3" s="74" t="s">
        <v>2530</v>
      </c>
      <c r="V3" s="74" t="s">
        <v>2530</v>
      </c>
      <c r="W3" s="74" t="s">
        <v>2530</v>
      </c>
      <c r="X3" t="s">
        <v>2883</v>
      </c>
      <c r="Y3" s="75">
        <v>0</v>
      </c>
      <c r="Z3" s="75">
        <v>0</v>
      </c>
      <c r="AA3" s="75">
        <v>0</v>
      </c>
      <c r="AB3" s="70" t="s">
        <v>2559</v>
      </c>
      <c r="AC3" s="70" t="s">
        <v>2539</v>
      </c>
      <c r="AD3" s="72" t="s">
        <v>2540</v>
      </c>
      <c r="AE3" s="72" t="s">
        <v>2556</v>
      </c>
      <c r="AF3" s="89"/>
      <c r="AG3" s="88" t="s">
        <v>45</v>
      </c>
      <c r="AH3" s="89"/>
      <c r="AI3" s="89"/>
      <c r="AJ3" s="89"/>
      <c r="AK3" s="89"/>
      <c r="AL3" s="63"/>
    </row>
    <row r="4" spans="1:40" s="76" customFormat="1" ht="15" customHeight="1">
      <c r="A4" s="69">
        <v>46175</v>
      </c>
      <c r="B4" s="70" t="str">
        <f t="shared" si="3"/>
        <v>18 A 06</v>
      </c>
      <c r="C4" s="71" t="str">
        <f t="shared" si="4"/>
        <v>00:00 a 02:00</v>
      </c>
      <c r="D4" s="72" t="s">
        <v>2630</v>
      </c>
      <c r="E4" s="70">
        <v>3</v>
      </c>
      <c r="F4" s="87" t="s">
        <v>2632</v>
      </c>
      <c r="G4" s="87" t="s">
        <v>2087</v>
      </c>
      <c r="H4" s="73">
        <v>340988</v>
      </c>
      <c r="I4" s="70">
        <v>48299989</v>
      </c>
      <c r="J4" s="72" t="s">
        <v>2538</v>
      </c>
      <c r="K4" s="87" t="s">
        <v>174</v>
      </c>
      <c r="L4" s="87"/>
      <c r="M4" s="97" t="s">
        <v>174</v>
      </c>
      <c r="N4" s="87" t="s">
        <v>2529</v>
      </c>
      <c r="O4" s="87" t="s">
        <v>2637</v>
      </c>
      <c r="P4" s="94" t="s">
        <v>2577</v>
      </c>
      <c r="Q4" s="74">
        <v>3.125E-2</v>
      </c>
      <c r="R4" s="74">
        <v>6.31944444444444E-2</v>
      </c>
      <c r="S4" s="74">
        <v>3.125E-2</v>
      </c>
      <c r="T4" s="74" t="s">
        <v>2530</v>
      </c>
      <c r="U4" s="74" t="s">
        <v>2530</v>
      </c>
      <c r="V4" s="74" t="s">
        <v>2530</v>
      </c>
      <c r="W4" s="74" t="s">
        <v>2530</v>
      </c>
      <c r="X4" t="s">
        <v>2884</v>
      </c>
      <c r="Y4" s="75">
        <v>0</v>
      </c>
      <c r="Z4" s="75">
        <v>1</v>
      </c>
      <c r="AA4" s="75">
        <v>0</v>
      </c>
      <c r="AB4" s="70" t="s">
        <v>2578</v>
      </c>
      <c r="AC4" s="70" t="s">
        <v>2539</v>
      </c>
      <c r="AD4" s="72" t="s">
        <v>2540</v>
      </c>
      <c r="AE4" s="72" t="s">
        <v>2556</v>
      </c>
      <c r="AF4" s="89" t="s">
        <v>2638</v>
      </c>
      <c r="AG4" s="88" t="s">
        <v>54</v>
      </c>
      <c r="AH4" s="89"/>
      <c r="AI4" s="89"/>
      <c r="AJ4" s="89"/>
      <c r="AK4" s="89"/>
      <c r="AL4" s="63"/>
    </row>
    <row r="5" spans="1:40" s="76" customFormat="1" ht="15" customHeight="1">
      <c r="A5" s="69">
        <v>46175</v>
      </c>
      <c r="B5" s="70" t="str">
        <f t="shared" si="3"/>
        <v>18 A 06</v>
      </c>
      <c r="C5" s="71" t="str">
        <f t="shared" si="4"/>
        <v>00:00 a 02:00</v>
      </c>
      <c r="D5" s="72" t="s">
        <v>2630</v>
      </c>
      <c r="E5" s="70">
        <v>3</v>
      </c>
      <c r="F5" s="87" t="s">
        <v>278</v>
      </c>
      <c r="G5" s="87" t="s">
        <v>310</v>
      </c>
      <c r="H5" s="73">
        <v>341075</v>
      </c>
      <c r="I5" s="70">
        <v>48300083</v>
      </c>
      <c r="J5" s="72" t="s">
        <v>2538</v>
      </c>
      <c r="K5" s="87" t="s">
        <v>87</v>
      </c>
      <c r="L5" s="97" t="s">
        <v>169</v>
      </c>
      <c r="M5" s="87" t="s">
        <v>154</v>
      </c>
      <c r="N5" s="87"/>
      <c r="O5" s="87" t="s">
        <v>2639</v>
      </c>
      <c r="P5" s="94" t="s">
        <v>2562</v>
      </c>
      <c r="Q5" s="74">
        <v>5.3472222222222199E-2</v>
      </c>
      <c r="R5" s="74">
        <v>0.121527777777778</v>
      </c>
      <c r="S5" s="74">
        <v>5.5555555555555601E-2</v>
      </c>
      <c r="T5" s="74">
        <v>8.2638888888888901E-2</v>
      </c>
      <c r="U5" s="74" t="s">
        <v>2530</v>
      </c>
      <c r="V5" s="74" t="s">
        <v>2530</v>
      </c>
      <c r="W5" s="74" t="s">
        <v>2530</v>
      </c>
      <c r="X5" t="s">
        <v>2885</v>
      </c>
      <c r="Y5" s="75">
        <v>0</v>
      </c>
      <c r="Z5" s="75">
        <v>1</v>
      </c>
      <c r="AA5" s="75">
        <v>0</v>
      </c>
      <c r="AB5" s="70" t="s">
        <v>2593</v>
      </c>
      <c r="AC5" s="70" t="s">
        <v>2539</v>
      </c>
      <c r="AD5" s="72" t="s">
        <v>2540</v>
      </c>
      <c r="AE5" s="72"/>
      <c r="AF5" s="89" t="s">
        <v>2638</v>
      </c>
      <c r="AG5" s="88" t="s">
        <v>62</v>
      </c>
      <c r="AH5" s="89"/>
      <c r="AI5" s="89"/>
      <c r="AJ5" s="89"/>
      <c r="AK5" s="98" t="s">
        <v>2790</v>
      </c>
      <c r="AL5" s="63"/>
    </row>
    <row r="6" spans="1:40" s="76" customFormat="1" ht="15" customHeight="1">
      <c r="A6" s="69">
        <v>46175</v>
      </c>
      <c r="B6" s="70" t="str">
        <f t="shared" si="3"/>
        <v>18 A 06</v>
      </c>
      <c r="C6" s="71" t="str">
        <f t="shared" si="4"/>
        <v>00:00 a 02:00</v>
      </c>
      <c r="D6" s="72" t="s">
        <v>2630</v>
      </c>
      <c r="E6" s="70">
        <v>3</v>
      </c>
      <c r="F6" s="87" t="s">
        <v>2632</v>
      </c>
      <c r="G6" s="87" t="s">
        <v>611</v>
      </c>
      <c r="H6" s="73">
        <v>340992</v>
      </c>
      <c r="I6" s="70">
        <v>48300128</v>
      </c>
      <c r="J6" s="72" t="s">
        <v>2538</v>
      </c>
      <c r="K6" s="97" t="s">
        <v>146</v>
      </c>
      <c r="L6" s="87"/>
      <c r="M6" s="87"/>
      <c r="N6" s="87"/>
      <c r="O6" s="87" t="s">
        <v>2640</v>
      </c>
      <c r="P6" s="94" t="s">
        <v>2562</v>
      </c>
      <c r="Q6" s="74">
        <v>5.4166666666666703E-2</v>
      </c>
      <c r="R6" s="74">
        <v>7.4999999999999997E-2</v>
      </c>
      <c r="S6" s="74">
        <v>6.7361111111111094E-2</v>
      </c>
      <c r="T6" s="74" t="s">
        <v>2530</v>
      </c>
      <c r="U6" s="74" t="s">
        <v>2530</v>
      </c>
      <c r="V6" s="74" t="s">
        <v>2530</v>
      </c>
      <c r="W6" s="74" t="s">
        <v>2530</v>
      </c>
      <c r="X6" t="s">
        <v>2886</v>
      </c>
      <c r="Y6" s="75">
        <v>0</v>
      </c>
      <c r="Z6" s="75">
        <v>0</v>
      </c>
      <c r="AA6" s="75">
        <v>0</v>
      </c>
      <c r="AB6" s="70" t="s">
        <v>2563</v>
      </c>
      <c r="AC6" s="70" t="s">
        <v>2539</v>
      </c>
      <c r="AD6" s="72" t="s">
        <v>2564</v>
      </c>
      <c r="AE6" s="72"/>
      <c r="AF6" s="89"/>
      <c r="AG6" s="88" t="s">
        <v>45</v>
      </c>
      <c r="AH6" s="89"/>
      <c r="AI6" s="89"/>
      <c r="AJ6" s="89"/>
      <c r="AK6" s="89"/>
      <c r="AL6" s="63"/>
    </row>
    <row r="7" spans="1:40" s="76" customFormat="1" ht="15" customHeight="1">
      <c r="A7" s="69">
        <v>46175</v>
      </c>
      <c r="B7" s="70" t="str">
        <f t="shared" si="3"/>
        <v>18 A 06</v>
      </c>
      <c r="C7" s="71" t="str">
        <f t="shared" si="4"/>
        <v>00:00 a 02:00</v>
      </c>
      <c r="D7" s="72" t="s">
        <v>2630</v>
      </c>
      <c r="E7" s="70">
        <v>3</v>
      </c>
      <c r="F7" s="87" t="s">
        <v>2633</v>
      </c>
      <c r="G7" s="87" t="s">
        <v>1301</v>
      </c>
      <c r="H7" s="73">
        <v>340980</v>
      </c>
      <c r="I7" s="70">
        <v>48300065</v>
      </c>
      <c r="J7" s="72" t="s">
        <v>2538</v>
      </c>
      <c r="K7" s="87" t="s">
        <v>87</v>
      </c>
      <c r="L7" s="87" t="s">
        <v>186</v>
      </c>
      <c r="M7" s="87"/>
      <c r="N7" s="87"/>
      <c r="O7" s="87" t="s">
        <v>2641</v>
      </c>
      <c r="P7" s="94" t="s">
        <v>2577</v>
      </c>
      <c r="Q7" s="74">
        <v>5.6944444444444402E-2</v>
      </c>
      <c r="R7" s="74">
        <v>6.8750000000000006E-2</v>
      </c>
      <c r="S7" s="74">
        <v>5.6944444444444402E-2</v>
      </c>
      <c r="T7" s="74">
        <v>6.25E-2</v>
      </c>
      <c r="U7" s="74" t="s">
        <v>2530</v>
      </c>
      <c r="V7" s="74" t="s">
        <v>2530</v>
      </c>
      <c r="W7" s="74" t="s">
        <v>2530</v>
      </c>
      <c r="X7" t="s">
        <v>2887</v>
      </c>
      <c r="Y7" s="75">
        <v>0</v>
      </c>
      <c r="Z7" s="75">
        <v>0</v>
      </c>
      <c r="AA7" s="75">
        <v>0</v>
      </c>
      <c r="AB7" s="70" t="s">
        <v>2620</v>
      </c>
      <c r="AC7" s="70" t="s">
        <v>2539</v>
      </c>
      <c r="AD7" s="72" t="s">
        <v>2540</v>
      </c>
      <c r="AE7" s="72"/>
      <c r="AF7" s="89" t="s">
        <v>2642</v>
      </c>
      <c r="AG7" s="88" t="s">
        <v>45</v>
      </c>
      <c r="AH7" s="89"/>
      <c r="AI7" s="89"/>
      <c r="AJ7" s="89"/>
      <c r="AK7" s="89"/>
      <c r="AL7" s="63"/>
    </row>
    <row r="8" spans="1:40" s="76" customFormat="1" ht="15" customHeight="1">
      <c r="A8" s="69">
        <v>46175</v>
      </c>
      <c r="B8" s="70" t="str">
        <f t="shared" si="3"/>
        <v>18 A 06</v>
      </c>
      <c r="C8" s="71" t="str">
        <f t="shared" si="4"/>
        <v>00:00 a 02:00</v>
      </c>
      <c r="D8" s="72" t="s">
        <v>2630</v>
      </c>
      <c r="E8" s="70">
        <v>3</v>
      </c>
      <c r="F8" s="87" t="s">
        <v>2634</v>
      </c>
      <c r="G8" s="87" t="s">
        <v>1969</v>
      </c>
      <c r="H8" s="73">
        <v>340997</v>
      </c>
      <c r="I8" s="70">
        <v>48300059</v>
      </c>
      <c r="J8" s="72" t="s">
        <v>2538</v>
      </c>
      <c r="K8" s="87" t="s">
        <v>87</v>
      </c>
      <c r="L8" s="97" t="s">
        <v>186</v>
      </c>
      <c r="M8" s="87"/>
      <c r="N8" s="87"/>
      <c r="O8" s="87" t="s">
        <v>2643</v>
      </c>
      <c r="P8" s="94" t="s">
        <v>2586</v>
      </c>
      <c r="Q8" s="74">
        <v>6.0416666666666702E-2</v>
      </c>
      <c r="R8" s="74">
        <v>6.8055555555555494E-2</v>
      </c>
      <c r="S8" s="74">
        <v>6.0416666666666702E-2</v>
      </c>
      <c r="T8" s="74" t="s">
        <v>2530</v>
      </c>
      <c r="U8" s="74" t="s">
        <v>2530</v>
      </c>
      <c r="V8" s="74" t="s">
        <v>2530</v>
      </c>
      <c r="W8" s="74" t="s">
        <v>2530</v>
      </c>
      <c r="X8" t="s">
        <v>2888</v>
      </c>
      <c r="Y8" s="75">
        <v>0</v>
      </c>
      <c r="Z8" s="75">
        <v>0</v>
      </c>
      <c r="AA8" s="75">
        <v>0</v>
      </c>
      <c r="AB8" s="70" t="s">
        <v>2591</v>
      </c>
      <c r="AC8" s="70" t="s">
        <v>2539</v>
      </c>
      <c r="AD8" s="72" t="s">
        <v>2540</v>
      </c>
      <c r="AE8" s="72"/>
      <c r="AF8" s="89"/>
      <c r="AG8" s="88" t="s">
        <v>45</v>
      </c>
      <c r="AH8" s="89"/>
      <c r="AI8" s="89"/>
      <c r="AJ8" s="89"/>
      <c r="AK8" s="89"/>
      <c r="AL8" s="63"/>
    </row>
    <row r="9" spans="1:40" s="76" customFormat="1" ht="15" customHeight="1">
      <c r="A9" s="69">
        <v>46175</v>
      </c>
      <c r="B9" s="70" t="str">
        <f t="shared" si="3"/>
        <v>18 A 06</v>
      </c>
      <c r="C9" s="71" t="str">
        <f t="shared" si="4"/>
        <v>02:00 a 04:00</v>
      </c>
      <c r="D9" s="72" t="s">
        <v>2630</v>
      </c>
      <c r="E9" s="70">
        <v>3</v>
      </c>
      <c r="F9" s="87" t="s">
        <v>2632</v>
      </c>
      <c r="G9" s="87" t="s">
        <v>2114</v>
      </c>
      <c r="H9" s="73">
        <v>341102</v>
      </c>
      <c r="I9" s="70">
        <v>48300230</v>
      </c>
      <c r="J9" s="72" t="s">
        <v>2538</v>
      </c>
      <c r="K9" s="87" t="s">
        <v>87</v>
      </c>
      <c r="L9" s="87" t="s">
        <v>104</v>
      </c>
      <c r="M9" s="87"/>
      <c r="N9" s="87"/>
      <c r="O9" s="87" t="s">
        <v>2644</v>
      </c>
      <c r="P9" s="94" t="s">
        <v>2588</v>
      </c>
      <c r="Q9" s="74">
        <v>0.100694444444444</v>
      </c>
      <c r="R9" s="74">
        <v>0.116666666666667</v>
      </c>
      <c r="S9" s="74">
        <v>0.106944444444444</v>
      </c>
      <c r="T9" s="74" t="s">
        <v>2530</v>
      </c>
      <c r="U9" s="74">
        <v>0.102083333333333</v>
      </c>
      <c r="V9" s="74" t="s">
        <v>2530</v>
      </c>
      <c r="W9" s="74" t="s">
        <v>2530</v>
      </c>
      <c r="X9" t="s">
        <v>2889</v>
      </c>
      <c r="Y9" s="75">
        <v>0</v>
      </c>
      <c r="Z9" s="75">
        <v>1</v>
      </c>
      <c r="AA9" s="75">
        <v>0</v>
      </c>
      <c r="AB9" s="70" t="s">
        <v>2589</v>
      </c>
      <c r="AC9" s="70" t="s">
        <v>2539</v>
      </c>
      <c r="AD9" s="72" t="s">
        <v>2540</v>
      </c>
      <c r="AE9" s="72" t="s">
        <v>2556</v>
      </c>
      <c r="AF9" s="89" t="s">
        <v>2576</v>
      </c>
      <c r="AG9" s="88" t="s">
        <v>69</v>
      </c>
      <c r="AH9" s="89"/>
      <c r="AI9" s="89"/>
      <c r="AJ9" s="89"/>
      <c r="AK9" s="105" t="s">
        <v>2798</v>
      </c>
      <c r="AL9" s="63"/>
    </row>
    <row r="10" spans="1:40" s="76" customFormat="1" ht="15" customHeight="1">
      <c r="A10" s="69">
        <v>46175</v>
      </c>
      <c r="B10" s="70" t="str">
        <f t="shared" si="3"/>
        <v>18 A 06</v>
      </c>
      <c r="C10" s="71" t="str">
        <f t="shared" si="4"/>
        <v>02:00 a 04:00</v>
      </c>
      <c r="D10" s="72" t="s">
        <v>2630</v>
      </c>
      <c r="E10" s="70">
        <v>3</v>
      </c>
      <c r="F10" s="87" t="s">
        <v>340</v>
      </c>
      <c r="G10" s="87" t="s">
        <v>798</v>
      </c>
      <c r="H10" s="73">
        <v>341147</v>
      </c>
      <c r="I10" s="70">
        <v>48300251</v>
      </c>
      <c r="J10" s="72" t="s">
        <v>2543</v>
      </c>
      <c r="K10" s="87" t="s">
        <v>104</v>
      </c>
      <c r="L10" s="87"/>
      <c r="M10" s="87"/>
      <c r="N10" s="87"/>
      <c r="O10" s="87" t="s">
        <v>2645</v>
      </c>
      <c r="P10" s="94" t="s">
        <v>2600</v>
      </c>
      <c r="Q10" s="74">
        <v>0.104861111111111</v>
      </c>
      <c r="R10" s="74">
        <v>0.120833333333333</v>
      </c>
      <c r="S10" s="74">
        <v>0.109722222222222</v>
      </c>
      <c r="T10" s="74">
        <v>0.120833333333333</v>
      </c>
      <c r="U10" s="74">
        <v>0.109722222222222</v>
      </c>
      <c r="V10" s="74" t="s">
        <v>2530</v>
      </c>
      <c r="W10" s="74" t="s">
        <v>2530</v>
      </c>
      <c r="X10" t="s">
        <v>2890</v>
      </c>
      <c r="Y10" s="75">
        <v>0</v>
      </c>
      <c r="Z10" s="75">
        <v>0</v>
      </c>
      <c r="AA10" s="75">
        <v>0</v>
      </c>
      <c r="AB10" s="70" t="s">
        <v>2601</v>
      </c>
      <c r="AC10" s="70" t="s">
        <v>2539</v>
      </c>
      <c r="AD10" s="72" t="s">
        <v>2540</v>
      </c>
      <c r="AE10" s="72"/>
      <c r="AF10" s="89"/>
      <c r="AG10" s="88" t="s">
        <v>45</v>
      </c>
      <c r="AH10" s="89"/>
      <c r="AI10" s="89"/>
      <c r="AJ10" s="89"/>
      <c r="AK10" s="89"/>
      <c r="AL10" s="63"/>
    </row>
    <row r="11" spans="1:40" s="76" customFormat="1" ht="15" customHeight="1">
      <c r="A11" s="69">
        <v>46175</v>
      </c>
      <c r="B11" s="70" t="str">
        <f t="shared" si="3"/>
        <v>18 A 06</v>
      </c>
      <c r="C11" s="71" t="str">
        <f t="shared" si="4"/>
        <v>02:00 a 04:00</v>
      </c>
      <c r="D11" s="72" t="s">
        <v>2630</v>
      </c>
      <c r="E11" s="70">
        <v>3</v>
      </c>
      <c r="F11" s="87" t="s">
        <v>2633</v>
      </c>
      <c r="G11" s="87" t="s">
        <v>2159</v>
      </c>
      <c r="H11" s="73">
        <v>341083</v>
      </c>
      <c r="I11" s="70">
        <v>48300260</v>
      </c>
      <c r="J11" s="72" t="s">
        <v>2538</v>
      </c>
      <c r="K11" s="87" t="s">
        <v>87</v>
      </c>
      <c r="L11" s="87" t="s">
        <v>126</v>
      </c>
      <c r="M11" s="87"/>
      <c r="N11" s="87"/>
      <c r="O11" s="87" t="s">
        <v>2646</v>
      </c>
      <c r="P11" s="94" t="s">
        <v>2595</v>
      </c>
      <c r="Q11" s="74">
        <v>0.109027777777778</v>
      </c>
      <c r="R11" s="74">
        <v>0.14444444444444399</v>
      </c>
      <c r="S11" s="74" t="s">
        <v>2530</v>
      </c>
      <c r="T11" s="74" t="s">
        <v>2530</v>
      </c>
      <c r="U11" s="74" t="s">
        <v>2530</v>
      </c>
      <c r="V11" s="74" t="s">
        <v>2647</v>
      </c>
      <c r="W11" s="74">
        <v>0.109027777777778</v>
      </c>
      <c r="X11" t="s">
        <v>2891</v>
      </c>
      <c r="Y11" s="75">
        <v>0</v>
      </c>
      <c r="Z11" s="75">
        <v>0</v>
      </c>
      <c r="AA11" s="75">
        <v>0</v>
      </c>
      <c r="AB11" s="70" t="s">
        <v>2611</v>
      </c>
      <c r="AC11" s="70" t="s">
        <v>2539</v>
      </c>
      <c r="AD11" s="72" t="s">
        <v>2540</v>
      </c>
      <c r="AE11" s="72"/>
      <c r="AF11" s="89"/>
      <c r="AG11" s="88" t="s">
        <v>45</v>
      </c>
      <c r="AH11" s="89"/>
      <c r="AI11" s="89"/>
      <c r="AJ11" s="89"/>
      <c r="AK11" s="89"/>
      <c r="AL11" s="63"/>
    </row>
    <row r="12" spans="1:40" s="76" customFormat="1" ht="15" customHeight="1">
      <c r="A12" s="69">
        <v>46175</v>
      </c>
      <c r="B12" s="70" t="str">
        <f t="shared" si="3"/>
        <v>18 A 06</v>
      </c>
      <c r="C12" s="71" t="str">
        <f t="shared" si="4"/>
        <v>02:00 a 04:00</v>
      </c>
      <c r="D12" s="72" t="s">
        <v>2630</v>
      </c>
      <c r="E12" s="70">
        <v>3</v>
      </c>
      <c r="F12" s="87" t="s">
        <v>278</v>
      </c>
      <c r="G12" s="87" t="s">
        <v>541</v>
      </c>
      <c r="H12" s="73">
        <v>341084</v>
      </c>
      <c r="I12" s="70">
        <v>48300268</v>
      </c>
      <c r="J12" s="72" t="s">
        <v>2538</v>
      </c>
      <c r="K12" s="87" t="s">
        <v>87</v>
      </c>
      <c r="L12" s="97" t="s">
        <v>186</v>
      </c>
      <c r="M12" s="87"/>
      <c r="N12" s="87"/>
      <c r="O12" s="87" t="s">
        <v>2648</v>
      </c>
      <c r="P12" s="94" t="s">
        <v>2579</v>
      </c>
      <c r="Q12" s="74">
        <v>0.109722222222222</v>
      </c>
      <c r="R12" s="74">
        <v>0.14305555555555599</v>
      </c>
      <c r="S12" s="74">
        <v>0.109722222222222</v>
      </c>
      <c r="T12" s="74">
        <v>0.12291666666666699</v>
      </c>
      <c r="U12" s="74" t="s">
        <v>2530</v>
      </c>
      <c r="V12" s="74" t="s">
        <v>2530</v>
      </c>
      <c r="W12" s="74" t="s">
        <v>2530</v>
      </c>
      <c r="X12" t="s">
        <v>2892</v>
      </c>
      <c r="Y12" s="75">
        <v>0</v>
      </c>
      <c r="Z12" s="75">
        <v>0</v>
      </c>
      <c r="AA12" s="75">
        <v>0</v>
      </c>
      <c r="AB12" s="70" t="s">
        <v>2554</v>
      </c>
      <c r="AC12" s="70" t="s">
        <v>2539</v>
      </c>
      <c r="AD12" s="72" t="s">
        <v>2540</v>
      </c>
      <c r="AE12" s="72"/>
      <c r="AF12" s="89"/>
      <c r="AG12" s="88" t="s">
        <v>45</v>
      </c>
      <c r="AH12" s="89"/>
      <c r="AI12" s="89"/>
      <c r="AJ12" s="89"/>
      <c r="AK12" s="89"/>
      <c r="AL12" s="63"/>
    </row>
    <row r="13" spans="1:40" s="76" customFormat="1" ht="15" customHeight="1">
      <c r="A13" s="69">
        <v>46175</v>
      </c>
      <c r="B13" s="70" t="str">
        <f t="shared" si="3"/>
        <v>18 A 06</v>
      </c>
      <c r="C13" s="71" t="str">
        <f t="shared" si="4"/>
        <v>02:00 a 04:00</v>
      </c>
      <c r="D13" s="72" t="s">
        <v>2630</v>
      </c>
      <c r="E13" s="70">
        <v>3</v>
      </c>
      <c r="F13" s="87" t="s">
        <v>2634</v>
      </c>
      <c r="G13" s="87" t="s">
        <v>2278</v>
      </c>
      <c r="H13" s="73">
        <v>341061</v>
      </c>
      <c r="I13" s="70">
        <v>48300265</v>
      </c>
      <c r="J13" s="72" t="s">
        <v>2538</v>
      </c>
      <c r="K13" s="97" t="s">
        <v>87</v>
      </c>
      <c r="L13" s="87" t="s">
        <v>122</v>
      </c>
      <c r="M13" s="87"/>
      <c r="N13" s="87"/>
      <c r="O13" s="87" t="s">
        <v>2649</v>
      </c>
      <c r="P13" s="94" t="s">
        <v>2562</v>
      </c>
      <c r="Q13" s="74">
        <v>0.11111111111111099</v>
      </c>
      <c r="R13" s="74">
        <v>0.125</v>
      </c>
      <c r="S13" s="74">
        <v>0.11111111111111099</v>
      </c>
      <c r="T13" s="74" t="s">
        <v>2530</v>
      </c>
      <c r="U13" s="74" t="s">
        <v>2530</v>
      </c>
      <c r="V13" s="74" t="s">
        <v>2530</v>
      </c>
      <c r="W13" s="74" t="s">
        <v>2530</v>
      </c>
      <c r="X13" t="s">
        <v>2893</v>
      </c>
      <c r="Y13" s="75">
        <v>0</v>
      </c>
      <c r="Z13" s="75">
        <v>0</v>
      </c>
      <c r="AA13" s="75">
        <v>0</v>
      </c>
      <c r="AB13" s="70" t="s">
        <v>2559</v>
      </c>
      <c r="AC13" s="70" t="s">
        <v>2539</v>
      </c>
      <c r="AD13" s="72" t="s">
        <v>2564</v>
      </c>
      <c r="AE13" s="72"/>
      <c r="AF13" s="89"/>
      <c r="AG13" s="88" t="s">
        <v>45</v>
      </c>
      <c r="AH13" s="89"/>
      <c r="AI13" s="89"/>
      <c r="AJ13" s="89"/>
      <c r="AK13" s="89"/>
      <c r="AL13" s="63"/>
    </row>
    <row r="14" spans="1:40" s="76" customFormat="1" ht="15" customHeight="1">
      <c r="A14" s="69">
        <v>46175</v>
      </c>
      <c r="B14" s="70" t="str">
        <f t="shared" si="3"/>
        <v>18 A 06</v>
      </c>
      <c r="C14" s="71" t="str">
        <f t="shared" si="4"/>
        <v>02:00 a 04:00</v>
      </c>
      <c r="D14" s="72" t="s">
        <v>2630</v>
      </c>
      <c r="E14" s="70">
        <v>3</v>
      </c>
      <c r="F14" s="87" t="s">
        <v>2632</v>
      </c>
      <c r="G14" s="87" t="s">
        <v>870</v>
      </c>
      <c r="H14" s="73">
        <v>341043</v>
      </c>
      <c r="I14" s="70">
        <v>48300276</v>
      </c>
      <c r="J14" s="72" t="s">
        <v>2538</v>
      </c>
      <c r="K14" s="87" t="s">
        <v>87</v>
      </c>
      <c r="L14" s="97" t="s">
        <v>126</v>
      </c>
      <c r="M14" s="87"/>
      <c r="N14" s="87"/>
      <c r="O14" s="87" t="s">
        <v>2650</v>
      </c>
      <c r="P14" s="94" t="s">
        <v>2651</v>
      </c>
      <c r="Q14" s="74">
        <v>0.11527777777777801</v>
      </c>
      <c r="R14" s="74">
        <v>0.116666666666667</v>
      </c>
      <c r="S14" s="74">
        <v>0.11527777777777801</v>
      </c>
      <c r="T14" s="74" t="s">
        <v>2530</v>
      </c>
      <c r="U14" s="74" t="s">
        <v>2530</v>
      </c>
      <c r="V14" s="74" t="s">
        <v>2530</v>
      </c>
      <c r="W14" s="74" t="s">
        <v>2530</v>
      </c>
      <c r="X14" t="s">
        <v>2894</v>
      </c>
      <c r="Y14" s="75">
        <v>0</v>
      </c>
      <c r="Z14" s="75">
        <v>0</v>
      </c>
      <c r="AA14" s="75">
        <v>0</v>
      </c>
      <c r="AB14" s="70" t="s">
        <v>2589</v>
      </c>
      <c r="AC14" s="70" t="s">
        <v>2539</v>
      </c>
      <c r="AD14" s="72" t="s">
        <v>2540</v>
      </c>
      <c r="AE14" s="72"/>
      <c r="AF14" s="89"/>
      <c r="AG14" s="88" t="s">
        <v>45</v>
      </c>
      <c r="AH14" s="89"/>
      <c r="AI14" s="89"/>
      <c r="AJ14" s="89"/>
      <c r="AK14" s="89"/>
      <c r="AL14" s="63"/>
    </row>
    <row r="15" spans="1:40" s="76" customFormat="1" ht="15" customHeight="1">
      <c r="A15" s="69">
        <v>46175</v>
      </c>
      <c r="B15" s="70" t="str">
        <f t="shared" si="3"/>
        <v>18 A 06</v>
      </c>
      <c r="C15" s="71" t="str">
        <f t="shared" si="4"/>
        <v>02:00 a 04:00</v>
      </c>
      <c r="D15" s="72" t="s">
        <v>2630</v>
      </c>
      <c r="E15" s="70">
        <v>3</v>
      </c>
      <c r="F15" s="87" t="s">
        <v>2632</v>
      </c>
      <c r="G15" s="87" t="s">
        <v>976</v>
      </c>
      <c r="H15" s="73">
        <v>341150</v>
      </c>
      <c r="I15" s="70">
        <v>48300358</v>
      </c>
      <c r="J15" s="72" t="s">
        <v>2538</v>
      </c>
      <c r="K15" s="87" t="s">
        <v>87</v>
      </c>
      <c r="L15" s="97" t="s">
        <v>174</v>
      </c>
      <c r="M15" s="97" t="s">
        <v>174</v>
      </c>
      <c r="N15" s="87"/>
      <c r="O15" s="87" t="s">
        <v>2652</v>
      </c>
      <c r="P15" s="94" t="s">
        <v>2603</v>
      </c>
      <c r="Q15" s="74">
        <v>0.14305555555555599</v>
      </c>
      <c r="R15" s="74">
        <v>0.21527777777777801</v>
      </c>
      <c r="S15" s="74">
        <v>0.14305555555555599</v>
      </c>
      <c r="T15" s="74">
        <v>0.16250000000000001</v>
      </c>
      <c r="U15" s="74" t="s">
        <v>2530</v>
      </c>
      <c r="V15" s="74" t="s">
        <v>2530</v>
      </c>
      <c r="W15" s="74" t="s">
        <v>2530</v>
      </c>
      <c r="X15" t="s">
        <v>2895</v>
      </c>
      <c r="Y15" s="75">
        <v>0</v>
      </c>
      <c r="Z15" s="75">
        <v>2</v>
      </c>
      <c r="AA15" s="75">
        <v>0</v>
      </c>
      <c r="AB15" s="70" t="s">
        <v>2606</v>
      </c>
      <c r="AC15" s="70" t="s">
        <v>2539</v>
      </c>
      <c r="AD15" s="72" t="s">
        <v>2564</v>
      </c>
      <c r="AE15" s="72" t="s">
        <v>2556</v>
      </c>
      <c r="AF15" s="89" t="s">
        <v>2653</v>
      </c>
      <c r="AG15" s="88" t="s">
        <v>62</v>
      </c>
      <c r="AH15" s="89"/>
      <c r="AI15" s="89"/>
      <c r="AJ15" s="89"/>
      <c r="AK15" s="89"/>
      <c r="AL15" s="63"/>
    </row>
    <row r="16" spans="1:40" s="76" customFormat="1" ht="15" customHeight="1">
      <c r="A16" s="69">
        <v>46175</v>
      </c>
      <c r="B16" s="70" t="str">
        <f t="shared" si="3"/>
        <v>18 A 06</v>
      </c>
      <c r="C16" s="71" t="str">
        <f t="shared" si="4"/>
        <v>02:00 a 04:00</v>
      </c>
      <c r="D16" s="72" t="s">
        <v>2630</v>
      </c>
      <c r="E16" s="70">
        <v>3</v>
      </c>
      <c r="F16" s="87" t="s">
        <v>340</v>
      </c>
      <c r="G16" s="87" t="s">
        <v>771</v>
      </c>
      <c r="H16" s="73">
        <v>341130</v>
      </c>
      <c r="I16" s="70">
        <v>48300356</v>
      </c>
      <c r="J16" s="72" t="s">
        <v>2543</v>
      </c>
      <c r="K16" s="87" t="s">
        <v>87</v>
      </c>
      <c r="L16" s="97" t="s">
        <v>126</v>
      </c>
      <c r="M16" s="87"/>
      <c r="N16" s="87"/>
      <c r="O16" s="87" t="s">
        <v>2654</v>
      </c>
      <c r="P16" s="94" t="s">
        <v>2655</v>
      </c>
      <c r="Q16" s="74">
        <v>0.14444444444444399</v>
      </c>
      <c r="R16" s="74">
        <v>0.14513888888888901</v>
      </c>
      <c r="S16" s="74">
        <v>0.14444444444444399</v>
      </c>
      <c r="T16" s="74" t="s">
        <v>2530</v>
      </c>
      <c r="U16" s="74" t="s">
        <v>2530</v>
      </c>
      <c r="V16" s="74" t="s">
        <v>2530</v>
      </c>
      <c r="W16" s="74" t="s">
        <v>2530</v>
      </c>
      <c r="X16" t="s">
        <v>2896</v>
      </c>
      <c r="Y16" s="75">
        <v>0</v>
      </c>
      <c r="Z16" s="75">
        <v>0</v>
      </c>
      <c r="AA16" s="75">
        <v>0</v>
      </c>
      <c r="AB16" s="70" t="s">
        <v>2624</v>
      </c>
      <c r="AC16" s="70" t="s">
        <v>2539</v>
      </c>
      <c r="AD16" s="72" t="s">
        <v>2540</v>
      </c>
      <c r="AE16" s="72"/>
      <c r="AF16" s="89"/>
      <c r="AG16" s="88" t="s">
        <v>45</v>
      </c>
      <c r="AH16" s="89"/>
      <c r="AI16" s="89"/>
      <c r="AJ16" s="89"/>
      <c r="AK16" s="89"/>
      <c r="AL16" s="63"/>
    </row>
    <row r="17" spans="1:38" s="76" customFormat="1" ht="15" customHeight="1">
      <c r="A17" s="69">
        <v>46175</v>
      </c>
      <c r="B17" s="70" t="str">
        <f t="shared" si="3"/>
        <v>18 A 06</v>
      </c>
      <c r="C17" s="71" t="str">
        <f t="shared" si="4"/>
        <v>02:00 a 04:00</v>
      </c>
      <c r="D17" s="72" t="s">
        <v>2630</v>
      </c>
      <c r="E17" s="70">
        <v>3</v>
      </c>
      <c r="F17" s="87" t="s">
        <v>340</v>
      </c>
      <c r="G17" s="87" t="s">
        <v>798</v>
      </c>
      <c r="H17" s="73">
        <v>341131</v>
      </c>
      <c r="I17" s="70">
        <v>48300357</v>
      </c>
      <c r="J17" s="72" t="s">
        <v>2543</v>
      </c>
      <c r="K17" s="87" t="s">
        <v>87</v>
      </c>
      <c r="L17" s="87" t="s">
        <v>174</v>
      </c>
      <c r="M17" s="97" t="s">
        <v>174</v>
      </c>
      <c r="N17" s="87" t="s">
        <v>2523</v>
      </c>
      <c r="O17" s="87" t="s">
        <v>2656</v>
      </c>
      <c r="P17" s="94" t="s">
        <v>2600</v>
      </c>
      <c r="Q17" s="74">
        <v>0.14513888888888901</v>
      </c>
      <c r="R17" s="74">
        <v>0.202777777777778</v>
      </c>
      <c r="S17" s="74">
        <v>0.147916666666667</v>
      </c>
      <c r="T17" s="74" t="s">
        <v>2530</v>
      </c>
      <c r="U17" s="74" t="s">
        <v>2530</v>
      </c>
      <c r="V17" s="74" t="s">
        <v>2530</v>
      </c>
      <c r="W17" s="74" t="s">
        <v>2530</v>
      </c>
      <c r="X17" t="s">
        <v>2897</v>
      </c>
      <c r="Y17" s="75">
        <v>0</v>
      </c>
      <c r="Z17" s="75">
        <v>1</v>
      </c>
      <c r="AA17" s="75">
        <v>0</v>
      </c>
      <c r="AB17" s="70" t="s">
        <v>2601</v>
      </c>
      <c r="AC17" s="70" t="s">
        <v>2539</v>
      </c>
      <c r="AD17" s="72" t="s">
        <v>2540</v>
      </c>
      <c r="AE17" s="72" t="s">
        <v>2556</v>
      </c>
      <c r="AF17" s="89" t="s">
        <v>2576</v>
      </c>
      <c r="AG17" s="88" t="s">
        <v>69</v>
      </c>
      <c r="AH17" s="89" t="s">
        <v>2881</v>
      </c>
      <c r="AI17" s="89"/>
      <c r="AJ17" s="89"/>
      <c r="AK17" s="89"/>
      <c r="AL17" s="63"/>
    </row>
    <row r="18" spans="1:38" s="76" customFormat="1" ht="15" customHeight="1">
      <c r="A18" s="69">
        <v>46175</v>
      </c>
      <c r="B18" s="70" t="str">
        <f t="shared" si="3"/>
        <v>18 A 06</v>
      </c>
      <c r="C18" s="71" t="str">
        <f t="shared" si="4"/>
        <v>02:00 a 04:00</v>
      </c>
      <c r="D18" s="72" t="s">
        <v>2630</v>
      </c>
      <c r="E18" s="70">
        <v>3</v>
      </c>
      <c r="F18" s="87" t="s">
        <v>340</v>
      </c>
      <c r="G18" s="87" t="s">
        <v>1859</v>
      </c>
      <c r="H18" s="73">
        <v>341135</v>
      </c>
      <c r="I18" s="70">
        <v>48300380</v>
      </c>
      <c r="J18" s="72" t="s">
        <v>2543</v>
      </c>
      <c r="K18" s="87" t="s">
        <v>196</v>
      </c>
      <c r="L18" s="87"/>
      <c r="M18" s="87"/>
      <c r="N18" s="87"/>
      <c r="O18" s="87" t="s">
        <v>2657</v>
      </c>
      <c r="P18" s="94" t="s">
        <v>2616</v>
      </c>
      <c r="Q18" s="74">
        <v>0.16597222222222199</v>
      </c>
      <c r="R18" s="74">
        <v>0.219444444444444</v>
      </c>
      <c r="S18" s="74">
        <v>0.16597222222222199</v>
      </c>
      <c r="T18" s="74" t="s">
        <v>2530</v>
      </c>
      <c r="U18" s="74" t="s">
        <v>2530</v>
      </c>
      <c r="V18" s="74" t="s">
        <v>2530</v>
      </c>
      <c r="W18" s="74" t="s">
        <v>2530</v>
      </c>
      <c r="X18" t="s">
        <v>2898</v>
      </c>
      <c r="Y18" s="75">
        <v>0</v>
      </c>
      <c r="Z18" s="75">
        <v>0</v>
      </c>
      <c r="AA18" s="75">
        <v>0</v>
      </c>
      <c r="AB18" s="70" t="s">
        <v>2658</v>
      </c>
      <c r="AC18" s="70" t="s">
        <v>2539</v>
      </c>
      <c r="AD18" s="72" t="s">
        <v>2540</v>
      </c>
      <c r="AE18" s="72"/>
      <c r="AF18" s="89"/>
      <c r="AG18" s="88" t="s">
        <v>45</v>
      </c>
      <c r="AH18" s="89"/>
      <c r="AI18" s="89"/>
      <c r="AJ18" s="89"/>
      <c r="AK18" s="89"/>
      <c r="AL18" s="63"/>
    </row>
    <row r="19" spans="1:38" s="76" customFormat="1" ht="15" customHeight="1">
      <c r="A19" s="69">
        <v>46175</v>
      </c>
      <c r="B19" s="70" t="str">
        <f t="shared" si="3"/>
        <v>18 A 06</v>
      </c>
      <c r="C19" s="71" t="str">
        <f t="shared" si="4"/>
        <v>02:00 a 04:00</v>
      </c>
      <c r="D19" s="72" t="s">
        <v>2630</v>
      </c>
      <c r="E19" s="70">
        <v>3</v>
      </c>
      <c r="F19" s="87" t="s">
        <v>2632</v>
      </c>
      <c r="G19" s="87" t="s">
        <v>1818</v>
      </c>
      <c r="H19" s="73">
        <v>341151</v>
      </c>
      <c r="I19" s="70">
        <v>48300389</v>
      </c>
      <c r="J19" s="72" t="s">
        <v>2538</v>
      </c>
      <c r="K19" s="87" t="s">
        <v>87</v>
      </c>
      <c r="L19" s="87" t="s">
        <v>126</v>
      </c>
      <c r="M19" s="97" t="s">
        <v>83</v>
      </c>
      <c r="N19" s="87"/>
      <c r="O19" s="87" t="s">
        <v>2659</v>
      </c>
      <c r="P19" s="94" t="s">
        <v>2586</v>
      </c>
      <c r="Q19" s="74">
        <v>0.165277777777778</v>
      </c>
      <c r="R19" s="74">
        <v>0.21319444444444399</v>
      </c>
      <c r="S19" s="74">
        <v>0.18402777777777801</v>
      </c>
      <c r="T19" s="74" t="s">
        <v>2530</v>
      </c>
      <c r="U19" s="74" t="s">
        <v>2530</v>
      </c>
      <c r="V19" s="74" t="s">
        <v>2530</v>
      </c>
      <c r="W19" s="74" t="s">
        <v>2530</v>
      </c>
      <c r="X19" t="s">
        <v>2899</v>
      </c>
      <c r="Y19" s="75">
        <v>0</v>
      </c>
      <c r="Z19" s="75">
        <v>1</v>
      </c>
      <c r="AA19" s="75">
        <v>0</v>
      </c>
      <c r="AB19" s="70" t="s">
        <v>2584</v>
      </c>
      <c r="AC19" s="70" t="s">
        <v>2539</v>
      </c>
      <c r="AD19" s="72" t="s">
        <v>2540</v>
      </c>
      <c r="AE19" s="72" t="s">
        <v>2556</v>
      </c>
      <c r="AF19" s="89" t="s">
        <v>2638</v>
      </c>
      <c r="AG19" s="88" t="s">
        <v>62</v>
      </c>
      <c r="AH19" s="89"/>
      <c r="AI19" s="89"/>
      <c r="AJ19" s="89"/>
      <c r="AK19" s="89"/>
      <c r="AL19" s="63"/>
    </row>
    <row r="20" spans="1:38" s="76" customFormat="1" ht="15" customHeight="1">
      <c r="A20" s="69">
        <v>46175</v>
      </c>
      <c r="B20" s="70" t="str">
        <f t="shared" si="3"/>
        <v>18 A 06</v>
      </c>
      <c r="C20" s="71" t="str">
        <f t="shared" si="4"/>
        <v>04:00 a 06:00</v>
      </c>
      <c r="D20" s="72" t="s">
        <v>2630</v>
      </c>
      <c r="E20" s="70">
        <v>3</v>
      </c>
      <c r="F20" s="87" t="s">
        <v>2634</v>
      </c>
      <c r="G20" s="87" t="s">
        <v>1301</v>
      </c>
      <c r="H20" s="73">
        <v>341134</v>
      </c>
      <c r="I20" s="70">
        <v>48300415</v>
      </c>
      <c r="J20" s="72" t="s">
        <v>2538</v>
      </c>
      <c r="K20" s="87" t="s">
        <v>104</v>
      </c>
      <c r="L20" s="87"/>
      <c r="M20" s="87" t="s">
        <v>125</v>
      </c>
      <c r="N20" s="87"/>
      <c r="O20" s="87" t="s">
        <v>2660</v>
      </c>
      <c r="P20" s="94" t="s">
        <v>2565</v>
      </c>
      <c r="Q20" s="74">
        <v>0.179861111111111</v>
      </c>
      <c r="R20" s="74">
        <v>0.20833333333333301</v>
      </c>
      <c r="S20" s="74">
        <v>0.179861111111111</v>
      </c>
      <c r="T20" s="74">
        <v>0.18541666666666701</v>
      </c>
      <c r="U20" s="74" t="s">
        <v>2530</v>
      </c>
      <c r="V20" s="74" t="s">
        <v>2530</v>
      </c>
      <c r="W20" s="74" t="s">
        <v>2530</v>
      </c>
      <c r="X20" t="s">
        <v>2900</v>
      </c>
      <c r="Y20" s="75">
        <v>0</v>
      </c>
      <c r="Z20" s="75">
        <v>1</v>
      </c>
      <c r="AA20" s="75">
        <v>0</v>
      </c>
      <c r="AB20" s="70" t="s">
        <v>2566</v>
      </c>
      <c r="AC20" s="70" t="s">
        <v>2539</v>
      </c>
      <c r="AD20" s="72" t="s">
        <v>2540</v>
      </c>
      <c r="AE20" s="72" t="s">
        <v>2556</v>
      </c>
      <c r="AF20" s="89" t="s">
        <v>2576</v>
      </c>
      <c r="AG20" s="88" t="s">
        <v>54</v>
      </c>
      <c r="AH20" s="89"/>
      <c r="AI20" s="89"/>
      <c r="AJ20" s="89"/>
      <c r="AK20" s="89"/>
      <c r="AL20" s="63"/>
    </row>
    <row r="21" spans="1:38" s="76" customFormat="1" ht="15" customHeight="1">
      <c r="A21" s="69">
        <v>46175</v>
      </c>
      <c r="B21" s="70" t="str">
        <f t="shared" si="3"/>
        <v>18 A 06</v>
      </c>
      <c r="C21" s="71" t="str">
        <f t="shared" si="4"/>
        <v>02:00 a 04:00</v>
      </c>
      <c r="D21" s="72" t="s">
        <v>2630</v>
      </c>
      <c r="E21" s="70">
        <v>3</v>
      </c>
      <c r="F21" s="87" t="s">
        <v>2632</v>
      </c>
      <c r="G21" s="87" t="s">
        <v>1818</v>
      </c>
      <c r="H21" s="73">
        <v>341132</v>
      </c>
      <c r="I21" s="70">
        <v>48300304</v>
      </c>
      <c r="J21" s="72" t="s">
        <v>2538</v>
      </c>
      <c r="K21" s="87" t="s">
        <v>87</v>
      </c>
      <c r="L21" s="97" t="s">
        <v>169</v>
      </c>
      <c r="M21" s="87" t="s">
        <v>234</v>
      </c>
      <c r="N21" s="87"/>
      <c r="O21" s="87" t="s">
        <v>2661</v>
      </c>
      <c r="P21" s="94" t="s">
        <v>2586</v>
      </c>
      <c r="Q21" s="74">
        <v>0.12638888888888899</v>
      </c>
      <c r="R21" s="74">
        <v>0.165277777777778</v>
      </c>
      <c r="S21" s="74">
        <v>0.12638888888888899</v>
      </c>
      <c r="T21" s="74" t="s">
        <v>2530</v>
      </c>
      <c r="U21" s="74" t="s">
        <v>2530</v>
      </c>
      <c r="V21" s="74" t="s">
        <v>2530</v>
      </c>
      <c r="W21" s="74" t="s">
        <v>2530</v>
      </c>
      <c r="X21" t="s">
        <v>2901</v>
      </c>
      <c r="Y21" s="75">
        <v>1</v>
      </c>
      <c r="Z21" s="75">
        <v>0</v>
      </c>
      <c r="AA21" s="75">
        <v>0</v>
      </c>
      <c r="AB21" s="70" t="s">
        <v>2611</v>
      </c>
      <c r="AC21" s="70" t="s">
        <v>2539</v>
      </c>
      <c r="AD21" s="72" t="s">
        <v>2540</v>
      </c>
      <c r="AE21" s="72"/>
      <c r="AF21" s="89" t="s">
        <v>2662</v>
      </c>
      <c r="AG21" s="88" t="s">
        <v>62</v>
      </c>
      <c r="AH21" s="105" t="s">
        <v>2799</v>
      </c>
      <c r="AI21" s="89"/>
      <c r="AJ21" s="89"/>
      <c r="AK21" s="89"/>
      <c r="AL21" s="63"/>
    </row>
    <row r="22" spans="1:38" s="76" customFormat="1" ht="15" customHeight="1">
      <c r="A22" s="69">
        <v>46175</v>
      </c>
      <c r="B22" s="70" t="str">
        <f t="shared" si="3"/>
        <v>18 A 06</v>
      </c>
      <c r="C22" s="71" t="str">
        <f t="shared" si="4"/>
        <v>04:00 a 06:00</v>
      </c>
      <c r="D22" s="72" t="s">
        <v>2630</v>
      </c>
      <c r="E22" s="70">
        <v>3</v>
      </c>
      <c r="F22" s="87" t="s">
        <v>2634</v>
      </c>
      <c r="G22" s="87" t="s">
        <v>2114</v>
      </c>
      <c r="H22" s="73">
        <v>341145</v>
      </c>
      <c r="I22" s="70">
        <v>48300496</v>
      </c>
      <c r="J22" s="72" t="s">
        <v>2538</v>
      </c>
      <c r="K22" s="87" t="s">
        <v>2513</v>
      </c>
      <c r="L22" s="87"/>
      <c r="M22" s="87"/>
      <c r="N22" s="87"/>
      <c r="O22" s="87" t="s">
        <v>2663</v>
      </c>
      <c r="P22" s="94" t="s">
        <v>2560</v>
      </c>
      <c r="Q22" s="74">
        <v>0.21736111111111101</v>
      </c>
      <c r="R22" s="74">
        <v>0.22500000000000001</v>
      </c>
      <c r="S22" s="74">
        <v>0.22222222222222199</v>
      </c>
      <c r="T22" s="74" t="s">
        <v>2530</v>
      </c>
      <c r="U22" s="74" t="s">
        <v>2530</v>
      </c>
      <c r="V22" s="74" t="s">
        <v>2530</v>
      </c>
      <c r="W22" s="74" t="s">
        <v>2530</v>
      </c>
      <c r="X22" t="s">
        <v>2902</v>
      </c>
      <c r="Y22" s="75">
        <v>0</v>
      </c>
      <c r="Z22" s="75">
        <v>0</v>
      </c>
      <c r="AA22" s="75">
        <v>0</v>
      </c>
      <c r="AB22" s="70" t="s">
        <v>2561</v>
      </c>
      <c r="AC22" s="70" t="s">
        <v>2539</v>
      </c>
      <c r="AD22" s="72" t="s">
        <v>2564</v>
      </c>
      <c r="AE22" s="72"/>
      <c r="AF22" s="89"/>
      <c r="AG22" s="88" t="s">
        <v>45</v>
      </c>
      <c r="AH22" s="89"/>
      <c r="AI22" s="89"/>
      <c r="AJ22" s="89"/>
      <c r="AK22" s="89"/>
      <c r="AL22" s="63"/>
    </row>
    <row r="23" spans="1:38" s="76" customFormat="1" ht="15" customHeight="1">
      <c r="A23" s="69">
        <v>46175</v>
      </c>
      <c r="B23" s="70" t="str">
        <f t="shared" si="3"/>
        <v>18 A 06</v>
      </c>
      <c r="C23" s="71" t="str">
        <f t="shared" si="4"/>
        <v>04:00 a 06:00</v>
      </c>
      <c r="D23" s="72" t="s">
        <v>2630</v>
      </c>
      <c r="E23" s="70">
        <v>3</v>
      </c>
      <c r="F23" s="87" t="s">
        <v>2634</v>
      </c>
      <c r="G23" s="87" t="s">
        <v>541</v>
      </c>
      <c r="H23" s="73">
        <v>341154</v>
      </c>
      <c r="I23" s="70">
        <v>48300512</v>
      </c>
      <c r="J23" s="72" t="s">
        <v>2538</v>
      </c>
      <c r="K23" s="87" t="s">
        <v>2513</v>
      </c>
      <c r="L23" s="87"/>
      <c r="M23" s="87"/>
      <c r="N23" s="87"/>
      <c r="O23" s="87" t="s">
        <v>2665</v>
      </c>
      <c r="P23" s="94" t="s">
        <v>2616</v>
      </c>
      <c r="Q23" s="74">
        <v>0.22500000000000001</v>
      </c>
      <c r="R23" s="74">
        <v>0.23958333333333301</v>
      </c>
      <c r="S23" s="74" t="s">
        <v>2530</v>
      </c>
      <c r="T23" s="74" t="s">
        <v>2530</v>
      </c>
      <c r="U23" s="74" t="s">
        <v>2530</v>
      </c>
      <c r="V23" s="74" t="s">
        <v>2530</v>
      </c>
      <c r="W23" s="74" t="s">
        <v>2530</v>
      </c>
      <c r="X23" t="s">
        <v>2903</v>
      </c>
      <c r="Y23" s="75">
        <v>0</v>
      </c>
      <c r="Z23" s="75">
        <v>0</v>
      </c>
      <c r="AA23" s="75">
        <v>0</v>
      </c>
      <c r="AB23" s="70" t="s">
        <v>2625</v>
      </c>
      <c r="AC23" s="70" t="s">
        <v>2539</v>
      </c>
      <c r="AD23" s="72" t="s">
        <v>2564</v>
      </c>
      <c r="AE23" s="72"/>
      <c r="AF23" s="89"/>
      <c r="AG23" s="88" t="s">
        <v>45</v>
      </c>
      <c r="AH23" s="89"/>
      <c r="AI23" s="89"/>
      <c r="AJ23" s="89"/>
      <c r="AK23" s="89"/>
      <c r="AL23" s="63"/>
    </row>
    <row r="24" spans="1:38" s="76" customFormat="1" ht="15" customHeight="1">
      <c r="A24" s="69">
        <v>46175</v>
      </c>
      <c r="B24" s="70" t="str">
        <f t="shared" si="3"/>
        <v>18 A 06</v>
      </c>
      <c r="C24" s="71" t="str">
        <f t="shared" si="4"/>
        <v>04:00 a 06:00</v>
      </c>
      <c r="D24" s="72" t="s">
        <v>2630</v>
      </c>
      <c r="E24" s="70">
        <v>3</v>
      </c>
      <c r="F24" s="87" t="s">
        <v>2634</v>
      </c>
      <c r="G24" s="87" t="s">
        <v>785</v>
      </c>
      <c r="H24" s="73">
        <v>341152</v>
      </c>
      <c r="I24" s="70">
        <v>48300453</v>
      </c>
      <c r="J24" s="72" t="s">
        <v>2538</v>
      </c>
      <c r="K24" s="87" t="s">
        <v>2513</v>
      </c>
      <c r="L24" s="87"/>
      <c r="M24" s="87"/>
      <c r="N24" s="87"/>
      <c r="O24" s="87" t="s">
        <v>2664</v>
      </c>
      <c r="P24" s="94" t="s">
        <v>2577</v>
      </c>
      <c r="Q24" s="74">
        <v>0.195833333333333</v>
      </c>
      <c r="R24" s="74">
        <v>0.218055555555556</v>
      </c>
      <c r="S24" s="74">
        <v>0.19791666666666699</v>
      </c>
      <c r="T24" s="74" t="s">
        <v>2530</v>
      </c>
      <c r="U24" s="74" t="s">
        <v>2530</v>
      </c>
      <c r="V24" s="74" t="s">
        <v>2530</v>
      </c>
      <c r="W24" s="74" t="s">
        <v>2530</v>
      </c>
      <c r="X24" t="s">
        <v>2904</v>
      </c>
      <c r="Y24" s="75">
        <v>0</v>
      </c>
      <c r="Z24" s="75">
        <v>0</v>
      </c>
      <c r="AA24" s="75">
        <v>0</v>
      </c>
      <c r="AB24" s="70" t="s">
        <v>2566</v>
      </c>
      <c r="AC24" s="70" t="s">
        <v>2539</v>
      </c>
      <c r="AD24" s="72" t="s">
        <v>2564</v>
      </c>
      <c r="AE24" s="72"/>
      <c r="AF24" s="89"/>
      <c r="AG24" s="88" t="s">
        <v>45</v>
      </c>
      <c r="AH24" s="89"/>
      <c r="AI24" s="89"/>
      <c r="AJ24" s="89"/>
      <c r="AK24" s="89"/>
      <c r="AL24" s="63"/>
    </row>
    <row r="25" spans="1:38" s="76" customFormat="1" ht="15" customHeight="1">
      <c r="A25" s="69">
        <v>46175</v>
      </c>
      <c r="B25" s="70" t="str">
        <f t="shared" si="3"/>
        <v>18 A 06</v>
      </c>
      <c r="C25" s="71" t="str">
        <f t="shared" si="4"/>
        <v>04:00 a 06:00</v>
      </c>
      <c r="D25" s="72" t="s">
        <v>2630</v>
      </c>
      <c r="E25" s="70">
        <v>3</v>
      </c>
      <c r="F25" s="87" t="s">
        <v>2634</v>
      </c>
      <c r="G25" s="87" t="s">
        <v>785</v>
      </c>
      <c r="H25" s="73">
        <v>341203</v>
      </c>
      <c r="I25" s="70">
        <v>48300457</v>
      </c>
      <c r="J25" s="72" t="s">
        <v>2538</v>
      </c>
      <c r="K25" s="87" t="s">
        <v>146</v>
      </c>
      <c r="L25" s="87"/>
      <c r="M25" s="87" t="s">
        <v>260</v>
      </c>
      <c r="N25" s="87"/>
      <c r="O25" s="87" t="s">
        <v>2664</v>
      </c>
      <c r="P25" s="94" t="s">
        <v>2577</v>
      </c>
      <c r="Q25" s="74">
        <v>0.19791666666666699</v>
      </c>
      <c r="R25" s="74">
        <v>0.22847222222222222</v>
      </c>
      <c r="S25" s="74">
        <v>0.19930555555555601</v>
      </c>
      <c r="T25" s="74" t="s">
        <v>2530</v>
      </c>
      <c r="U25" s="74" t="s">
        <v>2530</v>
      </c>
      <c r="V25" s="74" t="s">
        <v>2530</v>
      </c>
      <c r="W25" s="74" t="s">
        <v>2530</v>
      </c>
      <c r="X25" t="s">
        <v>2905</v>
      </c>
      <c r="Y25" s="75">
        <v>1</v>
      </c>
      <c r="Z25" s="75">
        <v>0</v>
      </c>
      <c r="AA25" s="75">
        <v>0</v>
      </c>
      <c r="AB25" s="70" t="s">
        <v>2566</v>
      </c>
      <c r="AC25" s="70" t="s">
        <v>2539</v>
      </c>
      <c r="AD25" s="72" t="s">
        <v>2564</v>
      </c>
      <c r="AE25" s="72"/>
      <c r="AF25" s="89"/>
      <c r="AG25" s="88" t="s">
        <v>54</v>
      </c>
      <c r="AH25" s="89"/>
      <c r="AI25" s="89"/>
      <c r="AJ25" s="89"/>
      <c r="AK25" s="89"/>
      <c r="AL25" s="63"/>
    </row>
    <row r="26" spans="1:38" s="76" customFormat="1" ht="15" customHeight="1">
      <c r="A26" s="69">
        <v>46175</v>
      </c>
      <c r="B26" s="70" t="str">
        <f t="shared" si="3"/>
        <v>06 A 18</v>
      </c>
      <c r="C26" s="71" t="str">
        <f t="shared" si="4"/>
        <v>06:00 a 08:00</v>
      </c>
      <c r="D26" s="72" t="s">
        <v>245</v>
      </c>
      <c r="E26" s="70">
        <v>2</v>
      </c>
      <c r="F26" s="87" t="s">
        <v>2545</v>
      </c>
      <c r="G26" s="87" t="s">
        <v>296</v>
      </c>
      <c r="H26" s="73">
        <v>341292</v>
      </c>
      <c r="I26" s="70">
        <v>48300546</v>
      </c>
      <c r="J26" s="72" t="s">
        <v>2538</v>
      </c>
      <c r="K26" s="87" t="s">
        <v>87</v>
      </c>
      <c r="L26" s="97" t="s">
        <v>174</v>
      </c>
      <c r="M26" s="87"/>
      <c r="N26" s="87"/>
      <c r="O26" s="87" t="s">
        <v>2670</v>
      </c>
      <c r="P26" s="94" t="s">
        <v>2579</v>
      </c>
      <c r="Q26" s="74">
        <v>0.25277777777777799</v>
      </c>
      <c r="R26" s="74">
        <v>0.27291666666666664</v>
      </c>
      <c r="S26" s="74">
        <v>0.25277777777777799</v>
      </c>
      <c r="T26" s="74" t="s">
        <v>2530</v>
      </c>
      <c r="U26" s="74" t="s">
        <v>2530</v>
      </c>
      <c r="V26" s="74" t="s">
        <v>2530</v>
      </c>
      <c r="W26" s="74" t="s">
        <v>2530</v>
      </c>
      <c r="X26" t="s">
        <v>2906</v>
      </c>
      <c r="Y26" s="75">
        <v>0</v>
      </c>
      <c r="Z26" s="75">
        <v>0</v>
      </c>
      <c r="AA26" s="75">
        <v>0</v>
      </c>
      <c r="AB26" s="70" t="s">
        <v>2568</v>
      </c>
      <c r="AC26" s="70" t="s">
        <v>2539</v>
      </c>
      <c r="AD26" s="72" t="s">
        <v>2540</v>
      </c>
      <c r="AE26" s="72"/>
      <c r="AF26" s="89"/>
      <c r="AG26" s="88" t="s">
        <v>45</v>
      </c>
      <c r="AH26" s="89"/>
      <c r="AI26" s="89"/>
      <c r="AJ26" s="89"/>
      <c r="AK26" s="98" t="s">
        <v>2791</v>
      </c>
      <c r="AL26" s="63"/>
    </row>
    <row r="27" spans="1:38" s="76" customFormat="1" ht="15" customHeight="1">
      <c r="A27" s="69">
        <v>46175</v>
      </c>
      <c r="B27" s="70" t="str">
        <f t="shared" si="3"/>
        <v>06 A 18</v>
      </c>
      <c r="C27" s="71" t="str">
        <f t="shared" si="4"/>
        <v>06:00 a 08:00</v>
      </c>
      <c r="D27" s="72" t="s">
        <v>245</v>
      </c>
      <c r="E27" s="70">
        <v>2</v>
      </c>
      <c r="F27" s="87" t="s">
        <v>2666</v>
      </c>
      <c r="G27" s="87" t="s">
        <v>2667</v>
      </c>
      <c r="H27" s="73">
        <v>341199</v>
      </c>
      <c r="I27" s="70">
        <v>48300611</v>
      </c>
      <c r="J27" s="72" t="s">
        <v>2538</v>
      </c>
      <c r="K27" s="87" t="s">
        <v>87</v>
      </c>
      <c r="L27" s="97" t="s">
        <v>126</v>
      </c>
      <c r="M27" s="87"/>
      <c r="N27" s="87"/>
      <c r="O27" s="87" t="s">
        <v>2598</v>
      </c>
      <c r="P27" s="94" t="s">
        <v>2577</v>
      </c>
      <c r="Q27" s="74">
        <v>0.2638888888888889</v>
      </c>
      <c r="R27" s="74">
        <v>0.28125</v>
      </c>
      <c r="S27" s="74">
        <v>0.264583333333333</v>
      </c>
      <c r="T27" s="74" t="s">
        <v>2530</v>
      </c>
      <c r="U27" s="74" t="s">
        <v>2530</v>
      </c>
      <c r="V27" s="74" t="s">
        <v>2530</v>
      </c>
      <c r="W27" s="74" t="s">
        <v>2530</v>
      </c>
      <c r="X27" t="s">
        <v>2907</v>
      </c>
      <c r="Y27" s="75">
        <v>0</v>
      </c>
      <c r="Z27" s="75">
        <v>0</v>
      </c>
      <c r="AA27" s="75">
        <v>0</v>
      </c>
      <c r="AB27" s="70" t="s">
        <v>2578</v>
      </c>
      <c r="AC27" s="70" t="s">
        <v>2539</v>
      </c>
      <c r="AD27" s="72" t="s">
        <v>2564</v>
      </c>
      <c r="AE27" s="72"/>
      <c r="AF27" s="89"/>
      <c r="AG27" s="88" t="s">
        <v>45</v>
      </c>
      <c r="AH27" s="89"/>
      <c r="AI27" s="89"/>
      <c r="AJ27" s="89"/>
      <c r="AK27" s="89"/>
      <c r="AL27" s="63"/>
    </row>
    <row r="28" spans="1:38" s="76" customFormat="1" ht="15" customHeight="1">
      <c r="A28" s="69">
        <v>46175</v>
      </c>
      <c r="B28" s="70" t="str">
        <f t="shared" si="3"/>
        <v>06 A 18</v>
      </c>
      <c r="C28" s="71" t="str">
        <f t="shared" si="4"/>
        <v>06:00 a 08:00</v>
      </c>
      <c r="D28" s="72" t="s">
        <v>245</v>
      </c>
      <c r="E28" s="70">
        <v>2</v>
      </c>
      <c r="F28" s="87" t="s">
        <v>2666</v>
      </c>
      <c r="G28" s="87" t="s">
        <v>2388</v>
      </c>
      <c r="H28" s="73">
        <v>341248</v>
      </c>
      <c r="I28" s="70">
        <v>48300600</v>
      </c>
      <c r="J28" s="72" t="s">
        <v>2538</v>
      </c>
      <c r="K28" s="99" t="s">
        <v>2513</v>
      </c>
      <c r="L28" s="87"/>
      <c r="M28" s="87"/>
      <c r="N28" s="87"/>
      <c r="O28" s="87" t="s">
        <v>2671</v>
      </c>
      <c r="P28" s="94" t="s">
        <v>2586</v>
      </c>
      <c r="Q28" s="74">
        <v>0.26041666666666702</v>
      </c>
      <c r="R28" s="74">
        <v>0.28125</v>
      </c>
      <c r="S28" s="74">
        <v>0.27430555555555602</v>
      </c>
      <c r="T28" s="74" t="s">
        <v>2530</v>
      </c>
      <c r="U28" s="74" t="s">
        <v>2530</v>
      </c>
      <c r="V28" s="74" t="s">
        <v>2530</v>
      </c>
      <c r="W28" s="74" t="s">
        <v>2530</v>
      </c>
      <c r="X28" t="s">
        <v>2908</v>
      </c>
      <c r="Y28" s="75">
        <v>0</v>
      </c>
      <c r="Z28" s="75">
        <v>0</v>
      </c>
      <c r="AA28" s="75">
        <v>0</v>
      </c>
      <c r="AB28" s="70" t="s">
        <v>2602</v>
      </c>
      <c r="AC28" s="70" t="s">
        <v>2539</v>
      </c>
      <c r="AD28" s="72" t="s">
        <v>2564</v>
      </c>
      <c r="AE28" s="72"/>
      <c r="AF28" s="89"/>
      <c r="AG28" s="88" t="s">
        <v>45</v>
      </c>
      <c r="AH28" s="89"/>
      <c r="AI28" s="89"/>
      <c r="AJ28" s="89"/>
      <c r="AK28" s="89"/>
      <c r="AL28" s="63"/>
    </row>
    <row r="29" spans="1:38" s="76" customFormat="1" ht="15" customHeight="1">
      <c r="A29" s="69">
        <v>46175</v>
      </c>
      <c r="B29" s="70" t="str">
        <f t="shared" si="3"/>
        <v>06 A 18</v>
      </c>
      <c r="C29" s="71" t="str">
        <f t="shared" si="4"/>
        <v>06:00 a 08:00</v>
      </c>
      <c r="D29" s="72" t="s">
        <v>245</v>
      </c>
      <c r="E29" s="70">
        <v>2</v>
      </c>
      <c r="F29" s="87" t="s">
        <v>2550</v>
      </c>
      <c r="G29" s="87" t="s">
        <v>1190</v>
      </c>
      <c r="H29" s="73">
        <v>341206</v>
      </c>
      <c r="I29" s="70">
        <v>48300651</v>
      </c>
      <c r="J29" s="72" t="s">
        <v>2538</v>
      </c>
      <c r="K29" s="99" t="s">
        <v>2513</v>
      </c>
      <c r="L29" s="87"/>
      <c r="M29" s="87"/>
      <c r="N29" s="87"/>
      <c r="O29" s="87" t="s">
        <v>2672</v>
      </c>
      <c r="P29" s="94" t="s">
        <v>2586</v>
      </c>
      <c r="Q29" s="74">
        <v>0.27222222222222198</v>
      </c>
      <c r="R29" s="74">
        <v>0.28125</v>
      </c>
      <c r="S29" s="74">
        <v>0.27847222222222223</v>
      </c>
      <c r="T29" s="74" t="s">
        <v>2530</v>
      </c>
      <c r="U29" s="74" t="s">
        <v>2530</v>
      </c>
      <c r="V29" s="74" t="s">
        <v>2530</v>
      </c>
      <c r="W29" s="74" t="s">
        <v>2530</v>
      </c>
      <c r="X29" t="s">
        <v>2909</v>
      </c>
      <c r="Y29" s="75">
        <v>0</v>
      </c>
      <c r="Z29" s="75">
        <v>0</v>
      </c>
      <c r="AA29" s="75">
        <v>0</v>
      </c>
      <c r="AB29" s="70" t="s">
        <v>2602</v>
      </c>
      <c r="AC29" s="70" t="s">
        <v>2539</v>
      </c>
      <c r="AD29" s="72" t="s">
        <v>2564</v>
      </c>
      <c r="AE29" s="72"/>
      <c r="AF29" s="89"/>
      <c r="AG29" s="88" t="s">
        <v>45</v>
      </c>
      <c r="AH29" s="89"/>
      <c r="AI29" s="89"/>
      <c r="AJ29" s="89"/>
      <c r="AK29" s="89"/>
      <c r="AL29" s="63"/>
    </row>
    <row r="30" spans="1:38" s="76" customFormat="1" ht="15" customHeight="1">
      <c r="A30" s="69">
        <v>46175</v>
      </c>
      <c r="B30" s="70" t="str">
        <f t="shared" si="3"/>
        <v>06 A 18</v>
      </c>
      <c r="C30" s="71" t="str">
        <f t="shared" si="4"/>
        <v>06:00 a 08:00</v>
      </c>
      <c r="D30" s="72" t="s">
        <v>245</v>
      </c>
      <c r="E30" s="70">
        <v>2</v>
      </c>
      <c r="F30" s="87" t="s">
        <v>2666</v>
      </c>
      <c r="G30" s="87" t="s">
        <v>2404</v>
      </c>
      <c r="H30" s="73">
        <v>341215</v>
      </c>
      <c r="I30" s="70">
        <v>48300660</v>
      </c>
      <c r="J30" s="72" t="s">
        <v>2538</v>
      </c>
      <c r="K30" s="99" t="s">
        <v>2513</v>
      </c>
      <c r="L30" s="87"/>
      <c r="M30" s="87"/>
      <c r="N30" s="87"/>
      <c r="O30" s="87" t="s">
        <v>2673</v>
      </c>
      <c r="P30" s="94" t="s">
        <v>2586</v>
      </c>
      <c r="Q30" s="74">
        <v>0.27777777777777779</v>
      </c>
      <c r="R30" s="74">
        <v>0.295833333333333</v>
      </c>
      <c r="S30" s="74">
        <v>0.28125</v>
      </c>
      <c r="T30" s="74" t="s">
        <v>2530</v>
      </c>
      <c r="U30" s="74" t="s">
        <v>2530</v>
      </c>
      <c r="V30" s="74" t="s">
        <v>2530</v>
      </c>
      <c r="W30" s="74" t="s">
        <v>2530</v>
      </c>
      <c r="X30" t="s">
        <v>2910</v>
      </c>
      <c r="Y30" s="75">
        <v>0</v>
      </c>
      <c r="Z30" s="75">
        <v>0</v>
      </c>
      <c r="AA30" s="75">
        <v>0</v>
      </c>
      <c r="AB30" s="70" t="s">
        <v>2602</v>
      </c>
      <c r="AC30" s="70" t="s">
        <v>2539</v>
      </c>
      <c r="AD30" s="72" t="s">
        <v>2564</v>
      </c>
      <c r="AE30" s="72"/>
      <c r="AF30" s="89"/>
      <c r="AG30" s="88" t="s">
        <v>45</v>
      </c>
      <c r="AH30" s="89"/>
      <c r="AI30" s="89"/>
      <c r="AJ30" s="89"/>
      <c r="AK30" s="89"/>
      <c r="AL30" s="63"/>
    </row>
    <row r="31" spans="1:38" s="76" customFormat="1" ht="15" customHeight="1">
      <c r="A31" s="69">
        <v>46175</v>
      </c>
      <c r="B31" s="70" t="str">
        <f t="shared" si="3"/>
        <v>06 A 18</v>
      </c>
      <c r="C31" s="71" t="str">
        <f t="shared" si="4"/>
        <v>06:00 a 08:00</v>
      </c>
      <c r="D31" s="72" t="s">
        <v>245</v>
      </c>
      <c r="E31" s="70">
        <v>2</v>
      </c>
      <c r="F31" s="87" t="s">
        <v>2666</v>
      </c>
      <c r="G31" s="87" t="s">
        <v>457</v>
      </c>
      <c r="H31" s="73">
        <v>341408</v>
      </c>
      <c r="I31" s="70">
        <v>48300674</v>
      </c>
      <c r="J31" s="72" t="s">
        <v>2538</v>
      </c>
      <c r="K31" s="99" t="s">
        <v>66</v>
      </c>
      <c r="L31" s="87"/>
      <c r="M31" s="87"/>
      <c r="N31" s="87"/>
      <c r="O31" s="87" t="s">
        <v>2674</v>
      </c>
      <c r="P31" s="94" t="s">
        <v>2562</v>
      </c>
      <c r="Q31" s="74">
        <v>0.27986111111111101</v>
      </c>
      <c r="R31" s="74">
        <v>0.28958333333333303</v>
      </c>
      <c r="S31" s="74">
        <v>0.281944444444444</v>
      </c>
      <c r="T31" s="74" t="s">
        <v>2530</v>
      </c>
      <c r="U31" s="74" t="s">
        <v>2530</v>
      </c>
      <c r="V31" s="74" t="s">
        <v>2530</v>
      </c>
      <c r="W31" s="74" t="s">
        <v>2530</v>
      </c>
      <c r="X31" t="s">
        <v>2911</v>
      </c>
      <c r="Y31" s="75">
        <v>0</v>
      </c>
      <c r="Z31" s="75">
        <v>0</v>
      </c>
      <c r="AA31" s="75">
        <v>0</v>
      </c>
      <c r="AB31" s="70" t="s">
        <v>2563</v>
      </c>
      <c r="AC31" s="70" t="s">
        <v>2539</v>
      </c>
      <c r="AD31" s="72" t="s">
        <v>2564</v>
      </c>
      <c r="AE31" s="72"/>
      <c r="AF31" s="89"/>
      <c r="AG31" s="88" t="s">
        <v>45</v>
      </c>
      <c r="AH31" s="89"/>
      <c r="AI31" s="89"/>
      <c r="AJ31" s="89"/>
      <c r="AK31" s="89"/>
      <c r="AL31" s="63"/>
    </row>
    <row r="32" spans="1:38" s="76" customFormat="1" ht="15" customHeight="1">
      <c r="A32" s="69">
        <v>46175</v>
      </c>
      <c r="B32" s="70" t="str">
        <f t="shared" si="3"/>
        <v>06 A 18</v>
      </c>
      <c r="C32" s="71" t="str">
        <f t="shared" si="4"/>
        <v>06:00 a 08:00</v>
      </c>
      <c r="D32" s="72" t="s">
        <v>245</v>
      </c>
      <c r="E32" s="70">
        <v>2</v>
      </c>
      <c r="F32" s="87" t="s">
        <v>2666</v>
      </c>
      <c r="G32" s="87" t="s">
        <v>2108</v>
      </c>
      <c r="H32" s="73">
        <v>341318</v>
      </c>
      <c r="I32" s="70">
        <v>48030793</v>
      </c>
      <c r="J32" s="72" t="s">
        <v>2538</v>
      </c>
      <c r="K32" s="99" t="s">
        <v>146</v>
      </c>
      <c r="L32" s="87"/>
      <c r="M32" s="87"/>
      <c r="N32" s="87"/>
      <c r="O32" s="87" t="s">
        <v>2675</v>
      </c>
      <c r="P32" s="94" t="s">
        <v>2603</v>
      </c>
      <c r="Q32" s="74">
        <v>0.3</v>
      </c>
      <c r="R32" s="74">
        <v>0.30555555555555602</v>
      </c>
      <c r="S32" s="74" t="s">
        <v>2530</v>
      </c>
      <c r="T32" s="74" t="s">
        <v>2530</v>
      </c>
      <c r="U32" s="74" t="s">
        <v>2530</v>
      </c>
      <c r="V32" s="74" t="s">
        <v>2530</v>
      </c>
      <c r="W32" s="74" t="s">
        <v>2530</v>
      </c>
      <c r="X32" t="s">
        <v>2912</v>
      </c>
      <c r="Y32" s="75">
        <v>0</v>
      </c>
      <c r="Z32" s="75">
        <v>0</v>
      </c>
      <c r="AA32" s="75">
        <v>0</v>
      </c>
      <c r="AB32" s="70" t="s">
        <v>2606</v>
      </c>
      <c r="AC32" s="70" t="s">
        <v>2539</v>
      </c>
      <c r="AD32" s="72" t="s">
        <v>2564</v>
      </c>
      <c r="AE32" s="72"/>
      <c r="AF32" s="89"/>
      <c r="AG32" s="88" t="s">
        <v>45</v>
      </c>
      <c r="AH32" s="89"/>
      <c r="AI32" s="89"/>
      <c r="AJ32" s="89"/>
      <c r="AK32" s="89"/>
      <c r="AL32" s="63"/>
    </row>
    <row r="33" spans="1:38" s="76" customFormat="1" ht="15" customHeight="1">
      <c r="A33" s="69">
        <v>46175</v>
      </c>
      <c r="B33" s="70" t="str">
        <f t="shared" si="3"/>
        <v>06 A 18</v>
      </c>
      <c r="C33" s="71" t="str">
        <f t="shared" si="4"/>
        <v>06:00 a 08:00</v>
      </c>
      <c r="D33" s="72" t="s">
        <v>245</v>
      </c>
      <c r="E33" s="70">
        <v>2</v>
      </c>
      <c r="F33" s="87" t="s">
        <v>2550</v>
      </c>
      <c r="G33" s="87" t="s">
        <v>586</v>
      </c>
      <c r="H33" s="73">
        <v>341700</v>
      </c>
      <c r="I33" s="70">
        <v>48030697</v>
      </c>
      <c r="J33" s="72" t="s">
        <v>2538</v>
      </c>
      <c r="K33" s="99" t="s">
        <v>2513</v>
      </c>
      <c r="L33" s="87"/>
      <c r="M33" s="87"/>
      <c r="N33" s="87"/>
      <c r="O33" s="87" t="s">
        <v>2676</v>
      </c>
      <c r="P33" s="94" t="s">
        <v>2562</v>
      </c>
      <c r="Q33" s="74">
        <v>0.28472222222222221</v>
      </c>
      <c r="R33" s="74">
        <v>0.30694444444444441</v>
      </c>
      <c r="S33" s="74">
        <v>0.29097222222222202</v>
      </c>
      <c r="T33" s="74" t="s">
        <v>2530</v>
      </c>
      <c r="U33" s="74" t="s">
        <v>2530</v>
      </c>
      <c r="V33" s="74" t="s">
        <v>2530</v>
      </c>
      <c r="W33" s="74" t="s">
        <v>2530</v>
      </c>
      <c r="X33" t="s">
        <v>2913</v>
      </c>
      <c r="Y33" s="75">
        <v>0</v>
      </c>
      <c r="Z33" s="75">
        <v>0</v>
      </c>
      <c r="AA33" s="75">
        <v>0</v>
      </c>
      <c r="AB33" s="70" t="s">
        <v>2563</v>
      </c>
      <c r="AC33" s="70" t="s">
        <v>2539</v>
      </c>
      <c r="AD33" s="72" t="s">
        <v>2564</v>
      </c>
      <c r="AE33" s="72"/>
      <c r="AF33" s="89"/>
      <c r="AG33" s="88" t="s">
        <v>45</v>
      </c>
      <c r="AH33" s="89"/>
      <c r="AI33" s="89"/>
      <c r="AJ33" s="89"/>
      <c r="AK33" s="89"/>
      <c r="AL33" s="63"/>
    </row>
    <row r="34" spans="1:38" s="76" customFormat="1" ht="15" customHeight="1">
      <c r="A34" s="69">
        <v>46175</v>
      </c>
      <c r="B34" s="70" t="str">
        <f t="shared" si="3"/>
        <v>06 A 18</v>
      </c>
      <c r="C34" s="71" t="str">
        <f t="shared" si="4"/>
        <v>06:00 a 08:00</v>
      </c>
      <c r="D34" s="72" t="s">
        <v>245</v>
      </c>
      <c r="E34" s="70">
        <v>2</v>
      </c>
      <c r="F34" s="87" t="s">
        <v>2547</v>
      </c>
      <c r="G34" s="87" t="s">
        <v>2108</v>
      </c>
      <c r="H34" s="73">
        <v>341321</v>
      </c>
      <c r="I34" s="70">
        <v>48030788</v>
      </c>
      <c r="J34" s="72" t="s">
        <v>2538</v>
      </c>
      <c r="K34" s="99" t="s">
        <v>2513</v>
      </c>
      <c r="L34" s="87"/>
      <c r="M34" s="87"/>
      <c r="N34" s="87"/>
      <c r="O34" s="87" t="s">
        <v>2677</v>
      </c>
      <c r="P34" s="94" t="s">
        <v>2603</v>
      </c>
      <c r="Q34" s="74">
        <v>0.29930555555555599</v>
      </c>
      <c r="R34" s="74">
        <v>0.30625000000000002</v>
      </c>
      <c r="S34" s="74">
        <v>0.30486111111111103</v>
      </c>
      <c r="T34" s="74" t="s">
        <v>2530</v>
      </c>
      <c r="U34" s="74" t="s">
        <v>2530</v>
      </c>
      <c r="V34" s="74" t="s">
        <v>2530</v>
      </c>
      <c r="W34" s="74" t="s">
        <v>2530</v>
      </c>
      <c r="X34" t="s">
        <v>2914</v>
      </c>
      <c r="Y34" s="75">
        <v>0</v>
      </c>
      <c r="Z34" s="75">
        <v>0</v>
      </c>
      <c r="AA34" s="75">
        <v>0</v>
      </c>
      <c r="AB34" s="70" t="s">
        <v>2606</v>
      </c>
      <c r="AC34" s="70" t="s">
        <v>2539</v>
      </c>
      <c r="AD34" s="72" t="s">
        <v>2564</v>
      </c>
      <c r="AE34" s="72"/>
      <c r="AF34" s="89"/>
      <c r="AG34" s="88" t="s">
        <v>45</v>
      </c>
      <c r="AH34" s="89"/>
      <c r="AI34" s="89"/>
      <c r="AJ34" s="89"/>
      <c r="AK34" s="89"/>
      <c r="AL34" s="63"/>
    </row>
    <row r="35" spans="1:38" s="76" customFormat="1" ht="15" customHeight="1">
      <c r="A35" s="69">
        <v>46175</v>
      </c>
      <c r="B35" s="70" t="str">
        <f t="shared" si="3"/>
        <v>06 A 18</v>
      </c>
      <c r="C35" s="71" t="str">
        <f t="shared" si="4"/>
        <v>06:00 a 08:00</v>
      </c>
      <c r="D35" s="72" t="s">
        <v>245</v>
      </c>
      <c r="E35" s="70">
        <v>2</v>
      </c>
      <c r="F35" s="87" t="s">
        <v>2545</v>
      </c>
      <c r="G35" s="87" t="s">
        <v>899</v>
      </c>
      <c r="H35" s="73">
        <v>341286</v>
      </c>
      <c r="I35" s="70">
        <v>48300776</v>
      </c>
      <c r="J35" s="72" t="s">
        <v>2538</v>
      </c>
      <c r="K35" s="99" t="s">
        <v>2513</v>
      </c>
      <c r="L35" s="87"/>
      <c r="M35" s="87"/>
      <c r="N35" s="87"/>
      <c r="O35" s="87" t="s">
        <v>2678</v>
      </c>
      <c r="P35" s="94" t="s">
        <v>2562</v>
      </c>
      <c r="Q35" s="74">
        <v>0.297222222222222</v>
      </c>
      <c r="R35" s="74">
        <v>0.30208333333333331</v>
      </c>
      <c r="S35" s="74">
        <v>0.30208333333333298</v>
      </c>
      <c r="T35" s="74" t="s">
        <v>2530</v>
      </c>
      <c r="U35" s="74" t="s">
        <v>2530</v>
      </c>
      <c r="V35" s="74" t="s">
        <v>2530</v>
      </c>
      <c r="W35" s="74" t="s">
        <v>2530</v>
      </c>
      <c r="X35" t="s">
        <v>2915</v>
      </c>
      <c r="Y35" s="75">
        <v>0</v>
      </c>
      <c r="Z35" s="75">
        <v>0</v>
      </c>
      <c r="AA35" s="75">
        <v>0</v>
      </c>
      <c r="AB35" s="70" t="s">
        <v>2563</v>
      </c>
      <c r="AC35" s="70" t="s">
        <v>2539</v>
      </c>
      <c r="AD35" s="72" t="s">
        <v>2564</v>
      </c>
      <c r="AE35" s="72"/>
      <c r="AF35" s="89"/>
      <c r="AG35" s="88" t="s">
        <v>45</v>
      </c>
      <c r="AH35" s="89"/>
      <c r="AI35" s="89"/>
      <c r="AJ35" s="89"/>
      <c r="AK35" s="89"/>
      <c r="AL35" s="63"/>
    </row>
    <row r="36" spans="1:38" s="76" customFormat="1" ht="15" customHeight="1">
      <c r="A36" s="69">
        <v>46175</v>
      </c>
      <c r="B36" s="70" t="str">
        <f t="shared" si="3"/>
        <v>06 A 18</v>
      </c>
      <c r="C36" s="71" t="str">
        <f t="shared" si="4"/>
        <v>06:00 a 08:00</v>
      </c>
      <c r="D36" s="72" t="s">
        <v>245</v>
      </c>
      <c r="E36" s="70">
        <v>2</v>
      </c>
      <c r="F36" s="87" t="s">
        <v>2550</v>
      </c>
      <c r="G36" s="87" t="s">
        <v>899</v>
      </c>
      <c r="H36" s="73">
        <v>341284</v>
      </c>
      <c r="I36" s="70">
        <v>48300823</v>
      </c>
      <c r="J36" s="72" t="s">
        <v>2538</v>
      </c>
      <c r="K36" s="99" t="s">
        <v>2513</v>
      </c>
      <c r="L36" s="87"/>
      <c r="M36" s="87"/>
      <c r="N36" s="87"/>
      <c r="O36" s="87" t="s">
        <v>2679</v>
      </c>
      <c r="P36" s="94" t="s">
        <v>2562</v>
      </c>
      <c r="Q36" s="74">
        <v>0.30694444444444402</v>
      </c>
      <c r="R36" s="74">
        <v>0.31666666666666698</v>
      </c>
      <c r="S36" s="74">
        <v>0.313194444444444</v>
      </c>
      <c r="T36" s="74" t="s">
        <v>2530</v>
      </c>
      <c r="U36" s="74" t="s">
        <v>2530</v>
      </c>
      <c r="V36" s="74" t="s">
        <v>2530</v>
      </c>
      <c r="W36" s="74" t="s">
        <v>2530</v>
      </c>
      <c r="X36" t="s">
        <v>2916</v>
      </c>
      <c r="Y36" s="75">
        <v>0</v>
      </c>
      <c r="Z36" s="75">
        <v>0</v>
      </c>
      <c r="AA36" s="75">
        <v>0</v>
      </c>
      <c r="AB36" s="70" t="s">
        <v>2563</v>
      </c>
      <c r="AC36" s="70" t="s">
        <v>2539</v>
      </c>
      <c r="AD36" s="72" t="s">
        <v>2564</v>
      </c>
      <c r="AE36" s="72"/>
      <c r="AF36" s="89"/>
      <c r="AG36" s="88" t="s">
        <v>45</v>
      </c>
      <c r="AH36" s="89"/>
      <c r="AI36" s="89"/>
      <c r="AJ36" s="89"/>
      <c r="AK36" s="89"/>
      <c r="AL36" s="63"/>
    </row>
    <row r="37" spans="1:38" s="76" customFormat="1" ht="15" customHeight="1">
      <c r="A37" s="69">
        <v>46175</v>
      </c>
      <c r="B37" s="70" t="str">
        <f t="shared" si="3"/>
        <v>06 A 18</v>
      </c>
      <c r="C37" s="71" t="str">
        <f t="shared" si="4"/>
        <v>06:00 a 08:00</v>
      </c>
      <c r="D37" s="72" t="s">
        <v>245</v>
      </c>
      <c r="E37" s="70">
        <v>2</v>
      </c>
      <c r="F37" s="87" t="s">
        <v>2550</v>
      </c>
      <c r="G37" s="87" t="s">
        <v>738</v>
      </c>
      <c r="H37" s="73">
        <v>341363</v>
      </c>
      <c r="I37" s="70">
        <v>48300827</v>
      </c>
      <c r="J37" s="72" t="s">
        <v>2538</v>
      </c>
      <c r="K37" s="99" t="s">
        <v>2513</v>
      </c>
      <c r="L37" s="87"/>
      <c r="M37" s="87"/>
      <c r="N37" s="87"/>
      <c r="O37" s="87" t="s">
        <v>2680</v>
      </c>
      <c r="P37" s="94" t="s">
        <v>2655</v>
      </c>
      <c r="Q37" s="74">
        <v>0.31944444444444398</v>
      </c>
      <c r="R37" s="74">
        <v>0.33263888888888887</v>
      </c>
      <c r="S37" s="74">
        <v>0.32361111111111102</v>
      </c>
      <c r="T37" s="74" t="s">
        <v>2530</v>
      </c>
      <c r="U37" s="74" t="s">
        <v>2530</v>
      </c>
      <c r="V37" s="74" t="s">
        <v>2530</v>
      </c>
      <c r="W37" s="74" t="s">
        <v>2530</v>
      </c>
      <c r="X37" t="s">
        <v>2917</v>
      </c>
      <c r="Y37" s="75">
        <v>0</v>
      </c>
      <c r="Z37" s="75">
        <v>0</v>
      </c>
      <c r="AA37" s="75">
        <v>0</v>
      </c>
      <c r="AB37" s="70" t="s">
        <v>2624</v>
      </c>
      <c r="AC37" s="70" t="s">
        <v>2539</v>
      </c>
      <c r="AD37" s="72" t="s">
        <v>2564</v>
      </c>
      <c r="AE37" s="72"/>
      <c r="AF37" s="89"/>
      <c r="AG37" s="88" t="s">
        <v>45</v>
      </c>
      <c r="AH37" s="89"/>
      <c r="AI37" s="89"/>
      <c r="AJ37" s="89"/>
      <c r="AK37" s="89"/>
      <c r="AL37" s="63"/>
    </row>
    <row r="38" spans="1:38" s="76" customFormat="1" ht="15" customHeight="1">
      <c r="A38" s="69">
        <v>46175</v>
      </c>
      <c r="B38" s="70" t="str">
        <f t="shared" si="3"/>
        <v>06 A 18</v>
      </c>
      <c r="C38" s="71" t="str">
        <f t="shared" si="4"/>
        <v>06:00 a 08:00</v>
      </c>
      <c r="D38" s="72" t="s">
        <v>245</v>
      </c>
      <c r="E38" s="70">
        <v>2</v>
      </c>
      <c r="F38" s="87" t="s">
        <v>2550</v>
      </c>
      <c r="G38" s="87" t="s">
        <v>713</v>
      </c>
      <c r="H38" s="73">
        <v>341772</v>
      </c>
      <c r="I38" s="70">
        <v>48300887</v>
      </c>
      <c r="J38" s="72" t="s">
        <v>2538</v>
      </c>
      <c r="K38" s="99" t="s">
        <v>2513</v>
      </c>
      <c r="L38" s="87"/>
      <c r="M38" s="87"/>
      <c r="N38" s="87"/>
      <c r="O38" s="87" t="s">
        <v>2681</v>
      </c>
      <c r="P38" s="94" t="s">
        <v>2562</v>
      </c>
      <c r="Q38" s="74">
        <v>0.31805555555555598</v>
      </c>
      <c r="R38" s="74">
        <v>0.35347222222222202</v>
      </c>
      <c r="S38" s="74">
        <v>0.32291666666666702</v>
      </c>
      <c r="T38" s="74" t="s">
        <v>2530</v>
      </c>
      <c r="U38" s="74" t="s">
        <v>2530</v>
      </c>
      <c r="V38" s="74" t="s">
        <v>2530</v>
      </c>
      <c r="W38" s="74" t="s">
        <v>2530</v>
      </c>
      <c r="X38" t="s">
        <v>2918</v>
      </c>
      <c r="Y38" s="75">
        <v>0</v>
      </c>
      <c r="Z38" s="75">
        <v>0</v>
      </c>
      <c r="AA38" s="75">
        <v>0</v>
      </c>
      <c r="AB38" s="70" t="s">
        <v>2563</v>
      </c>
      <c r="AC38" s="70" t="s">
        <v>2539</v>
      </c>
      <c r="AD38" s="72" t="s">
        <v>2564</v>
      </c>
      <c r="AE38" s="72"/>
      <c r="AF38" s="89"/>
      <c r="AG38" s="88" t="s">
        <v>45</v>
      </c>
      <c r="AH38" s="89"/>
      <c r="AI38" s="89"/>
      <c r="AJ38" s="89"/>
      <c r="AK38" s="89"/>
      <c r="AL38" s="63"/>
    </row>
    <row r="39" spans="1:38" s="76" customFormat="1" ht="15" customHeight="1">
      <c r="A39" s="69">
        <v>46175</v>
      </c>
      <c r="B39" s="70" t="str">
        <f t="shared" si="3"/>
        <v>06 A 18</v>
      </c>
      <c r="C39" s="71" t="str">
        <f t="shared" si="4"/>
        <v>06:00 a 08:00</v>
      </c>
      <c r="D39" s="72" t="s">
        <v>245</v>
      </c>
      <c r="E39" s="70">
        <v>2</v>
      </c>
      <c r="F39" s="87" t="s">
        <v>2546</v>
      </c>
      <c r="G39" s="87" t="s">
        <v>551</v>
      </c>
      <c r="H39" s="73">
        <v>341295</v>
      </c>
      <c r="I39" s="70">
        <v>48300886</v>
      </c>
      <c r="J39" s="72" t="s">
        <v>2544</v>
      </c>
      <c r="K39" s="87" t="s">
        <v>146</v>
      </c>
      <c r="L39" s="87"/>
      <c r="M39" s="87"/>
      <c r="N39" s="87"/>
      <c r="O39" s="87" t="s">
        <v>2682</v>
      </c>
      <c r="P39" s="94" t="s">
        <v>2571</v>
      </c>
      <c r="Q39" s="74">
        <v>0.31805555555555598</v>
      </c>
      <c r="R39" s="74">
        <v>0.32430555555555601</v>
      </c>
      <c r="S39" s="74">
        <v>0.32430555555555601</v>
      </c>
      <c r="T39" s="74" t="s">
        <v>2530</v>
      </c>
      <c r="U39" s="74" t="s">
        <v>2530</v>
      </c>
      <c r="V39" s="74" t="s">
        <v>2530</v>
      </c>
      <c r="W39" s="74" t="s">
        <v>2530</v>
      </c>
      <c r="X39" t="s">
        <v>2919</v>
      </c>
      <c r="Y39" s="75">
        <v>0</v>
      </c>
      <c r="Z39" s="75">
        <v>0</v>
      </c>
      <c r="AA39" s="75">
        <v>0</v>
      </c>
      <c r="AB39" s="70" t="s">
        <v>2574</v>
      </c>
      <c r="AC39" s="70" t="s">
        <v>2539</v>
      </c>
      <c r="AD39" s="72" t="s">
        <v>2564</v>
      </c>
      <c r="AE39" s="72"/>
      <c r="AF39" s="89"/>
      <c r="AG39" s="88" t="s">
        <v>45</v>
      </c>
      <c r="AH39" s="89"/>
      <c r="AI39" s="89"/>
      <c r="AJ39" s="89"/>
      <c r="AK39" s="89"/>
      <c r="AL39" s="63"/>
    </row>
    <row r="40" spans="1:38" s="76" customFormat="1" ht="15" customHeight="1">
      <c r="A40" s="69">
        <v>46175</v>
      </c>
      <c r="B40" s="70" t="str">
        <f t="shared" si="3"/>
        <v>06 A 18</v>
      </c>
      <c r="C40" s="71" t="str">
        <f t="shared" si="4"/>
        <v>06:00 a 08:00</v>
      </c>
      <c r="D40" s="72" t="s">
        <v>245</v>
      </c>
      <c r="E40" s="70">
        <v>2</v>
      </c>
      <c r="F40" s="87" t="s">
        <v>2550</v>
      </c>
      <c r="G40" s="87" t="s">
        <v>766</v>
      </c>
      <c r="H40" s="73">
        <v>341413</v>
      </c>
      <c r="I40" s="70">
        <v>48300929</v>
      </c>
      <c r="J40" s="72" t="s">
        <v>2538</v>
      </c>
      <c r="K40" s="99" t="s">
        <v>2513</v>
      </c>
      <c r="L40" s="87"/>
      <c r="M40" s="87"/>
      <c r="N40" s="87"/>
      <c r="O40" s="87" t="s">
        <v>2683</v>
      </c>
      <c r="P40" s="94" t="s">
        <v>2586</v>
      </c>
      <c r="Q40" s="74">
        <v>0.32638888888888901</v>
      </c>
      <c r="R40" s="74">
        <v>0.35694444444444401</v>
      </c>
      <c r="S40" s="74" t="s">
        <v>2530</v>
      </c>
      <c r="T40" s="74" t="s">
        <v>2530</v>
      </c>
      <c r="U40" s="74" t="s">
        <v>2530</v>
      </c>
      <c r="V40" s="74" t="s">
        <v>2530</v>
      </c>
      <c r="W40" s="74" t="s">
        <v>2530</v>
      </c>
      <c r="X40" t="s">
        <v>2920</v>
      </c>
      <c r="Y40" s="75">
        <v>0</v>
      </c>
      <c r="Z40" s="75">
        <v>0</v>
      </c>
      <c r="AA40" s="75">
        <v>0</v>
      </c>
      <c r="AB40" s="70" t="s">
        <v>2602</v>
      </c>
      <c r="AC40" s="70" t="s">
        <v>2539</v>
      </c>
      <c r="AD40" s="72" t="s">
        <v>2564</v>
      </c>
      <c r="AE40" s="72"/>
      <c r="AF40" s="89"/>
      <c r="AG40" s="88" t="s">
        <v>45</v>
      </c>
      <c r="AH40" s="89"/>
      <c r="AI40" s="89"/>
      <c r="AJ40" s="89"/>
      <c r="AK40" s="89"/>
      <c r="AL40" s="63"/>
    </row>
    <row r="41" spans="1:38" s="76" customFormat="1" ht="15" customHeight="1">
      <c r="A41" s="69">
        <v>46175</v>
      </c>
      <c r="B41" s="70" t="str">
        <f t="shared" si="3"/>
        <v>06 A 18</v>
      </c>
      <c r="C41" s="71" t="str">
        <f t="shared" si="4"/>
        <v>06:00 a 08:00</v>
      </c>
      <c r="D41" s="72" t="s">
        <v>245</v>
      </c>
      <c r="E41" s="70">
        <v>2</v>
      </c>
      <c r="F41" s="87" t="s">
        <v>2547</v>
      </c>
      <c r="G41" s="87" t="s">
        <v>945</v>
      </c>
      <c r="H41" s="73">
        <v>341611</v>
      </c>
      <c r="I41" s="70">
        <v>48300671</v>
      </c>
      <c r="J41" s="72" t="s">
        <v>2538</v>
      </c>
      <c r="K41" s="87" t="s">
        <v>87</v>
      </c>
      <c r="L41" s="97" t="s">
        <v>169</v>
      </c>
      <c r="M41" s="87" t="s">
        <v>61</v>
      </c>
      <c r="N41" s="87"/>
      <c r="O41" s="87" t="s">
        <v>2684</v>
      </c>
      <c r="P41" s="94" t="s">
        <v>2577</v>
      </c>
      <c r="Q41" s="74">
        <v>0.280555555555556</v>
      </c>
      <c r="R41" s="74">
        <v>0.36805555555555558</v>
      </c>
      <c r="S41" s="74">
        <v>0.280555555555556</v>
      </c>
      <c r="T41" s="74" t="s">
        <v>2530</v>
      </c>
      <c r="U41" s="74" t="s">
        <v>2530</v>
      </c>
      <c r="V41" s="74" t="s">
        <v>2530</v>
      </c>
      <c r="W41" s="74" t="s">
        <v>2530</v>
      </c>
      <c r="X41" t="s">
        <v>2921</v>
      </c>
      <c r="Y41" s="75">
        <v>0</v>
      </c>
      <c r="Z41" s="75">
        <v>1</v>
      </c>
      <c r="AA41" s="75">
        <v>0</v>
      </c>
      <c r="AB41" s="70" t="s">
        <v>2578</v>
      </c>
      <c r="AC41" s="70" t="s">
        <v>2539</v>
      </c>
      <c r="AD41" s="72" t="s">
        <v>2540</v>
      </c>
      <c r="AE41" s="72"/>
      <c r="AF41" s="89"/>
      <c r="AG41" s="88" t="s">
        <v>62</v>
      </c>
      <c r="AH41" s="89"/>
      <c r="AI41" s="89"/>
      <c r="AJ41" s="89"/>
      <c r="AK41" s="89"/>
      <c r="AL41" s="63"/>
    </row>
    <row r="42" spans="1:38" s="76" customFormat="1" ht="15" customHeight="1">
      <c r="A42" s="69">
        <v>46175</v>
      </c>
      <c r="B42" s="70" t="str">
        <f t="shared" si="3"/>
        <v>06 A 18</v>
      </c>
      <c r="C42" s="71" t="str">
        <f t="shared" si="4"/>
        <v>06:00 a 08:00</v>
      </c>
      <c r="D42" s="72" t="s">
        <v>245</v>
      </c>
      <c r="E42" s="70">
        <v>2</v>
      </c>
      <c r="F42" s="87" t="s">
        <v>2666</v>
      </c>
      <c r="G42" s="87" t="s">
        <v>350</v>
      </c>
      <c r="H42" s="73">
        <v>341414</v>
      </c>
      <c r="I42" s="70">
        <v>48300877</v>
      </c>
      <c r="J42" s="72" t="s">
        <v>2538</v>
      </c>
      <c r="K42" s="87" t="s">
        <v>87</v>
      </c>
      <c r="L42" s="97" t="s">
        <v>200</v>
      </c>
      <c r="M42" s="87" t="s">
        <v>200</v>
      </c>
      <c r="N42" s="87"/>
      <c r="O42" s="87" t="s">
        <v>2685</v>
      </c>
      <c r="P42" s="94" t="s">
        <v>2562</v>
      </c>
      <c r="Q42" s="74">
        <v>0.32083333333333303</v>
      </c>
      <c r="R42" s="74">
        <v>0.38263888888888897</v>
      </c>
      <c r="S42" s="74">
        <v>0.32083333333333303</v>
      </c>
      <c r="T42" s="74" t="s">
        <v>2530</v>
      </c>
      <c r="U42" s="74" t="s">
        <v>2530</v>
      </c>
      <c r="V42" s="74" t="s">
        <v>2530</v>
      </c>
      <c r="W42" s="74" t="s">
        <v>2530</v>
      </c>
      <c r="X42" t="s">
        <v>2922</v>
      </c>
      <c r="Y42" s="75">
        <v>0</v>
      </c>
      <c r="Z42" s="75">
        <v>1</v>
      </c>
      <c r="AA42" s="75">
        <v>0</v>
      </c>
      <c r="AB42" s="70" t="s">
        <v>2580</v>
      </c>
      <c r="AC42" s="70" t="s">
        <v>2539</v>
      </c>
      <c r="AD42" s="72" t="s">
        <v>2540</v>
      </c>
      <c r="AE42" s="72"/>
      <c r="AF42" s="89"/>
      <c r="AG42" s="88" t="s">
        <v>62</v>
      </c>
      <c r="AH42" s="89"/>
      <c r="AI42" s="89"/>
      <c r="AJ42" s="89"/>
      <c r="AK42" s="89"/>
      <c r="AL42" s="63"/>
    </row>
    <row r="43" spans="1:38" s="76" customFormat="1" ht="15" customHeight="1">
      <c r="A43" s="69">
        <v>46175</v>
      </c>
      <c r="B43" s="70" t="str">
        <f t="shared" si="3"/>
        <v>06 A 18</v>
      </c>
      <c r="C43" s="71" t="str">
        <f t="shared" si="4"/>
        <v>08:00 a 10:00</v>
      </c>
      <c r="D43" s="72" t="s">
        <v>245</v>
      </c>
      <c r="E43" s="70">
        <v>2</v>
      </c>
      <c r="F43" s="87" t="s">
        <v>2666</v>
      </c>
      <c r="G43" s="87" t="s">
        <v>838</v>
      </c>
      <c r="H43" s="73">
        <v>341672</v>
      </c>
      <c r="I43" s="70">
        <v>48301019</v>
      </c>
      <c r="J43" s="72" t="s">
        <v>2538</v>
      </c>
      <c r="K43" s="99" t="s">
        <v>146</v>
      </c>
      <c r="L43" s="87"/>
      <c r="M43" s="87"/>
      <c r="N43" s="87"/>
      <c r="O43" s="87" t="s">
        <v>2686</v>
      </c>
      <c r="P43" s="94" t="s">
        <v>2577</v>
      </c>
      <c r="Q43" s="74">
        <v>0.33680555555555602</v>
      </c>
      <c r="R43" s="74">
        <v>0.35208333333333303</v>
      </c>
      <c r="S43" s="74">
        <v>0.343055555555556</v>
      </c>
      <c r="T43" s="74" t="s">
        <v>2530</v>
      </c>
      <c r="U43" s="74" t="s">
        <v>2530</v>
      </c>
      <c r="V43" s="74" t="s">
        <v>2530</v>
      </c>
      <c r="W43" s="74" t="s">
        <v>2530</v>
      </c>
      <c r="X43" t="s">
        <v>2923</v>
      </c>
      <c r="Y43" s="75">
        <v>0</v>
      </c>
      <c r="Z43" s="75">
        <v>0</v>
      </c>
      <c r="AA43" s="75">
        <v>0</v>
      </c>
      <c r="AB43" s="70" t="s">
        <v>2578</v>
      </c>
      <c r="AC43" s="70" t="s">
        <v>2539</v>
      </c>
      <c r="AD43" s="72" t="s">
        <v>2564</v>
      </c>
      <c r="AE43" s="72"/>
      <c r="AF43" s="89"/>
      <c r="AG43" s="88" t="s">
        <v>45</v>
      </c>
      <c r="AH43" s="89"/>
      <c r="AI43" s="89"/>
      <c r="AJ43" s="89"/>
      <c r="AK43" s="89"/>
      <c r="AL43" s="63"/>
    </row>
    <row r="44" spans="1:38" s="76" customFormat="1" ht="15" customHeight="1">
      <c r="A44" s="69">
        <v>46175</v>
      </c>
      <c r="B44" s="70" t="str">
        <f t="shared" si="3"/>
        <v>06 A 18</v>
      </c>
      <c r="C44" s="71" t="str">
        <f t="shared" si="4"/>
        <v>08:00 a 10:00</v>
      </c>
      <c r="D44" s="72" t="s">
        <v>245</v>
      </c>
      <c r="E44" s="70">
        <v>2</v>
      </c>
      <c r="F44" s="87" t="s">
        <v>2550</v>
      </c>
      <c r="G44" s="87" t="s">
        <v>713</v>
      </c>
      <c r="H44" s="73">
        <v>341736</v>
      </c>
      <c r="I44" s="70">
        <v>48301040</v>
      </c>
      <c r="J44" s="72" t="s">
        <v>2538</v>
      </c>
      <c r="K44" s="99" t="s">
        <v>2513</v>
      </c>
      <c r="L44" s="87"/>
      <c r="M44" s="87"/>
      <c r="N44" s="87"/>
      <c r="O44" s="87" t="s">
        <v>2687</v>
      </c>
      <c r="P44" s="94" t="s">
        <v>2562</v>
      </c>
      <c r="Q44" s="74">
        <v>0.34861111111111115</v>
      </c>
      <c r="R44" s="74">
        <v>0.35138888888888892</v>
      </c>
      <c r="S44" s="74">
        <v>0.34652777777777777</v>
      </c>
      <c r="T44" s="74" t="s">
        <v>2530</v>
      </c>
      <c r="U44" s="74" t="s">
        <v>2530</v>
      </c>
      <c r="V44" s="74" t="s">
        <v>2530</v>
      </c>
      <c r="W44" s="74" t="s">
        <v>2530</v>
      </c>
      <c r="X44" t="s">
        <v>2924</v>
      </c>
      <c r="Y44" s="75">
        <v>0</v>
      </c>
      <c r="Z44" s="75">
        <v>0</v>
      </c>
      <c r="AA44" s="75">
        <v>0</v>
      </c>
      <c r="AB44" s="70" t="s">
        <v>2559</v>
      </c>
      <c r="AC44" s="70" t="s">
        <v>2539</v>
      </c>
      <c r="AD44" s="72" t="s">
        <v>2564</v>
      </c>
      <c r="AE44" s="72"/>
      <c r="AF44" s="89"/>
      <c r="AG44" s="88" t="s">
        <v>45</v>
      </c>
      <c r="AH44" s="89"/>
      <c r="AI44" s="89"/>
      <c r="AJ44" s="89"/>
      <c r="AK44" s="89"/>
      <c r="AL44" s="63"/>
    </row>
    <row r="45" spans="1:38" s="76" customFormat="1" ht="15" customHeight="1">
      <c r="A45" s="69">
        <v>46175</v>
      </c>
      <c r="B45" s="70" t="str">
        <f t="shared" si="3"/>
        <v>06 A 18</v>
      </c>
      <c r="C45" s="71" t="str">
        <f t="shared" si="4"/>
        <v>08:00 a 10:00</v>
      </c>
      <c r="D45" s="72" t="s">
        <v>245</v>
      </c>
      <c r="E45" s="70">
        <v>2</v>
      </c>
      <c r="F45" s="87" t="s">
        <v>164</v>
      </c>
      <c r="G45" s="87" t="s">
        <v>713</v>
      </c>
      <c r="H45" s="73">
        <v>341703</v>
      </c>
      <c r="I45" s="70">
        <v>48301131</v>
      </c>
      <c r="J45" s="72" t="s">
        <v>2538</v>
      </c>
      <c r="K45" s="99" t="s">
        <v>2513</v>
      </c>
      <c r="L45" s="87"/>
      <c r="M45" s="87"/>
      <c r="N45" s="87"/>
      <c r="O45" s="87" t="s">
        <v>2688</v>
      </c>
      <c r="P45" s="94" t="s">
        <v>2622</v>
      </c>
      <c r="Q45" s="74">
        <v>0.35138888888888892</v>
      </c>
      <c r="R45" s="74">
        <v>0.359722222222222</v>
      </c>
      <c r="S45" s="74">
        <v>0.35625000000000001</v>
      </c>
      <c r="T45" s="74" t="s">
        <v>2530</v>
      </c>
      <c r="U45" s="74" t="s">
        <v>2530</v>
      </c>
      <c r="V45" s="74" t="s">
        <v>2530</v>
      </c>
      <c r="W45" s="74" t="s">
        <v>2530</v>
      </c>
      <c r="X45" t="s">
        <v>2925</v>
      </c>
      <c r="Y45" s="75">
        <v>0</v>
      </c>
      <c r="Z45" s="75">
        <v>0</v>
      </c>
      <c r="AA45" s="75">
        <v>0</v>
      </c>
      <c r="AB45" s="70" t="s">
        <v>2623</v>
      </c>
      <c r="AC45" s="70" t="s">
        <v>2539</v>
      </c>
      <c r="AD45" s="72" t="s">
        <v>2564</v>
      </c>
      <c r="AE45" s="72"/>
      <c r="AF45" s="89"/>
      <c r="AG45" s="88" t="s">
        <v>45</v>
      </c>
      <c r="AH45" s="89"/>
      <c r="AI45" s="89"/>
      <c r="AJ45" s="89"/>
      <c r="AK45" s="89"/>
      <c r="AL45" s="63"/>
    </row>
    <row r="46" spans="1:38" s="76" customFormat="1" ht="15" customHeight="1">
      <c r="A46" s="69">
        <v>46175</v>
      </c>
      <c r="B46" s="70" t="str">
        <f t="shared" si="3"/>
        <v>06 A 18</v>
      </c>
      <c r="C46" s="71" t="str">
        <f t="shared" si="4"/>
        <v>08:00 a 10:00</v>
      </c>
      <c r="D46" s="72" t="s">
        <v>245</v>
      </c>
      <c r="E46" s="70">
        <v>2</v>
      </c>
      <c r="F46" s="87" t="s">
        <v>164</v>
      </c>
      <c r="G46" s="87" t="s">
        <v>713</v>
      </c>
      <c r="H46" s="73">
        <v>341708</v>
      </c>
      <c r="I46" s="70">
        <v>48301120</v>
      </c>
      <c r="J46" s="72" t="s">
        <v>2538</v>
      </c>
      <c r="K46" s="99" t="s">
        <v>2513</v>
      </c>
      <c r="L46" s="87"/>
      <c r="M46" s="87"/>
      <c r="N46" s="87"/>
      <c r="O46" s="87" t="s">
        <v>2689</v>
      </c>
      <c r="P46" s="94" t="s">
        <v>2553</v>
      </c>
      <c r="Q46" s="74">
        <v>0.34375</v>
      </c>
      <c r="R46" s="74">
        <v>0.41805555555555557</v>
      </c>
      <c r="S46" s="74" t="s">
        <v>2530</v>
      </c>
      <c r="T46" s="74" t="s">
        <v>2530</v>
      </c>
      <c r="U46" s="74" t="s">
        <v>2530</v>
      </c>
      <c r="V46" s="74" t="s">
        <v>2530</v>
      </c>
      <c r="W46" s="74" t="s">
        <v>2530</v>
      </c>
      <c r="X46" t="s">
        <v>2926</v>
      </c>
      <c r="Y46" s="75">
        <v>0</v>
      </c>
      <c r="Z46" s="75">
        <v>0</v>
      </c>
      <c r="AA46" s="75">
        <v>0</v>
      </c>
      <c r="AB46" s="70" t="s">
        <v>2554</v>
      </c>
      <c r="AC46" s="70" t="s">
        <v>2539</v>
      </c>
      <c r="AD46" s="72" t="s">
        <v>2564</v>
      </c>
      <c r="AE46" s="72"/>
      <c r="AF46" s="89"/>
      <c r="AG46" s="88" t="s">
        <v>45</v>
      </c>
      <c r="AH46" s="89"/>
      <c r="AI46" s="89"/>
      <c r="AJ46" s="89"/>
      <c r="AK46" s="89"/>
      <c r="AL46" s="63"/>
    </row>
    <row r="47" spans="1:38" ht="15" customHeight="1">
      <c r="A47" s="69">
        <v>46175</v>
      </c>
      <c r="B47" s="70" t="str">
        <f t="shared" si="3"/>
        <v>06 A 18</v>
      </c>
      <c r="C47" s="71" t="str">
        <f t="shared" si="4"/>
        <v>08:00 a 10:00</v>
      </c>
      <c r="D47" s="56" t="s">
        <v>245</v>
      </c>
      <c r="E47" s="54">
        <v>2</v>
      </c>
      <c r="F47" s="87" t="s">
        <v>2547</v>
      </c>
      <c r="G47" s="87" t="s">
        <v>2273</v>
      </c>
      <c r="H47" s="73">
        <v>341500</v>
      </c>
      <c r="I47" s="70">
        <v>48301042</v>
      </c>
      <c r="J47" s="56" t="s">
        <v>2538</v>
      </c>
      <c r="K47" s="87" t="s">
        <v>2532</v>
      </c>
      <c r="L47" s="87"/>
      <c r="M47" s="87"/>
      <c r="N47" s="87"/>
      <c r="O47" s="87" t="s">
        <v>2690</v>
      </c>
      <c r="P47" s="94" t="s">
        <v>2560</v>
      </c>
      <c r="Q47" s="58">
        <v>0.34236111111111101</v>
      </c>
      <c r="R47" s="58">
        <v>0.3520833333333333</v>
      </c>
      <c r="S47" s="58">
        <v>0.34583333333333299</v>
      </c>
      <c r="T47" s="58" t="s">
        <v>2530</v>
      </c>
      <c r="U47" s="58" t="s">
        <v>2530</v>
      </c>
      <c r="V47" s="58" t="s">
        <v>2530</v>
      </c>
      <c r="W47" s="58" t="s">
        <v>2530</v>
      </c>
      <c r="X47" t="s">
        <v>2927</v>
      </c>
      <c r="Y47" s="57">
        <v>0</v>
      </c>
      <c r="Z47" s="57">
        <v>0</v>
      </c>
      <c r="AA47" s="57">
        <v>0</v>
      </c>
      <c r="AB47" s="54" t="s">
        <v>2587</v>
      </c>
      <c r="AC47" s="54" t="s">
        <v>2539</v>
      </c>
      <c r="AD47" s="56" t="s">
        <v>2564</v>
      </c>
      <c r="AE47" s="56"/>
      <c r="AF47" s="89"/>
      <c r="AG47" s="88" t="s">
        <v>45</v>
      </c>
      <c r="AH47" s="89"/>
      <c r="AI47" s="91"/>
      <c r="AJ47" s="92"/>
      <c r="AK47" s="100" t="s">
        <v>2792</v>
      </c>
      <c r="AL47" s="42"/>
    </row>
    <row r="48" spans="1:38" ht="15" customHeight="1">
      <c r="A48" s="69">
        <v>46175</v>
      </c>
      <c r="B48" s="70" t="str">
        <f t="shared" si="3"/>
        <v>06 A 18</v>
      </c>
      <c r="C48" s="71" t="str">
        <f t="shared" si="4"/>
        <v>08:00 a 10:00</v>
      </c>
      <c r="D48" s="56" t="s">
        <v>245</v>
      </c>
      <c r="E48" s="54">
        <v>2</v>
      </c>
      <c r="F48" s="87" t="s">
        <v>2548</v>
      </c>
      <c r="G48" s="87" t="s">
        <v>947</v>
      </c>
      <c r="H48" s="73">
        <v>341497</v>
      </c>
      <c r="I48" s="70">
        <v>48301026</v>
      </c>
      <c r="J48" s="56" t="s">
        <v>2538</v>
      </c>
      <c r="K48" s="97" t="s">
        <v>87</v>
      </c>
      <c r="L48" s="97" t="s">
        <v>77</v>
      </c>
      <c r="M48" s="97" t="s">
        <v>131</v>
      </c>
      <c r="N48" s="87"/>
      <c r="O48" s="87" t="s">
        <v>2691</v>
      </c>
      <c r="P48" s="94" t="s">
        <v>2586</v>
      </c>
      <c r="Q48" s="58">
        <v>0.343055555555556</v>
      </c>
      <c r="R48" s="58">
        <v>0.390277777777778</v>
      </c>
      <c r="S48" s="58">
        <v>0.34513888888888899</v>
      </c>
      <c r="T48" s="58">
        <v>0.34652777777777799</v>
      </c>
      <c r="U48" s="58">
        <v>0.34930555555555598</v>
      </c>
      <c r="V48" s="58" t="s">
        <v>2530</v>
      </c>
      <c r="W48" s="58" t="s">
        <v>2530</v>
      </c>
      <c r="X48" t="s">
        <v>2928</v>
      </c>
      <c r="Y48" s="57">
        <v>0</v>
      </c>
      <c r="Z48" s="57">
        <v>1</v>
      </c>
      <c r="AA48" s="57">
        <v>1</v>
      </c>
      <c r="AB48" s="54" t="s">
        <v>2602</v>
      </c>
      <c r="AC48" s="54" t="s">
        <v>2539</v>
      </c>
      <c r="AD48" s="56" t="s">
        <v>2540</v>
      </c>
      <c r="AE48" s="56"/>
      <c r="AF48" s="89"/>
      <c r="AG48" s="88" t="s">
        <v>62</v>
      </c>
      <c r="AH48" s="89"/>
      <c r="AI48" s="101" t="s">
        <v>2794</v>
      </c>
      <c r="AJ48" s="92"/>
      <c r="AK48" s="93"/>
      <c r="AL48" s="42"/>
    </row>
    <row r="49" spans="1:38" ht="15" customHeight="1">
      <c r="A49" s="69">
        <v>46175</v>
      </c>
      <c r="B49" s="70" t="str">
        <f t="shared" si="3"/>
        <v>06 A 18</v>
      </c>
      <c r="C49" s="71" t="str">
        <f t="shared" si="4"/>
        <v>08:00 a 10:00</v>
      </c>
      <c r="D49" s="56" t="s">
        <v>245</v>
      </c>
      <c r="E49" s="54">
        <v>2</v>
      </c>
      <c r="F49" s="87" t="s">
        <v>2666</v>
      </c>
      <c r="G49" s="87" t="s">
        <v>2388</v>
      </c>
      <c r="H49" s="73">
        <v>341495</v>
      </c>
      <c r="I49" s="70">
        <v>48301133</v>
      </c>
      <c r="J49" s="56" t="s">
        <v>2538</v>
      </c>
      <c r="K49" s="87" t="s">
        <v>87</v>
      </c>
      <c r="L49" s="97" t="s">
        <v>169</v>
      </c>
      <c r="M49" s="87" t="s">
        <v>247</v>
      </c>
      <c r="N49" s="87"/>
      <c r="O49" s="87" t="s">
        <v>2692</v>
      </c>
      <c r="P49" s="94" t="s">
        <v>2586</v>
      </c>
      <c r="Q49" s="58">
        <v>0.35</v>
      </c>
      <c r="R49" s="58">
        <v>0.37013888888888902</v>
      </c>
      <c r="S49" s="58">
        <v>0.35</v>
      </c>
      <c r="T49" s="58" t="s">
        <v>2530</v>
      </c>
      <c r="U49" s="58" t="s">
        <v>2530</v>
      </c>
      <c r="V49" s="58" t="s">
        <v>2530</v>
      </c>
      <c r="W49" s="58" t="s">
        <v>2530</v>
      </c>
      <c r="X49" t="s">
        <v>2929</v>
      </c>
      <c r="Y49" s="57">
        <v>1</v>
      </c>
      <c r="Z49" s="57">
        <v>0</v>
      </c>
      <c r="AA49" s="57">
        <v>0</v>
      </c>
      <c r="AB49" s="54" t="s">
        <v>2602</v>
      </c>
      <c r="AC49" s="54" t="s">
        <v>2539</v>
      </c>
      <c r="AD49" s="56" t="s">
        <v>2564</v>
      </c>
      <c r="AE49" s="56"/>
      <c r="AF49" s="89"/>
      <c r="AG49" s="88" t="s">
        <v>62</v>
      </c>
      <c r="AH49" s="89"/>
      <c r="AI49" s="91"/>
      <c r="AJ49" s="92"/>
      <c r="AK49" s="93"/>
      <c r="AL49" s="42"/>
    </row>
    <row r="50" spans="1:38" ht="15" customHeight="1">
      <c r="A50" s="69">
        <v>46175</v>
      </c>
      <c r="B50" s="70" t="str">
        <f t="shared" si="3"/>
        <v>06 A 18</v>
      </c>
      <c r="C50" s="71" t="str">
        <f t="shared" si="4"/>
        <v>08:00 a 10:00</v>
      </c>
      <c r="D50" s="56" t="s">
        <v>245</v>
      </c>
      <c r="E50" s="54">
        <v>2</v>
      </c>
      <c r="F50" s="87" t="s">
        <v>2550</v>
      </c>
      <c r="G50" s="87" t="s">
        <v>2478</v>
      </c>
      <c r="H50" s="73">
        <v>341499</v>
      </c>
      <c r="I50" s="70">
        <v>48301153</v>
      </c>
      <c r="J50" s="56" t="s">
        <v>2538</v>
      </c>
      <c r="K50" s="99" t="s">
        <v>2513</v>
      </c>
      <c r="L50" s="87"/>
      <c r="M50" s="87"/>
      <c r="N50" s="87"/>
      <c r="O50" s="87" t="s">
        <v>2693</v>
      </c>
      <c r="P50" s="94" t="s">
        <v>2586</v>
      </c>
      <c r="Q50" s="58">
        <v>0.35555555555555601</v>
      </c>
      <c r="R50" s="58">
        <v>0.38124999999999998</v>
      </c>
      <c r="S50" s="58">
        <v>0.37777777777777799</v>
      </c>
      <c r="T50" s="58" t="s">
        <v>2530</v>
      </c>
      <c r="U50" s="58" t="s">
        <v>2530</v>
      </c>
      <c r="V50" s="58" t="s">
        <v>2530</v>
      </c>
      <c r="W50" s="58" t="s">
        <v>2530</v>
      </c>
      <c r="X50" t="s">
        <v>2930</v>
      </c>
      <c r="Y50" s="57">
        <v>0</v>
      </c>
      <c r="Z50" s="57">
        <v>0</v>
      </c>
      <c r="AA50" s="57">
        <v>0</v>
      </c>
      <c r="AB50" s="54" t="s">
        <v>2602</v>
      </c>
      <c r="AC50" s="54" t="s">
        <v>2539</v>
      </c>
      <c r="AD50" s="56" t="s">
        <v>2564</v>
      </c>
      <c r="AE50" s="56"/>
      <c r="AF50" s="89"/>
      <c r="AG50" s="88" t="s">
        <v>45</v>
      </c>
      <c r="AH50" s="89"/>
      <c r="AI50" s="91"/>
      <c r="AJ50" s="92"/>
      <c r="AK50" s="93"/>
      <c r="AL50" s="42"/>
    </row>
    <row r="51" spans="1:38" ht="15" customHeight="1">
      <c r="A51" s="69">
        <v>46175</v>
      </c>
      <c r="B51" s="70" t="str">
        <f t="shared" si="3"/>
        <v>06 A 18</v>
      </c>
      <c r="C51" s="71" t="str">
        <f t="shared" si="4"/>
        <v>08:00 a 10:00</v>
      </c>
      <c r="D51" s="56" t="s">
        <v>245</v>
      </c>
      <c r="E51" s="54">
        <v>2</v>
      </c>
      <c r="F51" s="87" t="s">
        <v>2550</v>
      </c>
      <c r="G51" s="87" t="s">
        <v>2108</v>
      </c>
      <c r="H51" s="73">
        <v>341565</v>
      </c>
      <c r="I51" s="70">
        <v>48301271</v>
      </c>
      <c r="J51" s="56" t="s">
        <v>2538</v>
      </c>
      <c r="K51" s="99" t="s">
        <v>2513</v>
      </c>
      <c r="L51" s="87"/>
      <c r="M51" s="87"/>
      <c r="N51" s="87"/>
      <c r="O51" s="87" t="s">
        <v>2694</v>
      </c>
      <c r="P51" s="94" t="s">
        <v>2599</v>
      </c>
      <c r="Q51" s="58">
        <v>0.37291666666666701</v>
      </c>
      <c r="R51" s="58">
        <v>0.38194444444444398</v>
      </c>
      <c r="S51" s="58">
        <v>0.37986111111111098</v>
      </c>
      <c r="T51" s="58" t="s">
        <v>2530</v>
      </c>
      <c r="U51" s="58" t="s">
        <v>2530</v>
      </c>
      <c r="V51" s="58" t="s">
        <v>2530</v>
      </c>
      <c r="W51" s="58" t="s">
        <v>2530</v>
      </c>
      <c r="X51" t="s">
        <v>2931</v>
      </c>
      <c r="Y51" s="57">
        <v>0</v>
      </c>
      <c r="Z51" s="57">
        <v>0</v>
      </c>
      <c r="AA51" s="57">
        <v>0</v>
      </c>
      <c r="AB51" s="54" t="s">
        <v>2559</v>
      </c>
      <c r="AC51" s="54" t="s">
        <v>2539</v>
      </c>
      <c r="AD51" s="56" t="s">
        <v>2564</v>
      </c>
      <c r="AE51" s="56"/>
      <c r="AF51" s="89"/>
      <c r="AG51" s="88" t="s">
        <v>45</v>
      </c>
      <c r="AH51" s="89"/>
      <c r="AI51" s="91"/>
      <c r="AJ51" s="92"/>
      <c r="AK51" s="93"/>
      <c r="AL51" s="42"/>
    </row>
    <row r="52" spans="1:38" ht="15" customHeight="1">
      <c r="A52" s="69">
        <v>46175</v>
      </c>
      <c r="B52" s="70" t="str">
        <f t="shared" si="3"/>
        <v>06 A 18</v>
      </c>
      <c r="C52" s="71" t="str">
        <f t="shared" si="4"/>
        <v>08:00 a 10:00</v>
      </c>
      <c r="D52" s="56" t="s">
        <v>245</v>
      </c>
      <c r="E52" s="54">
        <v>2</v>
      </c>
      <c r="F52" s="87" t="s">
        <v>2666</v>
      </c>
      <c r="G52" s="87" t="s">
        <v>624</v>
      </c>
      <c r="H52" s="73">
        <v>341504</v>
      </c>
      <c r="I52" s="70">
        <v>48301149</v>
      </c>
      <c r="J52" s="56" t="s">
        <v>2538</v>
      </c>
      <c r="K52" s="87" t="s">
        <v>101</v>
      </c>
      <c r="L52" s="87"/>
      <c r="M52" s="87" t="s">
        <v>215</v>
      </c>
      <c r="N52" s="87"/>
      <c r="O52" s="87" t="s">
        <v>2695</v>
      </c>
      <c r="P52" s="94" t="s">
        <v>2585</v>
      </c>
      <c r="Q52" s="58">
        <v>0.35763888888888901</v>
      </c>
      <c r="R52" s="58">
        <v>0.38055555555555598</v>
      </c>
      <c r="S52" s="58">
        <v>0.36319444444444399</v>
      </c>
      <c r="T52" s="58" t="s">
        <v>2530</v>
      </c>
      <c r="U52" s="58" t="s">
        <v>2530</v>
      </c>
      <c r="V52" s="58" t="s">
        <v>2530</v>
      </c>
      <c r="W52" s="58" t="s">
        <v>2530</v>
      </c>
      <c r="X52" t="s">
        <v>2932</v>
      </c>
      <c r="Y52" s="57">
        <v>2</v>
      </c>
      <c r="Z52" s="57">
        <v>0</v>
      </c>
      <c r="AA52" s="57">
        <v>0</v>
      </c>
      <c r="AB52" s="54" t="s">
        <v>2617</v>
      </c>
      <c r="AC52" s="54" t="s">
        <v>2539</v>
      </c>
      <c r="AD52" s="56" t="s">
        <v>2540</v>
      </c>
      <c r="AE52" s="56"/>
      <c r="AF52" s="89"/>
      <c r="AG52" s="88" t="s">
        <v>54</v>
      </c>
      <c r="AH52" s="89"/>
      <c r="AI52" s="91"/>
      <c r="AJ52" s="92"/>
      <c r="AK52" s="93"/>
      <c r="AL52" s="42"/>
    </row>
    <row r="53" spans="1:38" ht="15" customHeight="1">
      <c r="A53" s="69">
        <v>46175</v>
      </c>
      <c r="B53" s="70" t="str">
        <f t="shared" si="3"/>
        <v>06 A 18</v>
      </c>
      <c r="C53" s="71" t="str">
        <f t="shared" si="4"/>
        <v>08:00 a 10:00</v>
      </c>
      <c r="D53" s="56" t="s">
        <v>245</v>
      </c>
      <c r="E53" s="54">
        <v>2</v>
      </c>
      <c r="F53" s="87" t="s">
        <v>2666</v>
      </c>
      <c r="G53" s="87" t="s">
        <v>947</v>
      </c>
      <c r="H53" s="73">
        <v>341631</v>
      </c>
      <c r="I53" s="70">
        <v>48301242</v>
      </c>
      <c r="J53" s="56" t="s">
        <v>2538</v>
      </c>
      <c r="K53" s="87" t="s">
        <v>87</v>
      </c>
      <c r="L53" s="97" t="s">
        <v>186</v>
      </c>
      <c r="M53" s="87"/>
      <c r="N53" s="87"/>
      <c r="O53" s="87" t="s">
        <v>2696</v>
      </c>
      <c r="P53" s="94" t="s">
        <v>2590</v>
      </c>
      <c r="Q53" s="58">
        <v>0.37152777777777801</v>
      </c>
      <c r="R53" s="58">
        <v>0.38680555555555557</v>
      </c>
      <c r="S53" s="58">
        <v>0.40277777777777801</v>
      </c>
      <c r="T53" s="58" t="s">
        <v>2530</v>
      </c>
      <c r="U53" s="58" t="s">
        <v>2530</v>
      </c>
      <c r="V53" s="58" t="s">
        <v>2530</v>
      </c>
      <c r="W53" s="58" t="s">
        <v>2530</v>
      </c>
      <c r="X53" t="s">
        <v>2933</v>
      </c>
      <c r="Y53" s="57">
        <v>0</v>
      </c>
      <c r="Z53" s="57">
        <v>0</v>
      </c>
      <c r="AA53" s="57">
        <v>1</v>
      </c>
      <c r="AB53" s="54" t="s">
        <v>2587</v>
      </c>
      <c r="AC53" s="54" t="s">
        <v>2539</v>
      </c>
      <c r="AD53" s="56" t="s">
        <v>2540</v>
      </c>
      <c r="AE53" s="56"/>
      <c r="AF53" s="89"/>
      <c r="AG53" s="88" t="s">
        <v>45</v>
      </c>
      <c r="AH53" s="89"/>
      <c r="AI53" s="91"/>
      <c r="AJ53" s="92"/>
      <c r="AK53" s="93"/>
      <c r="AL53" s="42"/>
    </row>
    <row r="54" spans="1:38" ht="15" customHeight="1">
      <c r="A54" s="69">
        <v>46175</v>
      </c>
      <c r="B54" s="70" t="str">
        <f t="shared" si="3"/>
        <v>06 A 18</v>
      </c>
      <c r="C54" s="71" t="str">
        <f t="shared" si="4"/>
        <v>06:00 a 08:00</v>
      </c>
      <c r="D54" s="56" t="s">
        <v>245</v>
      </c>
      <c r="E54" s="54">
        <v>2</v>
      </c>
      <c r="F54" s="77" t="s">
        <v>2547</v>
      </c>
      <c r="G54" s="77" t="s">
        <v>1310</v>
      </c>
      <c r="H54" s="73">
        <v>341768</v>
      </c>
      <c r="I54" s="70">
        <v>48300911</v>
      </c>
      <c r="J54" s="56" t="s">
        <v>2538</v>
      </c>
      <c r="K54" s="77" t="s">
        <v>153</v>
      </c>
      <c r="L54" s="77"/>
      <c r="M54" s="77"/>
      <c r="N54" s="77"/>
      <c r="O54" s="77" t="s">
        <v>2697</v>
      </c>
      <c r="P54" s="78" t="s">
        <v>2577</v>
      </c>
      <c r="Q54" s="58">
        <v>0.31944444444444398</v>
      </c>
      <c r="R54" s="58">
        <v>0.329166666666667</v>
      </c>
      <c r="S54" s="58"/>
      <c r="T54" s="58" t="s">
        <v>2530</v>
      </c>
      <c r="U54" s="58" t="s">
        <v>2530</v>
      </c>
      <c r="V54" s="58" t="s">
        <v>2530</v>
      </c>
      <c r="W54" s="58" t="s">
        <v>2530</v>
      </c>
      <c r="X54" t="s">
        <v>2934</v>
      </c>
      <c r="Y54" s="57">
        <v>0</v>
      </c>
      <c r="Z54" s="57">
        <v>0</v>
      </c>
      <c r="AA54" s="57">
        <v>0</v>
      </c>
      <c r="AB54" s="54" t="s">
        <v>2578</v>
      </c>
      <c r="AC54" s="54" t="s">
        <v>2539</v>
      </c>
      <c r="AD54" s="56" t="s">
        <v>2540</v>
      </c>
      <c r="AE54" s="56"/>
      <c r="AF54" s="81"/>
      <c r="AG54" s="83" t="s">
        <v>45</v>
      </c>
      <c r="AH54" s="81"/>
      <c r="AI54" s="84"/>
      <c r="AJ54" s="85"/>
      <c r="AK54" s="86"/>
      <c r="AL54" s="42"/>
    </row>
    <row r="55" spans="1:38" ht="15" customHeight="1">
      <c r="A55" s="69">
        <v>46175</v>
      </c>
      <c r="B55" s="70" t="str">
        <f t="shared" si="3"/>
        <v>06 A 18</v>
      </c>
      <c r="C55" s="71" t="str">
        <f t="shared" si="4"/>
        <v>08:00 a 10:00</v>
      </c>
      <c r="D55" s="56" t="s">
        <v>245</v>
      </c>
      <c r="E55" s="54">
        <v>2</v>
      </c>
      <c r="F55" s="77" t="s">
        <v>2547</v>
      </c>
      <c r="G55" s="77" t="s">
        <v>2478</v>
      </c>
      <c r="H55" s="73">
        <v>341559</v>
      </c>
      <c r="I55" s="70">
        <v>48301167</v>
      </c>
      <c r="J55" s="56" t="s">
        <v>2538</v>
      </c>
      <c r="K55" s="102" t="s">
        <v>87</v>
      </c>
      <c r="L55" s="103" t="s">
        <v>174</v>
      </c>
      <c r="M55" s="77"/>
      <c r="N55" s="77"/>
      <c r="O55" s="77" t="s">
        <v>2698</v>
      </c>
      <c r="P55" s="78" t="s">
        <v>2586</v>
      </c>
      <c r="Q55" s="58">
        <v>0.36319444444444399</v>
      </c>
      <c r="R55" s="58">
        <v>0.40069444444444402</v>
      </c>
      <c r="S55" s="58">
        <v>0.36388888888888898</v>
      </c>
      <c r="T55" s="58" t="s">
        <v>2530</v>
      </c>
      <c r="U55" s="58" t="s">
        <v>2530</v>
      </c>
      <c r="V55" s="58" t="s">
        <v>2530</v>
      </c>
      <c r="W55" s="58" t="s">
        <v>2530</v>
      </c>
      <c r="X55" t="s">
        <v>2935</v>
      </c>
      <c r="Y55" s="57">
        <v>0</v>
      </c>
      <c r="Z55" s="57">
        <v>0</v>
      </c>
      <c r="AA55" s="57">
        <v>0</v>
      </c>
      <c r="AB55" s="54" t="s">
        <v>2584</v>
      </c>
      <c r="AC55" s="54" t="s">
        <v>2539</v>
      </c>
      <c r="AD55" s="56" t="s">
        <v>2540</v>
      </c>
      <c r="AE55" s="56"/>
      <c r="AF55" s="81"/>
      <c r="AG55" s="83" t="s">
        <v>45</v>
      </c>
      <c r="AH55" s="81"/>
      <c r="AI55" s="84"/>
      <c r="AJ55" s="85"/>
      <c r="AK55" s="86"/>
      <c r="AL55" s="42"/>
    </row>
    <row r="56" spans="1:38" ht="15" customHeight="1">
      <c r="A56" s="69">
        <v>46175</v>
      </c>
      <c r="B56" s="70" t="str">
        <f t="shared" si="3"/>
        <v>06 A 18</v>
      </c>
      <c r="C56" s="71" t="str">
        <f t="shared" si="4"/>
        <v>08:00 a 10:00</v>
      </c>
      <c r="D56" s="56" t="s">
        <v>245</v>
      </c>
      <c r="E56" s="54">
        <v>2</v>
      </c>
      <c r="F56" s="77" t="s">
        <v>164</v>
      </c>
      <c r="G56" s="77" t="s">
        <v>296</v>
      </c>
      <c r="H56" s="73">
        <v>341508</v>
      </c>
      <c r="I56" s="70">
        <v>48301440</v>
      </c>
      <c r="J56" s="56" t="s">
        <v>2538</v>
      </c>
      <c r="K56" s="77" t="s">
        <v>146</v>
      </c>
      <c r="L56" s="77"/>
      <c r="M56" s="77"/>
      <c r="N56" s="77"/>
      <c r="O56" s="77" t="s">
        <v>2626</v>
      </c>
      <c r="P56" s="78" t="s">
        <v>2557</v>
      </c>
      <c r="Q56" s="58">
        <v>0.38958333333333334</v>
      </c>
      <c r="R56" s="58">
        <v>0.39513888888888898</v>
      </c>
      <c r="S56" s="58"/>
      <c r="T56" s="58" t="s">
        <v>2530</v>
      </c>
      <c r="U56" s="58" t="s">
        <v>2530</v>
      </c>
      <c r="V56" s="58" t="s">
        <v>2530</v>
      </c>
      <c r="W56" s="58" t="s">
        <v>2530</v>
      </c>
      <c r="X56" t="s">
        <v>2936</v>
      </c>
      <c r="Y56" s="57">
        <v>0</v>
      </c>
      <c r="Z56" s="57">
        <v>0</v>
      </c>
      <c r="AA56" s="57">
        <v>0</v>
      </c>
      <c r="AB56" s="54" t="s">
        <v>2593</v>
      </c>
      <c r="AC56" s="54" t="s">
        <v>2539</v>
      </c>
      <c r="AD56" s="56" t="s">
        <v>2564</v>
      </c>
      <c r="AE56" s="56"/>
      <c r="AF56" s="81"/>
      <c r="AG56" s="83" t="s">
        <v>45</v>
      </c>
      <c r="AH56" s="81"/>
      <c r="AI56" s="84"/>
      <c r="AJ56" s="85"/>
      <c r="AK56" s="86"/>
      <c r="AL56" s="42"/>
    </row>
    <row r="57" spans="1:38" ht="15" customHeight="1">
      <c r="A57" s="69">
        <v>46175</v>
      </c>
      <c r="B57" s="70" t="str">
        <f t="shared" si="3"/>
        <v>06 A 18</v>
      </c>
      <c r="C57" s="71" t="str">
        <f t="shared" si="4"/>
        <v>08:00 a 10:00</v>
      </c>
      <c r="D57" s="56" t="s">
        <v>245</v>
      </c>
      <c r="E57" s="54">
        <v>2</v>
      </c>
      <c r="F57" s="77" t="s">
        <v>2666</v>
      </c>
      <c r="G57" s="77" t="s">
        <v>586</v>
      </c>
      <c r="H57" s="73">
        <v>342026</v>
      </c>
      <c r="I57" s="70">
        <v>48301247</v>
      </c>
      <c r="J57" s="56" t="s">
        <v>2538</v>
      </c>
      <c r="K57" s="103" t="s">
        <v>87</v>
      </c>
      <c r="L57" s="103" t="s">
        <v>77</v>
      </c>
      <c r="M57" s="77"/>
      <c r="N57" s="77"/>
      <c r="O57" s="77" t="s">
        <v>2699</v>
      </c>
      <c r="P57" s="78" t="s">
        <v>2562</v>
      </c>
      <c r="Q57" s="58">
        <v>0.38402777777777802</v>
      </c>
      <c r="R57" s="58">
        <v>0.390972222222222</v>
      </c>
      <c r="S57" s="58">
        <v>0.38402777777777802</v>
      </c>
      <c r="T57" s="58" t="s">
        <v>2530</v>
      </c>
      <c r="U57" s="58" t="s">
        <v>2530</v>
      </c>
      <c r="V57" s="58" t="s">
        <v>2530</v>
      </c>
      <c r="W57" s="58" t="s">
        <v>2530</v>
      </c>
      <c r="X57" t="s">
        <v>2937</v>
      </c>
      <c r="Y57" s="57">
        <v>0</v>
      </c>
      <c r="Z57" s="57">
        <v>0</v>
      </c>
      <c r="AA57" s="57">
        <v>0</v>
      </c>
      <c r="AB57" s="54" t="s">
        <v>2563</v>
      </c>
      <c r="AC57" s="54" t="s">
        <v>2539</v>
      </c>
      <c r="AD57" s="56" t="s">
        <v>2540</v>
      </c>
      <c r="AE57" s="56"/>
      <c r="AF57" s="81"/>
      <c r="AG57" s="83" t="s">
        <v>45</v>
      </c>
      <c r="AH57" s="81"/>
      <c r="AI57" s="96" t="s">
        <v>2793</v>
      </c>
      <c r="AJ57" s="85"/>
      <c r="AK57" s="86"/>
      <c r="AL57" s="42"/>
    </row>
    <row r="58" spans="1:38" ht="15" customHeight="1">
      <c r="A58" s="69">
        <v>46175</v>
      </c>
      <c r="B58" s="70" t="str">
        <f t="shared" si="3"/>
        <v>06 A 18</v>
      </c>
      <c r="C58" s="71" t="str">
        <f t="shared" si="4"/>
        <v>08:00 a 10:00</v>
      </c>
      <c r="D58" s="56" t="s">
        <v>245</v>
      </c>
      <c r="E58" s="54">
        <v>2</v>
      </c>
      <c r="F58" s="77" t="s">
        <v>2547</v>
      </c>
      <c r="G58" s="77" t="s">
        <v>1124</v>
      </c>
      <c r="H58" s="73">
        <v>341761</v>
      </c>
      <c r="I58" s="70">
        <v>48301186</v>
      </c>
      <c r="J58" s="56" t="s">
        <v>2538</v>
      </c>
      <c r="K58" s="77" t="s">
        <v>87</v>
      </c>
      <c r="L58" s="103" t="s">
        <v>19</v>
      </c>
      <c r="M58" s="77"/>
      <c r="N58" s="77"/>
      <c r="O58" s="77" t="s">
        <v>2700</v>
      </c>
      <c r="P58" s="78" t="s">
        <v>2621</v>
      </c>
      <c r="Q58" s="58">
        <v>0.37847222222222199</v>
      </c>
      <c r="R58" s="58">
        <v>0.39583333333333331</v>
      </c>
      <c r="S58" s="58">
        <v>0.37847222222222199</v>
      </c>
      <c r="T58" s="58" t="s">
        <v>2530</v>
      </c>
      <c r="U58" s="58" t="s">
        <v>2530</v>
      </c>
      <c r="V58" s="58" t="s">
        <v>2530</v>
      </c>
      <c r="W58" s="58" t="s">
        <v>2530</v>
      </c>
      <c r="X58" t="s">
        <v>2938</v>
      </c>
      <c r="Y58" s="57">
        <v>0</v>
      </c>
      <c r="Z58" s="57">
        <v>0</v>
      </c>
      <c r="AA58" s="57">
        <v>0</v>
      </c>
      <c r="AB58" s="54" t="s">
        <v>2591</v>
      </c>
      <c r="AC58" s="54" t="s">
        <v>2539</v>
      </c>
      <c r="AD58" s="56" t="s">
        <v>2540</v>
      </c>
      <c r="AE58" s="56"/>
      <c r="AF58" s="81"/>
      <c r="AG58" s="83" t="s">
        <v>45</v>
      </c>
      <c r="AH58" s="81"/>
      <c r="AI58" s="84"/>
      <c r="AJ58" s="85"/>
      <c r="AK58" s="86"/>
      <c r="AL58" s="42"/>
    </row>
    <row r="59" spans="1:38" ht="15" customHeight="1">
      <c r="A59" s="69">
        <v>46175</v>
      </c>
      <c r="B59" s="70" t="str">
        <f t="shared" si="3"/>
        <v>06 A 18</v>
      </c>
      <c r="C59" s="71" t="str">
        <f t="shared" si="4"/>
        <v>08:00 a 10:00</v>
      </c>
      <c r="D59" s="56" t="s">
        <v>245</v>
      </c>
      <c r="E59" s="54">
        <v>2</v>
      </c>
      <c r="F59" s="77" t="s">
        <v>2550</v>
      </c>
      <c r="G59" s="77" t="s">
        <v>2478</v>
      </c>
      <c r="H59" s="73">
        <v>341758</v>
      </c>
      <c r="I59" s="70">
        <v>48301641</v>
      </c>
      <c r="J59" s="56" t="s">
        <v>2538</v>
      </c>
      <c r="K59" s="102" t="s">
        <v>2513</v>
      </c>
      <c r="L59" s="77"/>
      <c r="M59" s="77"/>
      <c r="N59" s="77"/>
      <c r="O59" s="77" t="s">
        <v>2701</v>
      </c>
      <c r="P59" s="78" t="s">
        <v>2586</v>
      </c>
      <c r="Q59" s="58">
        <v>0.40277777777777801</v>
      </c>
      <c r="R59" s="58">
        <v>0.41944444444444445</v>
      </c>
      <c r="S59" s="58">
        <v>0.40902777777777799</v>
      </c>
      <c r="T59" s="58" t="s">
        <v>2530</v>
      </c>
      <c r="U59" s="58" t="s">
        <v>2530</v>
      </c>
      <c r="V59" s="58" t="s">
        <v>2530</v>
      </c>
      <c r="W59" s="58" t="s">
        <v>2530</v>
      </c>
      <c r="X59" t="s">
        <v>2939</v>
      </c>
      <c r="Y59" s="57">
        <v>0</v>
      </c>
      <c r="Z59" s="57">
        <v>0</v>
      </c>
      <c r="AA59" s="57">
        <v>0</v>
      </c>
      <c r="AB59" s="54" t="s">
        <v>2602</v>
      </c>
      <c r="AC59" s="54" t="s">
        <v>2539</v>
      </c>
      <c r="AD59" s="56" t="s">
        <v>2564</v>
      </c>
      <c r="AE59" s="56"/>
      <c r="AF59" s="81"/>
      <c r="AG59" s="83" t="s">
        <v>45</v>
      </c>
      <c r="AH59" s="81"/>
      <c r="AI59" s="84"/>
      <c r="AJ59" s="85"/>
      <c r="AK59" s="86"/>
      <c r="AL59" s="42"/>
    </row>
    <row r="60" spans="1:38" ht="15" customHeight="1">
      <c r="A60" s="69">
        <v>46175</v>
      </c>
      <c r="B60" s="70" t="str">
        <f t="shared" si="3"/>
        <v>06 A 18</v>
      </c>
      <c r="C60" s="71" t="str">
        <f t="shared" si="4"/>
        <v>08:00 a 10:00</v>
      </c>
      <c r="D60" s="56" t="s">
        <v>245</v>
      </c>
      <c r="E60" s="54">
        <v>2</v>
      </c>
      <c r="F60" s="77" t="s">
        <v>2546</v>
      </c>
      <c r="G60" s="77" t="s">
        <v>1592</v>
      </c>
      <c r="H60" s="73">
        <v>341689</v>
      </c>
      <c r="I60" s="70">
        <v>48301162</v>
      </c>
      <c r="J60" s="56" t="s">
        <v>2544</v>
      </c>
      <c r="K60" s="77" t="s">
        <v>87</v>
      </c>
      <c r="L60" s="103" t="s">
        <v>169</v>
      </c>
      <c r="M60" s="103" t="s">
        <v>131</v>
      </c>
      <c r="N60" s="77"/>
      <c r="O60" s="77" t="s">
        <v>2702</v>
      </c>
      <c r="P60" s="78" t="s">
        <v>2604</v>
      </c>
      <c r="Q60" s="58">
        <v>0.40138888888888902</v>
      </c>
      <c r="R60" s="58">
        <v>0.43958333333333299</v>
      </c>
      <c r="S60" s="58">
        <v>0.40138888888888902</v>
      </c>
      <c r="T60" s="58" t="s">
        <v>2530</v>
      </c>
      <c r="U60" s="58" t="s">
        <v>2530</v>
      </c>
      <c r="V60" s="58" t="s">
        <v>2530</v>
      </c>
      <c r="W60" s="58" t="s">
        <v>2530</v>
      </c>
      <c r="X60" t="s">
        <v>2940</v>
      </c>
      <c r="Y60" s="57">
        <v>0</v>
      </c>
      <c r="Z60" s="57">
        <v>2</v>
      </c>
      <c r="AA60" s="57">
        <v>0</v>
      </c>
      <c r="AB60" s="54" t="s">
        <v>2605</v>
      </c>
      <c r="AC60" s="54" t="s">
        <v>2539</v>
      </c>
      <c r="AD60" s="56" t="s">
        <v>2540</v>
      </c>
      <c r="AE60" s="56"/>
      <c r="AF60" s="81"/>
      <c r="AG60" s="83" t="s">
        <v>62</v>
      </c>
      <c r="AH60" s="81"/>
      <c r="AI60" s="84"/>
      <c r="AJ60" s="85"/>
      <c r="AK60" s="86"/>
      <c r="AL60" s="42"/>
    </row>
    <row r="61" spans="1:38" ht="15" customHeight="1">
      <c r="A61" s="69">
        <v>46175</v>
      </c>
      <c r="B61" s="70" t="str">
        <f t="shared" si="3"/>
        <v>06 A 18</v>
      </c>
      <c r="C61" s="71" t="str">
        <f t="shared" si="4"/>
        <v>08:00 a 10:00</v>
      </c>
      <c r="D61" s="56" t="s">
        <v>245</v>
      </c>
      <c r="E61" s="54">
        <v>2</v>
      </c>
      <c r="F61" s="77" t="s">
        <v>217</v>
      </c>
      <c r="G61" s="77" t="s">
        <v>792</v>
      </c>
      <c r="H61" s="73">
        <v>341516</v>
      </c>
      <c r="I61" s="70">
        <v>48301182</v>
      </c>
      <c r="J61" s="56" t="s">
        <v>2543</v>
      </c>
      <c r="K61" s="77" t="s">
        <v>174</v>
      </c>
      <c r="L61" s="77"/>
      <c r="M61" s="77"/>
      <c r="N61" s="77" t="s">
        <v>2519</v>
      </c>
      <c r="O61" s="77" t="s">
        <v>2703</v>
      </c>
      <c r="P61" s="78" t="s">
        <v>2569</v>
      </c>
      <c r="Q61" s="58">
        <v>0.36597222222222198</v>
      </c>
      <c r="R61" s="58">
        <v>0.39236111111111099</v>
      </c>
      <c r="S61" s="58">
        <v>0.36666666666666697</v>
      </c>
      <c r="T61" s="58" t="s">
        <v>2530</v>
      </c>
      <c r="U61" s="58" t="s">
        <v>2530</v>
      </c>
      <c r="V61" s="58" t="s">
        <v>2530</v>
      </c>
      <c r="W61" s="58" t="s">
        <v>2530</v>
      </c>
      <c r="X61" t="s">
        <v>2941</v>
      </c>
      <c r="Y61" s="57">
        <v>0</v>
      </c>
      <c r="Z61" s="57">
        <v>0</v>
      </c>
      <c r="AA61" s="57">
        <v>0</v>
      </c>
      <c r="AB61" s="54" t="s">
        <v>2570</v>
      </c>
      <c r="AC61" s="54" t="s">
        <v>2539</v>
      </c>
      <c r="AD61" s="106" t="s">
        <v>2540</v>
      </c>
      <c r="AE61" s="56"/>
      <c r="AF61" s="81"/>
      <c r="AG61" s="83" t="s">
        <v>45</v>
      </c>
      <c r="AH61" s="81"/>
      <c r="AI61" s="96" t="s">
        <v>2789</v>
      </c>
      <c r="AJ61" s="85"/>
      <c r="AK61" s="86"/>
      <c r="AL61" s="42"/>
    </row>
    <row r="62" spans="1:38" ht="15" customHeight="1">
      <c r="A62" s="69">
        <v>46175</v>
      </c>
      <c r="B62" s="70" t="str">
        <f t="shared" si="3"/>
        <v>06 A 18</v>
      </c>
      <c r="C62" s="71" t="str">
        <f t="shared" si="4"/>
        <v>08:00 a 10:00</v>
      </c>
      <c r="D62" s="56" t="s">
        <v>245</v>
      </c>
      <c r="E62" s="54">
        <v>2</v>
      </c>
      <c r="F62" s="77" t="s">
        <v>2666</v>
      </c>
      <c r="G62" s="77" t="s">
        <v>1904</v>
      </c>
      <c r="H62" s="73">
        <v>341492</v>
      </c>
      <c r="I62" s="70">
        <v>48301591</v>
      </c>
      <c r="J62" s="56" t="s">
        <v>2538</v>
      </c>
      <c r="K62" s="77" t="s">
        <v>146</v>
      </c>
      <c r="L62" s="77"/>
      <c r="M62" s="77"/>
      <c r="N62" s="77"/>
      <c r="O62" s="77" t="s">
        <v>2598</v>
      </c>
      <c r="P62" s="78" t="s">
        <v>2577</v>
      </c>
      <c r="Q62" s="58">
        <v>0.39861111111111103</v>
      </c>
      <c r="R62" s="58">
        <v>0.41111111111111098</v>
      </c>
      <c r="S62" s="58">
        <v>0.40347222222222201</v>
      </c>
      <c r="T62" s="58" t="s">
        <v>2530</v>
      </c>
      <c r="U62" s="58" t="s">
        <v>2530</v>
      </c>
      <c r="V62" s="58" t="s">
        <v>2530</v>
      </c>
      <c r="W62" s="58" t="s">
        <v>2530</v>
      </c>
      <c r="X62" t="s">
        <v>2942</v>
      </c>
      <c r="Y62" s="57">
        <v>0</v>
      </c>
      <c r="Z62" s="57">
        <v>0</v>
      </c>
      <c r="AA62" s="57">
        <v>0</v>
      </c>
      <c r="AB62" s="54" t="s">
        <v>2566</v>
      </c>
      <c r="AC62" s="54" t="s">
        <v>2539</v>
      </c>
      <c r="AD62" s="56" t="s">
        <v>2564</v>
      </c>
      <c r="AE62" s="56"/>
      <c r="AF62" s="81"/>
      <c r="AG62" s="83" t="s">
        <v>45</v>
      </c>
      <c r="AH62" s="81"/>
      <c r="AI62" s="84"/>
      <c r="AJ62" s="85"/>
      <c r="AK62" s="86"/>
      <c r="AL62" s="42"/>
    </row>
    <row r="63" spans="1:38" ht="15" customHeight="1">
      <c r="A63" s="69">
        <v>46175</v>
      </c>
      <c r="B63" s="70" t="str">
        <f t="shared" si="3"/>
        <v>06 A 18</v>
      </c>
      <c r="C63" s="71" t="str">
        <f t="shared" si="4"/>
        <v>08:00 a 10:00</v>
      </c>
      <c r="D63" s="56" t="s">
        <v>245</v>
      </c>
      <c r="E63" s="54">
        <v>2</v>
      </c>
      <c r="F63" s="77" t="s">
        <v>2548</v>
      </c>
      <c r="G63" s="77" t="s">
        <v>1310</v>
      </c>
      <c r="H63" s="73">
        <v>341965</v>
      </c>
      <c r="I63" s="70">
        <v>48301732</v>
      </c>
      <c r="J63" s="56" t="s">
        <v>2538</v>
      </c>
      <c r="K63" s="77" t="s">
        <v>87</v>
      </c>
      <c r="L63" s="103" t="s">
        <v>77</v>
      </c>
      <c r="M63" s="103" t="s">
        <v>131</v>
      </c>
      <c r="N63" s="77"/>
      <c r="O63" s="77" t="s">
        <v>2704</v>
      </c>
      <c r="P63" s="78" t="s">
        <v>2577</v>
      </c>
      <c r="Q63" s="58">
        <v>0.41180555555555598</v>
      </c>
      <c r="R63" s="58">
        <v>0.48680555555555599</v>
      </c>
      <c r="S63" s="58">
        <v>0.41180555555555598</v>
      </c>
      <c r="T63" s="58">
        <v>0.42430555555555599</v>
      </c>
      <c r="U63" s="58" t="s">
        <v>2530</v>
      </c>
      <c r="V63" s="58" t="s">
        <v>2530</v>
      </c>
      <c r="W63" s="58" t="s">
        <v>2530</v>
      </c>
      <c r="X63" t="s">
        <v>2943</v>
      </c>
      <c r="Y63" s="57">
        <v>0</v>
      </c>
      <c r="Z63" s="57">
        <v>1</v>
      </c>
      <c r="AA63" s="57">
        <v>1</v>
      </c>
      <c r="AB63" s="54" t="s">
        <v>2620</v>
      </c>
      <c r="AC63" s="54" t="s">
        <v>2539</v>
      </c>
      <c r="AD63" s="56" t="s">
        <v>2540</v>
      </c>
      <c r="AE63" s="56"/>
      <c r="AF63" s="81"/>
      <c r="AG63" s="83" t="s">
        <v>62</v>
      </c>
      <c r="AH63" s="81"/>
      <c r="AI63" s="84"/>
      <c r="AJ63" s="85"/>
      <c r="AK63" s="86"/>
      <c r="AL63" s="42"/>
    </row>
    <row r="64" spans="1:38" ht="15" customHeight="1">
      <c r="A64" s="69">
        <v>46175</v>
      </c>
      <c r="B64" s="70" t="str">
        <f t="shared" si="3"/>
        <v>06 A 18</v>
      </c>
      <c r="C64" s="71" t="str">
        <f t="shared" si="4"/>
        <v>10:00 a 12:00</v>
      </c>
      <c r="D64" s="56" t="s">
        <v>245</v>
      </c>
      <c r="E64" s="54">
        <v>2</v>
      </c>
      <c r="F64" s="77" t="s">
        <v>2550</v>
      </c>
      <c r="G64" s="77" t="s">
        <v>1233</v>
      </c>
      <c r="H64" s="73">
        <v>342756</v>
      </c>
      <c r="I64" s="70">
        <v>48301903</v>
      </c>
      <c r="J64" s="56" t="s">
        <v>2538</v>
      </c>
      <c r="K64" s="102" t="s">
        <v>2513</v>
      </c>
      <c r="L64" s="77"/>
      <c r="M64" s="77"/>
      <c r="N64" s="77"/>
      <c r="O64" s="77" t="s">
        <v>2705</v>
      </c>
      <c r="P64" s="78" t="s">
        <v>2586</v>
      </c>
      <c r="Q64" s="58">
        <v>0.41875000000000001</v>
      </c>
      <c r="R64" s="58">
        <v>0.43194444444444446</v>
      </c>
      <c r="S64" s="58"/>
      <c r="T64" s="58" t="s">
        <v>2530</v>
      </c>
      <c r="U64" s="58" t="s">
        <v>2530</v>
      </c>
      <c r="V64" s="58" t="s">
        <v>2530</v>
      </c>
      <c r="W64" s="58" t="s">
        <v>2530</v>
      </c>
      <c r="X64" t="s">
        <v>2944</v>
      </c>
      <c r="Y64" s="57">
        <v>0</v>
      </c>
      <c r="Z64" s="57">
        <v>0</v>
      </c>
      <c r="AA64" s="57">
        <v>0</v>
      </c>
      <c r="AB64" s="54" t="s">
        <v>2611</v>
      </c>
      <c r="AC64" s="54" t="s">
        <v>2539</v>
      </c>
      <c r="AD64" s="56" t="s">
        <v>2564</v>
      </c>
      <c r="AE64" s="56"/>
      <c r="AF64" s="81"/>
      <c r="AG64" s="83" t="s">
        <v>45</v>
      </c>
      <c r="AH64" s="81"/>
      <c r="AI64" s="84"/>
      <c r="AJ64" s="85"/>
      <c r="AK64" s="86"/>
      <c r="AL64" s="42"/>
    </row>
    <row r="65" spans="1:38" ht="15" customHeight="1">
      <c r="A65" s="69">
        <v>46175</v>
      </c>
      <c r="B65" s="70" t="str">
        <f t="shared" si="3"/>
        <v>06 A 18</v>
      </c>
      <c r="C65" s="71" t="str">
        <f t="shared" si="4"/>
        <v>10:00 a 12:00</v>
      </c>
      <c r="D65" s="56" t="s">
        <v>245</v>
      </c>
      <c r="E65" s="54">
        <v>2</v>
      </c>
      <c r="F65" s="77" t="s">
        <v>2548</v>
      </c>
      <c r="G65" s="77" t="s">
        <v>1017</v>
      </c>
      <c r="H65" s="73">
        <v>341712</v>
      </c>
      <c r="I65" s="70">
        <v>48301879</v>
      </c>
      <c r="J65" s="56" t="s">
        <v>2538</v>
      </c>
      <c r="K65" s="103" t="s">
        <v>87</v>
      </c>
      <c r="L65" s="103" t="s">
        <v>169</v>
      </c>
      <c r="M65" s="103" t="s">
        <v>174</v>
      </c>
      <c r="N65" s="77"/>
      <c r="O65" s="77" t="s">
        <v>2706</v>
      </c>
      <c r="P65" s="78" t="s">
        <v>2557</v>
      </c>
      <c r="Q65" s="58">
        <v>0.42013888888888901</v>
      </c>
      <c r="R65" s="58">
        <v>0.45624999999999999</v>
      </c>
      <c r="S65" s="58"/>
      <c r="T65" s="58" t="s">
        <v>2530</v>
      </c>
      <c r="U65" s="58" t="s">
        <v>2530</v>
      </c>
      <c r="V65" s="58" t="s">
        <v>2530</v>
      </c>
      <c r="W65" s="58" t="s">
        <v>2530</v>
      </c>
      <c r="X65" t="s">
        <v>2945</v>
      </c>
      <c r="Y65" s="57">
        <v>0</v>
      </c>
      <c r="Z65" s="57">
        <v>1</v>
      </c>
      <c r="AA65" s="57">
        <v>0</v>
      </c>
      <c r="AB65" s="54" t="s">
        <v>2593</v>
      </c>
      <c r="AC65" s="54" t="s">
        <v>2539</v>
      </c>
      <c r="AD65" s="56" t="s">
        <v>2540</v>
      </c>
      <c r="AE65" s="56"/>
      <c r="AF65" s="81"/>
      <c r="AG65" s="83" t="s">
        <v>62</v>
      </c>
      <c r="AH65" s="81"/>
      <c r="AI65" s="96" t="s">
        <v>2795</v>
      </c>
      <c r="AJ65" s="85"/>
      <c r="AK65" s="86"/>
      <c r="AL65" s="42"/>
    </row>
    <row r="66" spans="1:38" ht="15" customHeight="1">
      <c r="A66" s="69">
        <v>46175</v>
      </c>
      <c r="B66" s="70" t="str">
        <f t="shared" si="3"/>
        <v>06 A 18</v>
      </c>
      <c r="C66" s="71" t="str">
        <f t="shared" si="4"/>
        <v>08:00 a 10:00</v>
      </c>
      <c r="D66" s="56" t="s">
        <v>245</v>
      </c>
      <c r="E66" s="54">
        <v>2</v>
      </c>
      <c r="F66" s="77" t="s">
        <v>2545</v>
      </c>
      <c r="G66" s="77" t="s">
        <v>1404</v>
      </c>
      <c r="H66" s="73">
        <v>341530</v>
      </c>
      <c r="I66" s="70">
        <v>48301367</v>
      </c>
      <c r="J66" s="56" t="s">
        <v>2538</v>
      </c>
      <c r="K66" s="77" t="s">
        <v>146</v>
      </c>
      <c r="L66" s="77"/>
      <c r="M66" s="77"/>
      <c r="N66" s="77"/>
      <c r="O66" s="77" t="s">
        <v>2707</v>
      </c>
      <c r="P66" s="78" t="s">
        <v>2560</v>
      </c>
      <c r="Q66" s="58">
        <v>0.38541666666666702</v>
      </c>
      <c r="R66" s="58">
        <v>0.38819444444444401</v>
      </c>
      <c r="S66" s="58">
        <v>0.38541666666666702</v>
      </c>
      <c r="T66" s="58" t="s">
        <v>2530</v>
      </c>
      <c r="U66" s="58" t="s">
        <v>2530</v>
      </c>
      <c r="V66" s="58" t="s">
        <v>2530</v>
      </c>
      <c r="W66" s="58" t="s">
        <v>2530</v>
      </c>
      <c r="X66" t="s">
        <v>2946</v>
      </c>
      <c r="Y66" s="57">
        <v>0</v>
      </c>
      <c r="Z66" s="57">
        <v>0</v>
      </c>
      <c r="AA66" s="57">
        <v>0</v>
      </c>
      <c r="AB66" s="54" t="s">
        <v>2587</v>
      </c>
      <c r="AC66" s="54" t="s">
        <v>2539</v>
      </c>
      <c r="AD66" s="56" t="s">
        <v>2540</v>
      </c>
      <c r="AE66" s="56"/>
      <c r="AF66" s="81"/>
      <c r="AG66" s="83" t="s">
        <v>45</v>
      </c>
      <c r="AH66" s="81"/>
      <c r="AI66" s="84"/>
      <c r="AJ66" s="85"/>
      <c r="AK66" s="86"/>
      <c r="AL66" s="42"/>
    </row>
    <row r="67" spans="1:38" ht="15" customHeight="1">
      <c r="A67" s="69">
        <v>46175</v>
      </c>
      <c r="B67" s="70" t="str">
        <f t="shared" ref="B67:B130" si="5">IF(AND(VALUE(Q67)&gt;=VALUE("06:00"),VALUE(Q67)&lt;=VALUE("17:59")),"06 A 18","18 A 06")</f>
        <v>06 A 18</v>
      </c>
      <c r="C67" s="71" t="str">
        <f t="shared" ref="C67:C130" si="6">IF(AND(VALUE(Q67)&gt;=VALUE("00:00"),VALUE(Q67)&lt;=VALUE("01:59")),"00:00 a 02:00",IF(AND(VALUE(Q67)&gt;=VALUE("02:00"),VALUE(Q67)&lt;=VALUE("03:59")),"02:00 a 04:00",IF(AND(VALUE(Q67)&gt;=VALUE("04:00"),VALUE(Q67)&lt;=VALUE("05:59")),"04:00 a 06:00",IF(AND(VALUE(Q67)&gt;=VALUE("06:00"),VALUE(Q67)&lt;=VALUE("07:59")),"06:00 a 08:00",IF(AND(VALUE(Q67)&gt;=VALUE("08:00"),VALUE(Q67)&lt;=VALUE("09:59")),"08:00 a 10:00",IF(AND(VALUE(Q67)&gt;=VALUE("10:00"),VALUE(Q67)&lt;=VALUE("11:59")),"10:00 a 12:00",IF(AND(VALUE(Q67)&gt;=VALUE("12:00"),VALUE(Q67)&lt;=VALUE("13:59")),"12:00 a 14:00",IF(AND(VALUE(Q67)&gt;=VALUE("14:00"),VALUE(Q67)&lt;=VALUE("15:59")),"14:00 a 16:00",IF(AND(VALUE(Q67)&gt;=VALUE("16:00"),VALUE(Q67)&lt;=VALUE("17:59")),"16:00 a 18:00",IF(AND(VALUE(Q67)&gt;=VALUE("18:00"),VALUE(Q67)&lt;=VALUE("19:59")),"18:00 a 20:00",IF(AND(VALUE(Q67)&gt;=VALUE("20:00"),VALUE(Q67)&lt;=VALUE("21:59")),"20:00 a 22:00",IF(AND(VALUE(Q67)&gt;=VALUE("22:00"),VALUE(Q67)&lt;=VALUE("23:59")),"22:00 a 00:00","no corresponde"))))))))))))</f>
        <v>08:00 a 10:00</v>
      </c>
      <c r="D67" s="56" t="s">
        <v>245</v>
      </c>
      <c r="E67" s="54">
        <v>2</v>
      </c>
      <c r="F67" s="77" t="s">
        <v>2547</v>
      </c>
      <c r="G67" s="77" t="s">
        <v>2549</v>
      </c>
      <c r="H67" s="73">
        <v>341991</v>
      </c>
      <c r="I67" s="70">
        <v>48301105</v>
      </c>
      <c r="J67" s="56" t="s">
        <v>2538</v>
      </c>
      <c r="K67" s="103" t="s">
        <v>87</v>
      </c>
      <c r="L67" s="103" t="s">
        <v>77</v>
      </c>
      <c r="M67" s="103" t="s">
        <v>131</v>
      </c>
      <c r="N67" s="77"/>
      <c r="O67" s="77" t="s">
        <v>2708</v>
      </c>
      <c r="P67" s="78" t="s">
        <v>2581</v>
      </c>
      <c r="Q67" s="58">
        <v>0.34861111111111098</v>
      </c>
      <c r="R67" s="58">
        <v>0.36458333333333331</v>
      </c>
      <c r="S67" s="58">
        <v>0.34861111111111098</v>
      </c>
      <c r="T67" s="58">
        <v>0.35694444444444445</v>
      </c>
      <c r="U67" s="58"/>
      <c r="V67" s="58" t="s">
        <v>2530</v>
      </c>
      <c r="W67" s="58" t="s">
        <v>2530</v>
      </c>
      <c r="X67" t="s">
        <v>2947</v>
      </c>
      <c r="Y67" s="57">
        <v>0</v>
      </c>
      <c r="Z67" s="57">
        <v>1</v>
      </c>
      <c r="AA67" s="57">
        <v>1</v>
      </c>
      <c r="AB67" s="54" t="s">
        <v>2582</v>
      </c>
      <c r="AC67" s="54" t="s">
        <v>2539</v>
      </c>
      <c r="AD67" s="56" t="s">
        <v>2540</v>
      </c>
      <c r="AE67" s="56"/>
      <c r="AF67" s="81"/>
      <c r="AG67" s="83" t="s">
        <v>62</v>
      </c>
      <c r="AH67" s="81"/>
      <c r="AI67" s="96" t="s">
        <v>2793</v>
      </c>
      <c r="AJ67" s="85"/>
      <c r="AK67" s="86"/>
      <c r="AL67" s="42"/>
    </row>
    <row r="68" spans="1:38" ht="15" customHeight="1">
      <c r="A68" s="69">
        <v>46175</v>
      </c>
      <c r="B68" s="70" t="str">
        <f t="shared" si="5"/>
        <v>06 A 18</v>
      </c>
      <c r="C68" s="71" t="str">
        <f t="shared" si="6"/>
        <v>10:00 a 12:00</v>
      </c>
      <c r="D68" s="56" t="s">
        <v>245</v>
      </c>
      <c r="E68" s="54">
        <v>2</v>
      </c>
      <c r="F68" s="77" t="s">
        <v>2548</v>
      </c>
      <c r="G68" s="77" t="s">
        <v>499</v>
      </c>
      <c r="H68" s="73">
        <v>341744</v>
      </c>
      <c r="I68" s="70">
        <v>48301956</v>
      </c>
      <c r="J68" s="56" t="s">
        <v>2538</v>
      </c>
      <c r="K68" s="77" t="s">
        <v>101</v>
      </c>
      <c r="L68" s="77"/>
      <c r="M68" s="103" t="s">
        <v>215</v>
      </c>
      <c r="N68" s="77"/>
      <c r="O68" s="77" t="s">
        <v>2709</v>
      </c>
      <c r="P68" s="78" t="s">
        <v>2585</v>
      </c>
      <c r="Q68" s="58">
        <v>0.41666666666666702</v>
      </c>
      <c r="R68" s="58">
        <v>0.46180555555555602</v>
      </c>
      <c r="S68" s="58">
        <v>0.44444444444444398</v>
      </c>
      <c r="T68" s="58" t="s">
        <v>2530</v>
      </c>
      <c r="U68" s="58" t="s">
        <v>2530</v>
      </c>
      <c r="V68" s="58" t="s">
        <v>2530</v>
      </c>
      <c r="W68" s="58" t="s">
        <v>2530</v>
      </c>
      <c r="X68" t="s">
        <v>2948</v>
      </c>
      <c r="Y68" s="57">
        <v>1</v>
      </c>
      <c r="Z68" s="57">
        <v>0</v>
      </c>
      <c r="AA68" s="57">
        <v>0</v>
      </c>
      <c r="AB68" s="54" t="s">
        <v>2559</v>
      </c>
      <c r="AC68" s="54" t="s">
        <v>2539</v>
      </c>
      <c r="AD68" s="56" t="s">
        <v>2564</v>
      </c>
      <c r="AE68" s="56"/>
      <c r="AF68" s="81"/>
      <c r="AG68" s="83" t="s">
        <v>54</v>
      </c>
      <c r="AH68" s="81"/>
      <c r="AI68" s="84"/>
      <c r="AJ68" s="85"/>
      <c r="AK68" s="86"/>
      <c r="AL68" s="42"/>
    </row>
    <row r="69" spans="1:38" ht="15" customHeight="1">
      <c r="A69" s="69">
        <v>46175</v>
      </c>
      <c r="B69" s="70" t="str">
        <f t="shared" si="5"/>
        <v>06 A 18</v>
      </c>
      <c r="C69" s="71" t="str">
        <f t="shared" si="6"/>
        <v>10:00 a 12:00</v>
      </c>
      <c r="D69" s="56" t="s">
        <v>245</v>
      </c>
      <c r="E69" s="54">
        <v>2</v>
      </c>
      <c r="F69" s="77" t="s">
        <v>2666</v>
      </c>
      <c r="G69" s="77" t="s">
        <v>350</v>
      </c>
      <c r="H69" s="73">
        <v>341861</v>
      </c>
      <c r="I69" s="70">
        <v>48302263</v>
      </c>
      <c r="J69" s="56" t="s">
        <v>2538</v>
      </c>
      <c r="K69" s="102" t="s">
        <v>277</v>
      </c>
      <c r="L69" s="103"/>
      <c r="M69" s="103" t="s">
        <v>247</v>
      </c>
      <c r="N69" s="77"/>
      <c r="O69" s="77" t="s">
        <v>2710</v>
      </c>
      <c r="P69" s="78" t="s">
        <v>2558</v>
      </c>
      <c r="Q69" s="58">
        <v>0.45069444444444401</v>
      </c>
      <c r="R69" s="58">
        <v>0.484722222222222</v>
      </c>
      <c r="S69" s="58">
        <v>0.45138888888888901</v>
      </c>
      <c r="T69" s="58" t="s">
        <v>2530</v>
      </c>
      <c r="U69" s="58" t="s">
        <v>2530</v>
      </c>
      <c r="V69" s="58" t="s">
        <v>2530</v>
      </c>
      <c r="W69" s="58" t="s">
        <v>2530</v>
      </c>
      <c r="X69" t="s">
        <v>2949</v>
      </c>
      <c r="Y69" s="57">
        <v>2</v>
      </c>
      <c r="Z69" s="57">
        <v>0</v>
      </c>
      <c r="AA69" s="57">
        <v>0</v>
      </c>
      <c r="AB69" s="54" t="s">
        <v>2658</v>
      </c>
      <c r="AC69" s="54" t="s">
        <v>2539</v>
      </c>
      <c r="AD69" s="56" t="s">
        <v>2540</v>
      </c>
      <c r="AE69" s="56"/>
      <c r="AF69" s="81"/>
      <c r="AG69" s="83" t="s">
        <v>54</v>
      </c>
      <c r="AH69" s="107"/>
      <c r="AI69" s="84"/>
      <c r="AJ69" s="85"/>
      <c r="AK69" s="108" t="s">
        <v>2800</v>
      </c>
      <c r="AL69" s="42"/>
    </row>
    <row r="70" spans="1:38" ht="15" customHeight="1">
      <c r="A70" s="69">
        <v>46175</v>
      </c>
      <c r="B70" s="70" t="str">
        <f t="shared" si="5"/>
        <v>06 A 18</v>
      </c>
      <c r="C70" s="71" t="str">
        <f t="shared" si="6"/>
        <v>08:00 a 10:00</v>
      </c>
      <c r="D70" s="56" t="s">
        <v>245</v>
      </c>
      <c r="E70" s="54">
        <v>2</v>
      </c>
      <c r="F70" s="77" t="s">
        <v>2548</v>
      </c>
      <c r="G70" s="77" t="s">
        <v>2311</v>
      </c>
      <c r="H70" s="73">
        <v>341774</v>
      </c>
      <c r="I70" s="70">
        <v>48301554</v>
      </c>
      <c r="J70" s="56" t="s">
        <v>2538</v>
      </c>
      <c r="K70" s="77" t="s">
        <v>153</v>
      </c>
      <c r="L70" s="77"/>
      <c r="M70" s="77"/>
      <c r="N70" s="77"/>
      <c r="O70" s="77" t="s">
        <v>2711</v>
      </c>
      <c r="P70" s="78" t="s">
        <v>2577</v>
      </c>
      <c r="Q70" s="58">
        <v>0.39930555555555602</v>
      </c>
      <c r="R70" s="58">
        <v>0.41597222222222219</v>
      </c>
      <c r="S70" s="58">
        <v>0.37708333333333299</v>
      </c>
      <c r="T70" s="58" t="s">
        <v>2530</v>
      </c>
      <c r="U70" s="58" t="s">
        <v>2530</v>
      </c>
      <c r="V70" s="58" t="s">
        <v>2530</v>
      </c>
      <c r="W70" s="58" t="s">
        <v>2530</v>
      </c>
      <c r="X70" t="s">
        <v>2950</v>
      </c>
      <c r="Y70" s="57">
        <v>0</v>
      </c>
      <c r="Z70" s="57">
        <v>0</v>
      </c>
      <c r="AA70" s="57">
        <v>0</v>
      </c>
      <c r="AB70" s="54" t="s">
        <v>2620</v>
      </c>
      <c r="AC70" s="54" t="s">
        <v>2539</v>
      </c>
      <c r="AD70" s="56" t="s">
        <v>2540</v>
      </c>
      <c r="AE70" s="56"/>
      <c r="AF70" s="81"/>
      <c r="AG70" s="83" t="s">
        <v>45</v>
      </c>
      <c r="AH70" s="81"/>
      <c r="AI70" s="84"/>
      <c r="AJ70" s="85"/>
      <c r="AK70" s="86"/>
      <c r="AL70" s="42"/>
    </row>
    <row r="71" spans="1:38" ht="15" customHeight="1">
      <c r="A71" s="69">
        <v>46175</v>
      </c>
      <c r="B71" s="70" t="str">
        <f t="shared" si="5"/>
        <v>06 A 18</v>
      </c>
      <c r="C71" s="71" t="str">
        <f t="shared" si="6"/>
        <v>08:00 a 10:00</v>
      </c>
      <c r="D71" s="56" t="s">
        <v>245</v>
      </c>
      <c r="E71" s="54">
        <v>2</v>
      </c>
      <c r="F71" s="77" t="s">
        <v>164</v>
      </c>
      <c r="G71" s="77" t="s">
        <v>296</v>
      </c>
      <c r="H71" s="73">
        <v>341754</v>
      </c>
      <c r="I71" s="70">
        <v>48301961</v>
      </c>
      <c r="J71" s="56" t="s">
        <v>2538</v>
      </c>
      <c r="K71" s="103" t="s">
        <v>87</v>
      </c>
      <c r="L71" s="103" t="s">
        <v>169</v>
      </c>
      <c r="M71" s="77" t="s">
        <v>68</v>
      </c>
      <c r="N71" s="77"/>
      <c r="O71" s="77" t="s">
        <v>2712</v>
      </c>
      <c r="P71" s="78" t="s">
        <v>2567</v>
      </c>
      <c r="Q71" s="58">
        <v>0.41319444444444398</v>
      </c>
      <c r="R71" s="58">
        <v>0.47569444444444442</v>
      </c>
      <c r="S71" s="58">
        <v>0.40208333333333302</v>
      </c>
      <c r="T71" s="58" t="s">
        <v>2530</v>
      </c>
      <c r="U71" s="58" t="s">
        <v>2530</v>
      </c>
      <c r="V71" s="58" t="s">
        <v>2530</v>
      </c>
      <c r="W71" s="58" t="s">
        <v>2530</v>
      </c>
      <c r="X71" t="s">
        <v>2951</v>
      </c>
      <c r="Y71" s="57">
        <v>0</v>
      </c>
      <c r="Z71" s="57">
        <v>1</v>
      </c>
      <c r="AA71" s="57">
        <v>0</v>
      </c>
      <c r="AB71" s="54" t="s">
        <v>2629</v>
      </c>
      <c r="AC71" s="54" t="s">
        <v>2539</v>
      </c>
      <c r="AD71" s="56" t="s">
        <v>2540</v>
      </c>
      <c r="AE71" s="56"/>
      <c r="AF71" s="81"/>
      <c r="AG71" s="83" t="s">
        <v>62</v>
      </c>
      <c r="AH71" s="81"/>
      <c r="AI71" s="96" t="s">
        <v>2793</v>
      </c>
      <c r="AJ71" s="85"/>
      <c r="AK71" s="86"/>
      <c r="AL71" s="42"/>
    </row>
    <row r="72" spans="1:38" ht="15" customHeight="1">
      <c r="A72" s="69">
        <v>46175</v>
      </c>
      <c r="B72" s="70" t="str">
        <f t="shared" si="5"/>
        <v>06 A 18</v>
      </c>
      <c r="C72" s="71" t="str">
        <f t="shared" si="6"/>
        <v>08:00 a 10:00</v>
      </c>
      <c r="D72" s="56" t="s">
        <v>245</v>
      </c>
      <c r="E72" s="54">
        <v>2</v>
      </c>
      <c r="F72" s="77" t="s">
        <v>2547</v>
      </c>
      <c r="G72" s="77" t="s">
        <v>2668</v>
      </c>
      <c r="H72" s="73">
        <v>341620</v>
      </c>
      <c r="I72" s="70">
        <v>48301137</v>
      </c>
      <c r="J72" s="56" t="s">
        <v>2538</v>
      </c>
      <c r="K72" s="77" t="s">
        <v>87</v>
      </c>
      <c r="L72" s="103" t="s">
        <v>70</v>
      </c>
      <c r="M72" s="77"/>
      <c r="N72" s="77"/>
      <c r="O72" s="77" t="s">
        <v>2713</v>
      </c>
      <c r="P72" s="78" t="s">
        <v>2603</v>
      </c>
      <c r="Q72" s="58">
        <v>0.35625000000000001</v>
      </c>
      <c r="R72" s="58">
        <v>0.359027777777778</v>
      </c>
      <c r="S72" s="58">
        <v>0.35625000000000001</v>
      </c>
      <c r="T72" s="58" t="s">
        <v>2530</v>
      </c>
      <c r="U72" s="58" t="s">
        <v>2530</v>
      </c>
      <c r="V72" s="58" t="s">
        <v>2530</v>
      </c>
      <c r="W72" s="58" t="s">
        <v>2530</v>
      </c>
      <c r="X72" t="s">
        <v>2952</v>
      </c>
      <c r="Y72" s="57">
        <v>0</v>
      </c>
      <c r="Z72" s="57">
        <v>0</v>
      </c>
      <c r="AA72" s="57">
        <v>0</v>
      </c>
      <c r="AB72" s="54" t="s">
        <v>2575</v>
      </c>
      <c r="AC72" s="54" t="s">
        <v>2539</v>
      </c>
      <c r="AD72" s="56" t="s">
        <v>2540</v>
      </c>
      <c r="AE72" s="56"/>
      <c r="AF72" s="81"/>
      <c r="AG72" s="83" t="s">
        <v>45</v>
      </c>
      <c r="AH72" s="81"/>
      <c r="AI72" s="84"/>
      <c r="AJ72" s="85"/>
      <c r="AK72" s="86"/>
      <c r="AL72" s="42"/>
    </row>
    <row r="73" spans="1:38" ht="15" customHeight="1">
      <c r="A73" s="69">
        <v>46175</v>
      </c>
      <c r="B73" s="70" t="str">
        <f t="shared" si="5"/>
        <v>06 A 18</v>
      </c>
      <c r="C73" s="71" t="str">
        <f t="shared" si="6"/>
        <v>10:00 a 12:00</v>
      </c>
      <c r="D73" s="56" t="s">
        <v>2669</v>
      </c>
      <c r="E73" s="54">
        <v>6</v>
      </c>
      <c r="F73" s="77" t="s">
        <v>365</v>
      </c>
      <c r="G73" s="77" t="s">
        <v>456</v>
      </c>
      <c r="H73" s="73">
        <v>341646</v>
      </c>
      <c r="I73" s="70">
        <v>48302364</v>
      </c>
      <c r="J73" s="56" t="s">
        <v>2538</v>
      </c>
      <c r="K73" s="77" t="s">
        <v>146</v>
      </c>
      <c r="L73" s="77"/>
      <c r="M73" s="77"/>
      <c r="N73" s="77"/>
      <c r="O73" s="77" t="s">
        <v>2714</v>
      </c>
      <c r="P73" s="78" t="s">
        <v>2569</v>
      </c>
      <c r="Q73" s="58">
        <v>0.453472222222222</v>
      </c>
      <c r="R73" s="58">
        <v>0.45486111111111099</v>
      </c>
      <c r="S73" s="58" t="s">
        <v>2530</v>
      </c>
      <c r="T73" s="58" t="s">
        <v>2530</v>
      </c>
      <c r="U73" s="58" t="s">
        <v>2530</v>
      </c>
      <c r="V73" s="58" t="s">
        <v>2530</v>
      </c>
      <c r="W73" s="58" t="s">
        <v>2530</v>
      </c>
      <c r="X73" t="s">
        <v>2953</v>
      </c>
      <c r="Y73" s="57">
        <v>0</v>
      </c>
      <c r="Z73" s="57">
        <v>0</v>
      </c>
      <c r="AA73" s="57">
        <v>0</v>
      </c>
      <c r="AB73" s="54" t="s">
        <v>2624</v>
      </c>
      <c r="AC73" s="54" t="s">
        <v>2539</v>
      </c>
      <c r="AD73" s="56" t="s">
        <v>2564</v>
      </c>
      <c r="AE73" s="56"/>
      <c r="AF73" s="81"/>
      <c r="AG73" s="83" t="s">
        <v>45</v>
      </c>
      <c r="AH73" s="81"/>
      <c r="AI73" s="84"/>
      <c r="AJ73" s="85"/>
      <c r="AK73" s="86"/>
      <c r="AL73" s="42"/>
    </row>
    <row r="74" spans="1:38" ht="15" customHeight="1">
      <c r="A74" s="69">
        <v>46175</v>
      </c>
      <c r="B74" s="70" t="str">
        <f t="shared" si="5"/>
        <v>06 A 18</v>
      </c>
      <c r="C74" s="71" t="str">
        <f t="shared" si="6"/>
        <v>10:00 a 12:00</v>
      </c>
      <c r="D74" s="56" t="s">
        <v>245</v>
      </c>
      <c r="E74" s="54">
        <v>2</v>
      </c>
      <c r="F74" s="77" t="s">
        <v>164</v>
      </c>
      <c r="G74" s="77" t="s">
        <v>296</v>
      </c>
      <c r="H74" s="73">
        <v>341852</v>
      </c>
      <c r="I74" s="70">
        <v>48302372</v>
      </c>
      <c r="J74" s="56" t="s">
        <v>2538</v>
      </c>
      <c r="K74" s="77" t="s">
        <v>87</v>
      </c>
      <c r="L74" s="103" t="s">
        <v>155</v>
      </c>
      <c r="M74" s="77"/>
      <c r="N74" s="77"/>
      <c r="O74" s="77" t="s">
        <v>2715</v>
      </c>
      <c r="P74" s="78" t="s">
        <v>2567</v>
      </c>
      <c r="Q74" s="58">
        <v>0.46180555555555602</v>
      </c>
      <c r="R74" s="58">
        <v>0.46875</v>
      </c>
      <c r="S74" s="58" t="s">
        <v>2530</v>
      </c>
      <c r="T74" s="58" t="s">
        <v>2530</v>
      </c>
      <c r="U74" s="58" t="s">
        <v>2530</v>
      </c>
      <c r="V74" s="58" t="s">
        <v>2530</v>
      </c>
      <c r="W74" s="58" t="s">
        <v>2530</v>
      </c>
      <c r="X74" t="s">
        <v>2954</v>
      </c>
      <c r="Y74" s="57">
        <v>0</v>
      </c>
      <c r="Z74" s="57">
        <v>0</v>
      </c>
      <c r="AA74" s="57">
        <v>0</v>
      </c>
      <c r="AB74" s="54" t="s">
        <v>2629</v>
      </c>
      <c r="AC74" s="54" t="s">
        <v>2539</v>
      </c>
      <c r="AD74" s="56" t="s">
        <v>2540</v>
      </c>
      <c r="AE74" s="56"/>
      <c r="AF74" s="81"/>
      <c r="AG74" s="83" t="s">
        <v>45</v>
      </c>
      <c r="AH74" s="81"/>
      <c r="AI74" s="84"/>
      <c r="AJ74" s="85"/>
      <c r="AK74" s="86"/>
      <c r="AL74" s="42"/>
    </row>
    <row r="75" spans="1:38" ht="15" customHeight="1">
      <c r="A75" s="69">
        <v>46175</v>
      </c>
      <c r="B75" s="70" t="str">
        <f t="shared" si="5"/>
        <v>06 A 18</v>
      </c>
      <c r="C75" s="71" t="str">
        <f t="shared" si="6"/>
        <v>10:00 a 12:00</v>
      </c>
      <c r="D75" s="56" t="s">
        <v>245</v>
      </c>
      <c r="E75" s="54">
        <v>2</v>
      </c>
      <c r="F75" s="77" t="s">
        <v>164</v>
      </c>
      <c r="G75" s="77" t="s">
        <v>2667</v>
      </c>
      <c r="H75" s="73">
        <v>341666</v>
      </c>
      <c r="I75" s="70">
        <v>48302526</v>
      </c>
      <c r="J75" s="56" t="s">
        <v>2538</v>
      </c>
      <c r="K75" s="77" t="s">
        <v>87</v>
      </c>
      <c r="L75" s="103" t="s">
        <v>126</v>
      </c>
      <c r="M75" s="77"/>
      <c r="N75" s="77"/>
      <c r="O75" s="77" t="s">
        <v>2716</v>
      </c>
      <c r="P75" s="78" t="s">
        <v>2557</v>
      </c>
      <c r="Q75" s="58">
        <v>0.46250000000000002</v>
      </c>
      <c r="R75" s="58">
        <v>0.46388888888888885</v>
      </c>
      <c r="S75" s="58">
        <v>0.46249999999999997</v>
      </c>
      <c r="T75" s="58" t="s">
        <v>2530</v>
      </c>
      <c r="U75" s="58" t="s">
        <v>2530</v>
      </c>
      <c r="V75" s="58" t="s">
        <v>2530</v>
      </c>
      <c r="W75" s="58" t="s">
        <v>2530</v>
      </c>
      <c r="X75" t="s">
        <v>2955</v>
      </c>
      <c r="Y75" s="57">
        <v>0</v>
      </c>
      <c r="Z75" s="57">
        <v>0</v>
      </c>
      <c r="AA75" s="57">
        <v>0</v>
      </c>
      <c r="AB75" s="54" t="s">
        <v>2593</v>
      </c>
      <c r="AC75" s="54" t="s">
        <v>2539</v>
      </c>
      <c r="AD75" s="56" t="s">
        <v>2564</v>
      </c>
      <c r="AE75" s="56"/>
      <c r="AF75" s="81"/>
      <c r="AG75" s="83" t="s">
        <v>45</v>
      </c>
      <c r="AH75" s="81"/>
      <c r="AI75" s="84"/>
      <c r="AJ75" s="85"/>
      <c r="AK75" s="86"/>
      <c r="AL75" s="42"/>
    </row>
    <row r="76" spans="1:38" ht="15" customHeight="1">
      <c r="A76" s="69">
        <v>46175</v>
      </c>
      <c r="B76" s="70" t="str">
        <f t="shared" si="5"/>
        <v>06 A 18</v>
      </c>
      <c r="C76" s="71" t="str">
        <f t="shared" si="6"/>
        <v>10:00 a 12:00</v>
      </c>
      <c r="D76" s="56" t="s">
        <v>245</v>
      </c>
      <c r="E76" s="54">
        <v>2</v>
      </c>
      <c r="F76" s="77" t="s">
        <v>2550</v>
      </c>
      <c r="G76" s="77" t="s">
        <v>1124</v>
      </c>
      <c r="H76" s="73">
        <v>341778</v>
      </c>
      <c r="I76" s="70">
        <v>48302530</v>
      </c>
      <c r="J76" s="56" t="s">
        <v>2538</v>
      </c>
      <c r="K76" s="77" t="s">
        <v>104</v>
      </c>
      <c r="L76" s="77"/>
      <c r="M76" s="77"/>
      <c r="N76" s="77"/>
      <c r="O76" s="77" t="s">
        <v>2717</v>
      </c>
      <c r="P76" s="78" t="s">
        <v>2609</v>
      </c>
      <c r="Q76" s="58">
        <v>0.46597222222222223</v>
      </c>
      <c r="R76" s="58">
        <v>0.47291666666666665</v>
      </c>
      <c r="S76" s="58"/>
      <c r="T76" s="58" t="s">
        <v>2530</v>
      </c>
      <c r="U76" s="58" t="s">
        <v>2530</v>
      </c>
      <c r="V76" s="58" t="s">
        <v>2530</v>
      </c>
      <c r="W76" s="58" t="s">
        <v>2530</v>
      </c>
      <c r="X76" t="s">
        <v>2956</v>
      </c>
      <c r="Y76" s="57">
        <v>0</v>
      </c>
      <c r="Z76" s="57">
        <v>0</v>
      </c>
      <c r="AA76" s="57">
        <v>0</v>
      </c>
      <c r="AB76" s="54" t="s">
        <v>2610</v>
      </c>
      <c r="AC76" s="54" t="s">
        <v>2539</v>
      </c>
      <c r="AD76" s="56" t="s">
        <v>2540</v>
      </c>
      <c r="AE76" s="56"/>
      <c r="AF76" s="81"/>
      <c r="AG76" s="83" t="s">
        <v>45</v>
      </c>
      <c r="AH76" s="81"/>
      <c r="AI76" s="84"/>
      <c r="AJ76" s="85"/>
      <c r="AK76" s="86"/>
      <c r="AL76" s="42"/>
    </row>
    <row r="77" spans="1:38" ht="15" customHeight="1">
      <c r="A77" s="69">
        <v>46175</v>
      </c>
      <c r="B77" s="70" t="str">
        <f t="shared" si="5"/>
        <v>06 A 18</v>
      </c>
      <c r="C77" s="71" t="str">
        <f t="shared" si="6"/>
        <v>10:00 a 12:00</v>
      </c>
      <c r="D77" s="56" t="s">
        <v>245</v>
      </c>
      <c r="E77" s="54">
        <v>2</v>
      </c>
      <c r="F77" s="77" t="s">
        <v>2547</v>
      </c>
      <c r="G77" s="77" t="s">
        <v>2478</v>
      </c>
      <c r="H77" s="73">
        <v>341771</v>
      </c>
      <c r="I77" s="70">
        <v>48302601</v>
      </c>
      <c r="J77" s="56" t="s">
        <v>2538</v>
      </c>
      <c r="K77" s="77" t="s">
        <v>87</v>
      </c>
      <c r="L77" s="103" t="s">
        <v>77</v>
      </c>
      <c r="M77" s="77"/>
      <c r="N77" s="77"/>
      <c r="O77" s="77" t="s">
        <v>2718</v>
      </c>
      <c r="P77" s="78" t="s">
        <v>2586</v>
      </c>
      <c r="Q77" s="58">
        <v>0.46875</v>
      </c>
      <c r="R77" s="58">
        <v>0.4770833333333333</v>
      </c>
      <c r="S77" s="58">
        <v>0.46875</v>
      </c>
      <c r="T77" s="58" t="s">
        <v>2530</v>
      </c>
      <c r="U77" s="58" t="s">
        <v>2530</v>
      </c>
      <c r="V77" s="58" t="s">
        <v>2530</v>
      </c>
      <c r="W77" s="58" t="s">
        <v>2530</v>
      </c>
      <c r="X77" t="s">
        <v>2957</v>
      </c>
      <c r="Y77" s="57">
        <v>0</v>
      </c>
      <c r="Z77" s="57">
        <v>0</v>
      </c>
      <c r="AA77" s="57">
        <v>0</v>
      </c>
      <c r="AB77" s="54" t="s">
        <v>2584</v>
      </c>
      <c r="AC77" s="54" t="s">
        <v>2539</v>
      </c>
      <c r="AD77" s="56" t="s">
        <v>2564</v>
      </c>
      <c r="AE77" s="56"/>
      <c r="AF77" s="81"/>
      <c r="AG77" s="83" t="s">
        <v>45</v>
      </c>
      <c r="AH77" s="81"/>
      <c r="AI77" s="84"/>
      <c r="AJ77" s="85"/>
      <c r="AK77" s="86"/>
      <c r="AL77" s="42"/>
    </row>
    <row r="78" spans="1:38" ht="15" customHeight="1">
      <c r="A78" s="69">
        <v>46175</v>
      </c>
      <c r="B78" s="70" t="str">
        <f t="shared" si="5"/>
        <v>06 A 18</v>
      </c>
      <c r="C78" s="71" t="str">
        <f t="shared" si="6"/>
        <v>08:00 a 10:00</v>
      </c>
      <c r="D78" s="56" t="s">
        <v>245</v>
      </c>
      <c r="E78" s="54">
        <v>2</v>
      </c>
      <c r="F78" s="77" t="s">
        <v>164</v>
      </c>
      <c r="G78" s="77" t="s">
        <v>1017</v>
      </c>
      <c r="H78" s="73">
        <v>341671</v>
      </c>
      <c r="I78" s="70">
        <v>48301437</v>
      </c>
      <c r="J78" s="56" t="s">
        <v>2538</v>
      </c>
      <c r="K78" s="77" t="s">
        <v>87</v>
      </c>
      <c r="L78" s="103" t="s">
        <v>126</v>
      </c>
      <c r="M78" s="77"/>
      <c r="N78" s="77"/>
      <c r="O78" s="77" t="s">
        <v>2719</v>
      </c>
      <c r="P78" s="78" t="s">
        <v>2557</v>
      </c>
      <c r="Q78" s="58">
        <v>0.38888888888888901</v>
      </c>
      <c r="R78" s="58">
        <v>0.4</v>
      </c>
      <c r="S78" s="58">
        <v>0.38888888888888901</v>
      </c>
      <c r="T78" s="58" t="s">
        <v>2530</v>
      </c>
      <c r="U78" s="58" t="s">
        <v>2530</v>
      </c>
      <c r="V78" s="58" t="s">
        <v>2530</v>
      </c>
      <c r="W78" s="58" t="s">
        <v>2530</v>
      </c>
      <c r="X78" t="s">
        <v>2958</v>
      </c>
      <c r="Y78" s="57">
        <v>0</v>
      </c>
      <c r="Z78" s="57">
        <v>0</v>
      </c>
      <c r="AA78" s="57">
        <v>0</v>
      </c>
      <c r="AB78" s="54">
        <v>1</v>
      </c>
      <c r="AC78" s="54" t="s">
        <v>2539</v>
      </c>
      <c r="AD78" s="56" t="s">
        <v>2540</v>
      </c>
      <c r="AE78" s="56"/>
      <c r="AF78" s="81"/>
      <c r="AG78" s="83" t="s">
        <v>45</v>
      </c>
      <c r="AH78" s="81"/>
      <c r="AI78" s="84"/>
      <c r="AJ78" s="85"/>
      <c r="AK78" s="86"/>
      <c r="AL78" s="42"/>
    </row>
    <row r="79" spans="1:38" ht="15" customHeight="1">
      <c r="A79" s="69">
        <v>46175</v>
      </c>
      <c r="B79" s="70" t="str">
        <f t="shared" si="5"/>
        <v>06 A 18</v>
      </c>
      <c r="C79" s="71" t="str">
        <f t="shared" si="6"/>
        <v>10:00 a 12:00</v>
      </c>
      <c r="D79" s="56" t="s">
        <v>245</v>
      </c>
      <c r="E79" s="54">
        <v>2</v>
      </c>
      <c r="F79" s="77" t="s">
        <v>2666</v>
      </c>
      <c r="G79" s="77" t="s">
        <v>457</v>
      </c>
      <c r="H79" s="73">
        <v>341729</v>
      </c>
      <c r="I79" s="70">
        <v>48302437</v>
      </c>
      <c r="J79" s="56" t="s">
        <v>2538</v>
      </c>
      <c r="K79" s="77" t="s">
        <v>2532</v>
      </c>
      <c r="L79" s="77"/>
      <c r="M79" s="77"/>
      <c r="N79" s="77"/>
      <c r="O79" s="77" t="s">
        <v>2720</v>
      </c>
      <c r="P79" s="78" t="s">
        <v>2562</v>
      </c>
      <c r="Q79" s="58">
        <v>0.45486111111111099</v>
      </c>
      <c r="R79" s="58">
        <v>0.48055555555555557</v>
      </c>
      <c r="S79" s="58">
        <v>0.4548611111111111</v>
      </c>
      <c r="T79" s="58" t="s">
        <v>2530</v>
      </c>
      <c r="U79" s="58" t="s">
        <v>2530</v>
      </c>
      <c r="V79" s="58" t="s">
        <v>2530</v>
      </c>
      <c r="W79" s="58" t="s">
        <v>2530</v>
      </c>
      <c r="X79" t="s">
        <v>2959</v>
      </c>
      <c r="Y79" s="57">
        <v>0</v>
      </c>
      <c r="Z79" s="57">
        <v>0</v>
      </c>
      <c r="AA79" s="57">
        <v>0</v>
      </c>
      <c r="AB79" s="54" t="s">
        <v>2563</v>
      </c>
      <c r="AC79" s="54" t="s">
        <v>2539</v>
      </c>
      <c r="AD79" s="56" t="s">
        <v>2564</v>
      </c>
      <c r="AE79" s="56"/>
      <c r="AF79" s="81"/>
      <c r="AG79" s="83" t="s">
        <v>45</v>
      </c>
      <c r="AH79" s="81"/>
      <c r="AI79" s="84"/>
      <c r="AJ79" s="85"/>
      <c r="AK79" s="86"/>
      <c r="AL79" s="42"/>
    </row>
    <row r="80" spans="1:38" ht="15" customHeight="1">
      <c r="A80" s="69">
        <v>46175</v>
      </c>
      <c r="B80" s="70" t="str">
        <f t="shared" si="5"/>
        <v>06 A 18</v>
      </c>
      <c r="C80" s="71" t="str">
        <f t="shared" si="6"/>
        <v>10:00 a 12:00</v>
      </c>
      <c r="D80" s="56" t="s">
        <v>245</v>
      </c>
      <c r="E80" s="54">
        <v>2</v>
      </c>
      <c r="F80" s="77" t="s">
        <v>217</v>
      </c>
      <c r="G80" s="77" t="s">
        <v>933</v>
      </c>
      <c r="H80" s="73">
        <v>342112</v>
      </c>
      <c r="I80" s="70">
        <v>48302737</v>
      </c>
      <c r="J80" s="56" t="s">
        <v>2543</v>
      </c>
      <c r="K80" s="102" t="s">
        <v>205</v>
      </c>
      <c r="L80" s="77"/>
      <c r="M80" s="77"/>
      <c r="N80" s="77"/>
      <c r="O80" s="77" t="s">
        <v>2721</v>
      </c>
      <c r="P80" s="78" t="s">
        <v>2569</v>
      </c>
      <c r="Q80" s="58">
        <v>0.47222222222222199</v>
      </c>
      <c r="R80" s="58">
        <v>0.54374999999999996</v>
      </c>
      <c r="S80" s="58">
        <v>0.47430555555555598</v>
      </c>
      <c r="T80" s="58" t="s">
        <v>2530</v>
      </c>
      <c r="U80" s="58" t="s">
        <v>2530</v>
      </c>
      <c r="V80" s="58" t="s">
        <v>2530</v>
      </c>
      <c r="W80" s="58" t="s">
        <v>2530</v>
      </c>
      <c r="X80" t="s">
        <v>2960</v>
      </c>
      <c r="Y80" s="57">
        <v>0</v>
      </c>
      <c r="Z80" s="57">
        <v>0</v>
      </c>
      <c r="AA80" s="57">
        <v>0</v>
      </c>
      <c r="AB80" s="54" t="s">
        <v>2570</v>
      </c>
      <c r="AC80" s="54" t="s">
        <v>2539</v>
      </c>
      <c r="AD80" s="56" t="s">
        <v>2594</v>
      </c>
      <c r="AE80" s="56"/>
      <c r="AF80" s="81"/>
      <c r="AG80" s="83" t="s">
        <v>45</v>
      </c>
      <c r="AH80" s="81"/>
      <c r="AI80" s="84"/>
      <c r="AJ80" s="85"/>
      <c r="AK80" s="86"/>
      <c r="AL80" s="42"/>
    </row>
    <row r="81" spans="1:38" ht="15" customHeight="1">
      <c r="A81" s="69">
        <v>46175</v>
      </c>
      <c r="B81" s="70" t="str">
        <f t="shared" si="5"/>
        <v>06 A 18</v>
      </c>
      <c r="C81" s="71" t="str">
        <f t="shared" si="6"/>
        <v>10:00 a 12:00</v>
      </c>
      <c r="D81" s="56" t="s">
        <v>245</v>
      </c>
      <c r="E81" s="54">
        <v>2</v>
      </c>
      <c r="F81" s="77" t="s">
        <v>2546</v>
      </c>
      <c r="G81" s="77" t="s">
        <v>560</v>
      </c>
      <c r="H81" s="73">
        <v>341928</v>
      </c>
      <c r="I81" s="70">
        <v>48302564</v>
      </c>
      <c r="J81" s="56" t="s">
        <v>2544</v>
      </c>
      <c r="K81" s="77" t="s">
        <v>87</v>
      </c>
      <c r="L81" s="77" t="s">
        <v>90</v>
      </c>
      <c r="M81" s="77"/>
      <c r="N81" s="77"/>
      <c r="O81" s="77" t="s">
        <v>2722</v>
      </c>
      <c r="P81" s="78" t="s">
        <v>2573</v>
      </c>
      <c r="Q81" s="58">
        <v>0.47152777777777799</v>
      </c>
      <c r="R81" s="58">
        <v>0.48611111111111099</v>
      </c>
      <c r="S81" s="58">
        <v>0.47152777777777799</v>
      </c>
      <c r="T81" s="58" t="s">
        <v>2530</v>
      </c>
      <c r="U81" s="58" t="s">
        <v>2530</v>
      </c>
      <c r="V81" s="58" t="s">
        <v>2530</v>
      </c>
      <c r="W81" s="58" t="s">
        <v>2530</v>
      </c>
      <c r="X81" t="s">
        <v>2961</v>
      </c>
      <c r="Y81" s="57">
        <v>0</v>
      </c>
      <c r="Z81" s="57">
        <v>0</v>
      </c>
      <c r="AA81" s="57">
        <v>0</v>
      </c>
      <c r="AB81" s="54" t="s">
        <v>2574</v>
      </c>
      <c r="AC81" s="54" t="s">
        <v>2539</v>
      </c>
      <c r="AD81" s="56" t="s">
        <v>2540</v>
      </c>
      <c r="AE81" s="56"/>
      <c r="AF81" s="81"/>
      <c r="AG81" s="83" t="s">
        <v>45</v>
      </c>
      <c r="AH81" s="81"/>
      <c r="AI81" s="84"/>
      <c r="AJ81" s="85"/>
      <c r="AK81" s="86"/>
      <c r="AL81" s="42"/>
    </row>
    <row r="82" spans="1:38" ht="15" customHeight="1">
      <c r="A82" s="69">
        <v>46175</v>
      </c>
      <c r="B82" s="70" t="str">
        <f t="shared" si="5"/>
        <v>06 A 18</v>
      </c>
      <c r="C82" s="71" t="str">
        <f t="shared" si="6"/>
        <v>10:00 a 12:00</v>
      </c>
      <c r="D82" s="56" t="s">
        <v>245</v>
      </c>
      <c r="E82" s="54">
        <v>2</v>
      </c>
      <c r="F82" s="77" t="s">
        <v>2546</v>
      </c>
      <c r="G82" s="77" t="s">
        <v>633</v>
      </c>
      <c r="H82" s="73">
        <v>341985</v>
      </c>
      <c r="I82" s="70">
        <v>48302839</v>
      </c>
      <c r="J82" s="56" t="s">
        <v>2544</v>
      </c>
      <c r="K82" s="77" t="s">
        <v>87</v>
      </c>
      <c r="L82" s="103" t="s">
        <v>77</v>
      </c>
      <c r="M82" s="77"/>
      <c r="N82" s="77"/>
      <c r="O82" s="77" t="s">
        <v>2723</v>
      </c>
      <c r="P82" s="78" t="s">
        <v>2571</v>
      </c>
      <c r="Q82" s="58">
        <v>0.48749999999999999</v>
      </c>
      <c r="R82" s="58">
        <v>0.49652777777777801</v>
      </c>
      <c r="S82" s="58">
        <v>0.48749999999999999</v>
      </c>
      <c r="T82" s="58" t="s">
        <v>2530</v>
      </c>
      <c r="U82" s="58" t="s">
        <v>2530</v>
      </c>
      <c r="V82" s="58" t="s">
        <v>2530</v>
      </c>
      <c r="W82" s="58" t="s">
        <v>2530</v>
      </c>
      <c r="X82" t="s">
        <v>2962</v>
      </c>
      <c r="Y82" s="57">
        <v>0</v>
      </c>
      <c r="Z82" s="57">
        <v>0</v>
      </c>
      <c r="AA82" s="57">
        <v>0</v>
      </c>
      <c r="AB82" s="54" t="s">
        <v>2572</v>
      </c>
      <c r="AC82" s="54" t="s">
        <v>2539</v>
      </c>
      <c r="AD82" s="56" t="s">
        <v>2540</v>
      </c>
      <c r="AE82" s="56"/>
      <c r="AF82" s="81"/>
      <c r="AG82" s="83" t="s">
        <v>45</v>
      </c>
      <c r="AH82" s="81"/>
      <c r="AI82" s="84"/>
      <c r="AJ82" s="85"/>
      <c r="AK82" s="86"/>
      <c r="AL82" s="42"/>
    </row>
    <row r="83" spans="1:38" ht="15" customHeight="1">
      <c r="A83" s="69">
        <v>46175</v>
      </c>
      <c r="B83" s="70" t="str">
        <f t="shared" si="5"/>
        <v>06 A 18</v>
      </c>
      <c r="C83" s="71" t="str">
        <f t="shared" si="6"/>
        <v>12:00 a 14:00</v>
      </c>
      <c r="D83" s="56" t="s">
        <v>245</v>
      </c>
      <c r="E83" s="54">
        <v>2</v>
      </c>
      <c r="F83" s="77" t="s">
        <v>2546</v>
      </c>
      <c r="G83" s="77" t="s">
        <v>1504</v>
      </c>
      <c r="H83" s="73">
        <v>342273</v>
      </c>
      <c r="I83" s="70">
        <v>48303029</v>
      </c>
      <c r="J83" s="56" t="s">
        <v>2544</v>
      </c>
      <c r="K83" s="77" t="s">
        <v>87</v>
      </c>
      <c r="L83" s="103" t="s">
        <v>104</v>
      </c>
      <c r="M83" s="77"/>
      <c r="N83" s="77"/>
      <c r="O83" s="77" t="s">
        <v>2724</v>
      </c>
      <c r="P83" s="78" t="s">
        <v>2607</v>
      </c>
      <c r="Q83" s="58">
        <v>0.50486111111111098</v>
      </c>
      <c r="R83" s="58">
        <v>0.54097222222222197</v>
      </c>
      <c r="S83" s="58">
        <v>0.50486111111111098</v>
      </c>
      <c r="T83" s="58">
        <v>0.50486111111111098</v>
      </c>
      <c r="U83" s="58" t="s">
        <v>2530</v>
      </c>
      <c r="V83" s="58" t="s">
        <v>2530</v>
      </c>
      <c r="W83" s="58" t="s">
        <v>2530</v>
      </c>
      <c r="X83" t="s">
        <v>2963</v>
      </c>
      <c r="Y83" s="57">
        <v>0</v>
      </c>
      <c r="Z83" s="57">
        <v>0</v>
      </c>
      <c r="AA83" s="57">
        <v>0</v>
      </c>
      <c r="AB83" s="54" t="s">
        <v>2608</v>
      </c>
      <c r="AC83" s="54" t="s">
        <v>2539</v>
      </c>
      <c r="AD83" s="56" t="s">
        <v>2540</v>
      </c>
      <c r="AE83" s="56"/>
      <c r="AF83" s="81"/>
      <c r="AG83" s="83" t="s">
        <v>45</v>
      </c>
      <c r="AH83" s="81"/>
      <c r="AI83" s="84"/>
      <c r="AJ83" s="85"/>
      <c r="AK83" s="86"/>
      <c r="AL83" s="42"/>
    </row>
    <row r="84" spans="1:38" ht="15" customHeight="1">
      <c r="A84" s="69">
        <v>46175</v>
      </c>
      <c r="B84" s="70" t="str">
        <f t="shared" si="5"/>
        <v>06 A 18</v>
      </c>
      <c r="C84" s="71" t="str">
        <f t="shared" si="6"/>
        <v>10:00 a 12:00</v>
      </c>
      <c r="D84" s="56" t="s">
        <v>245</v>
      </c>
      <c r="E84" s="54">
        <v>2</v>
      </c>
      <c r="F84" s="77" t="s">
        <v>164</v>
      </c>
      <c r="G84" s="77" t="s">
        <v>2311</v>
      </c>
      <c r="H84" s="73">
        <v>341871</v>
      </c>
      <c r="I84" s="70">
        <v>48302353</v>
      </c>
      <c r="J84" s="56" t="s">
        <v>2538</v>
      </c>
      <c r="K84" s="77" t="s">
        <v>87</v>
      </c>
      <c r="L84" s="103" t="s">
        <v>19</v>
      </c>
      <c r="M84" s="77"/>
      <c r="N84" s="77"/>
      <c r="O84" s="77" t="s">
        <v>2725</v>
      </c>
      <c r="P84" s="78" t="s">
        <v>2577</v>
      </c>
      <c r="Q84" s="58">
        <v>0.45486111111111099</v>
      </c>
      <c r="R84" s="58">
        <v>0.51666666666666705</v>
      </c>
      <c r="S84" s="58">
        <v>0.45902777777777798</v>
      </c>
      <c r="T84" s="58" t="s">
        <v>2530</v>
      </c>
      <c r="U84" s="58" t="s">
        <v>2530</v>
      </c>
      <c r="V84" s="58" t="s">
        <v>2530</v>
      </c>
      <c r="W84" s="58" t="s">
        <v>2530</v>
      </c>
      <c r="X84" t="s">
        <v>2964</v>
      </c>
      <c r="Y84" s="57">
        <v>0</v>
      </c>
      <c r="Z84" s="57">
        <v>0</v>
      </c>
      <c r="AA84" s="57">
        <v>0</v>
      </c>
      <c r="AB84" s="54" t="s">
        <v>2620</v>
      </c>
      <c r="AC84" s="54" t="s">
        <v>2539</v>
      </c>
      <c r="AD84" s="56" t="s">
        <v>2540</v>
      </c>
      <c r="AE84" s="56"/>
      <c r="AF84" s="81"/>
      <c r="AG84" s="83" t="s">
        <v>45</v>
      </c>
      <c r="AH84" s="81"/>
      <c r="AI84" s="84"/>
      <c r="AJ84" s="85"/>
      <c r="AK84" s="86"/>
      <c r="AL84" s="42"/>
    </row>
    <row r="85" spans="1:38" ht="15" customHeight="1">
      <c r="A85" s="69">
        <v>46175</v>
      </c>
      <c r="B85" s="70" t="str">
        <f t="shared" si="5"/>
        <v>06 A 18</v>
      </c>
      <c r="C85" s="71" t="str">
        <f t="shared" si="6"/>
        <v>10:00 a 12:00</v>
      </c>
      <c r="D85" s="56" t="s">
        <v>245</v>
      </c>
      <c r="E85" s="54">
        <v>2</v>
      </c>
      <c r="F85" s="77" t="s">
        <v>2547</v>
      </c>
      <c r="G85" s="77" t="s">
        <v>350</v>
      </c>
      <c r="H85" s="73">
        <v>342013</v>
      </c>
      <c r="I85" s="70">
        <v>48302805</v>
      </c>
      <c r="J85" s="56" t="s">
        <v>2538</v>
      </c>
      <c r="K85" s="77" t="s">
        <v>87</v>
      </c>
      <c r="L85" s="103" t="s">
        <v>77</v>
      </c>
      <c r="M85" s="103" t="s">
        <v>131</v>
      </c>
      <c r="N85" s="77"/>
      <c r="O85" s="77" t="s">
        <v>2726</v>
      </c>
      <c r="P85" s="78" t="s">
        <v>2562</v>
      </c>
      <c r="Q85" s="58">
        <v>0.48611111111111099</v>
      </c>
      <c r="R85" s="58">
        <v>0.53333333333333333</v>
      </c>
      <c r="S85" s="58">
        <v>0.4861111111111111</v>
      </c>
      <c r="T85" s="58">
        <v>0.48680555555555555</v>
      </c>
      <c r="U85" s="58" t="s">
        <v>2530</v>
      </c>
      <c r="V85" s="58" t="s">
        <v>2530</v>
      </c>
      <c r="W85" s="58" t="s">
        <v>2530</v>
      </c>
      <c r="X85" t="s">
        <v>2965</v>
      </c>
      <c r="Y85" s="57">
        <v>0</v>
      </c>
      <c r="Z85" s="57">
        <v>1</v>
      </c>
      <c r="AA85" s="57">
        <v>0</v>
      </c>
      <c r="AB85" s="54" t="s">
        <v>2559</v>
      </c>
      <c r="AC85" s="54" t="s">
        <v>2539</v>
      </c>
      <c r="AD85" s="56" t="s">
        <v>2540</v>
      </c>
      <c r="AE85" s="56"/>
      <c r="AF85" s="81"/>
      <c r="AG85" s="83" t="s">
        <v>62</v>
      </c>
      <c r="AH85" s="81"/>
      <c r="AI85" s="84"/>
      <c r="AJ85" s="85"/>
      <c r="AK85" s="86"/>
      <c r="AL85" s="42"/>
    </row>
    <row r="86" spans="1:38" ht="15" customHeight="1">
      <c r="A86" s="69">
        <v>46175</v>
      </c>
      <c r="B86" s="70" t="str">
        <f t="shared" si="5"/>
        <v>06 A 18</v>
      </c>
      <c r="C86" s="71" t="str">
        <f t="shared" si="6"/>
        <v>12:00 a 14:00</v>
      </c>
      <c r="D86" s="56" t="s">
        <v>245</v>
      </c>
      <c r="E86" s="54">
        <v>2</v>
      </c>
      <c r="F86" s="77" t="s">
        <v>2666</v>
      </c>
      <c r="G86" s="77" t="s">
        <v>738</v>
      </c>
      <c r="H86" s="73">
        <v>342040</v>
      </c>
      <c r="I86" s="70">
        <v>48303042</v>
      </c>
      <c r="J86" s="56" t="s">
        <v>2538</v>
      </c>
      <c r="K86" s="77" t="s">
        <v>2532</v>
      </c>
      <c r="L86" s="77"/>
      <c r="M86" s="77"/>
      <c r="N86" s="77"/>
      <c r="O86" s="77" t="s">
        <v>2727</v>
      </c>
      <c r="P86" s="78" t="s">
        <v>2590</v>
      </c>
      <c r="Q86" s="58">
        <v>0.50208333333333299</v>
      </c>
      <c r="R86" s="58">
        <v>0.51736111111111105</v>
      </c>
      <c r="S86" s="58">
        <v>0.50555555555555598</v>
      </c>
      <c r="T86" s="58" t="s">
        <v>2530</v>
      </c>
      <c r="U86" s="58" t="s">
        <v>2530</v>
      </c>
      <c r="V86" s="58" t="s">
        <v>2530</v>
      </c>
      <c r="W86" s="58" t="s">
        <v>2530</v>
      </c>
      <c r="X86" t="s">
        <v>2966</v>
      </c>
      <c r="Y86" s="57">
        <v>0</v>
      </c>
      <c r="Z86" s="57">
        <v>0</v>
      </c>
      <c r="AA86" s="57">
        <v>0</v>
      </c>
      <c r="AB86" s="54" t="s">
        <v>2591</v>
      </c>
      <c r="AC86" s="54" t="s">
        <v>2539</v>
      </c>
      <c r="AD86" s="56" t="s">
        <v>2540</v>
      </c>
      <c r="AE86" s="56"/>
      <c r="AF86" s="81"/>
      <c r="AG86" s="83" t="s">
        <v>45</v>
      </c>
      <c r="AH86" s="81"/>
      <c r="AI86" s="84"/>
      <c r="AJ86" s="85"/>
      <c r="AK86" s="86"/>
      <c r="AL86" s="42"/>
    </row>
    <row r="87" spans="1:38" ht="15" customHeight="1">
      <c r="A87" s="69">
        <v>46175</v>
      </c>
      <c r="B87" s="70" t="str">
        <f t="shared" si="5"/>
        <v>06 A 18</v>
      </c>
      <c r="C87" s="71" t="str">
        <f t="shared" si="6"/>
        <v>10:00 a 12:00</v>
      </c>
      <c r="D87" s="56" t="s">
        <v>245</v>
      </c>
      <c r="E87" s="54">
        <v>2</v>
      </c>
      <c r="F87" s="77" t="s">
        <v>2547</v>
      </c>
      <c r="G87" s="77" t="s">
        <v>1290</v>
      </c>
      <c r="H87" s="73">
        <v>341856</v>
      </c>
      <c r="I87" s="70">
        <v>48302965</v>
      </c>
      <c r="J87" s="56" t="s">
        <v>2538</v>
      </c>
      <c r="K87" s="102" t="s">
        <v>2513</v>
      </c>
      <c r="L87" s="77"/>
      <c r="M87" s="77"/>
      <c r="N87" s="77"/>
      <c r="O87" s="77" t="s">
        <v>2728</v>
      </c>
      <c r="P87" s="78" t="s">
        <v>2567</v>
      </c>
      <c r="Q87" s="58">
        <v>0.49375000000000002</v>
      </c>
      <c r="R87" s="58">
        <v>0.51249999999999996</v>
      </c>
      <c r="S87" s="58" t="s">
        <v>2530</v>
      </c>
      <c r="T87" s="58" t="s">
        <v>2530</v>
      </c>
      <c r="U87" s="58" t="s">
        <v>2530</v>
      </c>
      <c r="V87" s="58" t="s">
        <v>2530</v>
      </c>
      <c r="W87" s="58" t="s">
        <v>2530</v>
      </c>
      <c r="X87" t="s">
        <v>2967</v>
      </c>
      <c r="Y87" s="57">
        <v>0</v>
      </c>
      <c r="Z87" s="57">
        <v>0</v>
      </c>
      <c r="AA87" s="57">
        <v>0</v>
      </c>
      <c r="AB87" s="54" t="s">
        <v>2568</v>
      </c>
      <c r="AC87" s="54" t="s">
        <v>2539</v>
      </c>
      <c r="AD87" s="56" t="s">
        <v>2564</v>
      </c>
      <c r="AE87" s="56"/>
      <c r="AF87" s="81"/>
      <c r="AG87" s="83" t="s">
        <v>45</v>
      </c>
      <c r="AH87" s="81"/>
      <c r="AI87" s="84"/>
      <c r="AJ87" s="85"/>
      <c r="AK87" s="86"/>
      <c r="AL87" s="42"/>
    </row>
    <row r="88" spans="1:38" ht="15" customHeight="1">
      <c r="A88" s="69">
        <v>46175</v>
      </c>
      <c r="B88" s="70" t="str">
        <f t="shared" si="5"/>
        <v>06 A 18</v>
      </c>
      <c r="C88" s="71" t="str">
        <f t="shared" si="6"/>
        <v>12:00 a 14:00</v>
      </c>
      <c r="D88" s="56" t="s">
        <v>245</v>
      </c>
      <c r="E88" s="54">
        <v>2</v>
      </c>
      <c r="F88" s="77" t="s">
        <v>2547</v>
      </c>
      <c r="G88" s="77" t="s">
        <v>899</v>
      </c>
      <c r="H88" s="73">
        <v>342668</v>
      </c>
      <c r="I88" s="70">
        <v>48303176</v>
      </c>
      <c r="J88" s="56" t="s">
        <v>2538</v>
      </c>
      <c r="K88" s="77" t="s">
        <v>87</v>
      </c>
      <c r="L88" s="103" t="s">
        <v>159</v>
      </c>
      <c r="M88" s="77"/>
      <c r="N88" s="77"/>
      <c r="O88" s="77" t="s">
        <v>2729</v>
      </c>
      <c r="P88" s="78" t="s">
        <v>2562</v>
      </c>
      <c r="Q88" s="58">
        <v>0.51944444444444504</v>
      </c>
      <c r="R88" s="58">
        <v>0.63888888888888895</v>
      </c>
      <c r="S88" s="58">
        <v>0.51944444444444449</v>
      </c>
      <c r="T88" s="58" t="s">
        <v>2530</v>
      </c>
      <c r="U88" s="58" t="s">
        <v>2530</v>
      </c>
      <c r="V88" s="58" t="s">
        <v>2530</v>
      </c>
      <c r="W88" s="58" t="s">
        <v>2530</v>
      </c>
      <c r="X88" t="s">
        <v>2968</v>
      </c>
      <c r="Y88" s="57">
        <v>0</v>
      </c>
      <c r="Z88" s="57">
        <v>0</v>
      </c>
      <c r="AA88" s="57">
        <v>0</v>
      </c>
      <c r="AB88" s="54" t="s">
        <v>2563</v>
      </c>
      <c r="AC88" s="54" t="s">
        <v>2539</v>
      </c>
      <c r="AD88" s="56" t="s">
        <v>2540</v>
      </c>
      <c r="AE88" s="56"/>
      <c r="AF88" s="81"/>
      <c r="AG88" s="83" t="s">
        <v>45</v>
      </c>
      <c r="AH88" s="81"/>
      <c r="AI88" s="84"/>
      <c r="AJ88" s="85"/>
      <c r="AK88" s="86"/>
      <c r="AL88" s="42"/>
    </row>
    <row r="89" spans="1:38" ht="15" customHeight="1">
      <c r="A89" s="69">
        <v>46175</v>
      </c>
      <c r="B89" s="70" t="str">
        <f t="shared" si="5"/>
        <v>06 A 18</v>
      </c>
      <c r="C89" s="71" t="str">
        <f t="shared" si="6"/>
        <v>12:00 a 14:00</v>
      </c>
      <c r="D89" s="56" t="s">
        <v>245</v>
      </c>
      <c r="E89" s="54">
        <v>2</v>
      </c>
      <c r="F89" s="77" t="s">
        <v>2546</v>
      </c>
      <c r="G89" s="77" t="s">
        <v>551</v>
      </c>
      <c r="H89" s="73">
        <v>341974</v>
      </c>
      <c r="I89" s="70">
        <v>48303279</v>
      </c>
      <c r="J89" s="56" t="s">
        <v>2544</v>
      </c>
      <c r="K89" s="77" t="s">
        <v>87</v>
      </c>
      <c r="L89" s="103" t="s">
        <v>186</v>
      </c>
      <c r="M89" s="77"/>
      <c r="N89" s="77"/>
      <c r="O89" s="77" t="s">
        <v>2730</v>
      </c>
      <c r="P89" s="78" t="s">
        <v>2571</v>
      </c>
      <c r="Q89" s="58">
        <v>0.53472222222222199</v>
      </c>
      <c r="R89" s="58">
        <v>0.54652777777777795</v>
      </c>
      <c r="S89" s="58">
        <v>0.53472222222222199</v>
      </c>
      <c r="T89" s="58">
        <v>0.53819444444444398</v>
      </c>
      <c r="U89" s="58" t="s">
        <v>2530</v>
      </c>
      <c r="V89" s="58" t="s">
        <v>2530</v>
      </c>
      <c r="W89" s="58" t="s">
        <v>2530</v>
      </c>
      <c r="X89" t="s">
        <v>2969</v>
      </c>
      <c r="Y89" s="57">
        <v>0</v>
      </c>
      <c r="Z89" s="57">
        <v>0</v>
      </c>
      <c r="AA89" s="57">
        <v>1</v>
      </c>
      <c r="AB89" s="54" t="s">
        <v>2572</v>
      </c>
      <c r="AC89" s="54" t="s">
        <v>2539</v>
      </c>
      <c r="AD89" s="56" t="s">
        <v>2540</v>
      </c>
      <c r="AE89" s="56"/>
      <c r="AF89" s="81"/>
      <c r="AG89" s="83" t="s">
        <v>45</v>
      </c>
      <c r="AH89" s="81"/>
      <c r="AI89" s="84"/>
      <c r="AJ89" s="85"/>
      <c r="AK89" s="86"/>
      <c r="AL89" s="42"/>
    </row>
    <row r="90" spans="1:38" ht="15" customHeight="1">
      <c r="A90" s="69">
        <v>46175</v>
      </c>
      <c r="B90" s="70" t="str">
        <f t="shared" si="5"/>
        <v>06 A 18</v>
      </c>
      <c r="C90" s="71" t="str">
        <f t="shared" si="6"/>
        <v>12:00 a 14:00</v>
      </c>
      <c r="D90" s="56" t="s">
        <v>245</v>
      </c>
      <c r="E90" s="54">
        <v>2</v>
      </c>
      <c r="F90" s="77" t="s">
        <v>2666</v>
      </c>
      <c r="G90" s="77" t="s">
        <v>2194</v>
      </c>
      <c r="H90" s="73">
        <v>342375</v>
      </c>
      <c r="I90" s="70">
        <v>48303696</v>
      </c>
      <c r="J90" s="56" t="s">
        <v>2538</v>
      </c>
      <c r="K90" s="79" t="s">
        <v>146</v>
      </c>
      <c r="L90" s="77"/>
      <c r="M90" s="77"/>
      <c r="N90" s="77"/>
      <c r="O90" s="77" t="s">
        <v>2727</v>
      </c>
      <c r="P90" s="78" t="s">
        <v>2590</v>
      </c>
      <c r="Q90" s="58">
        <v>0.55277777777777803</v>
      </c>
      <c r="R90" s="58">
        <v>0.62222222222222201</v>
      </c>
      <c r="S90" s="58">
        <v>0.55416666666666703</v>
      </c>
      <c r="T90" s="58" t="s">
        <v>2530</v>
      </c>
      <c r="U90" s="58" t="s">
        <v>2530</v>
      </c>
      <c r="V90" s="58" t="s">
        <v>2530</v>
      </c>
      <c r="W90" s="58" t="s">
        <v>2530</v>
      </c>
      <c r="X90" t="s">
        <v>2970</v>
      </c>
      <c r="Y90" s="57">
        <v>0</v>
      </c>
      <c r="Z90" s="57">
        <v>0</v>
      </c>
      <c r="AA90" s="57">
        <v>0</v>
      </c>
      <c r="AB90" s="54" t="s">
        <v>2591</v>
      </c>
      <c r="AC90" s="54" t="s">
        <v>2539</v>
      </c>
      <c r="AD90" s="56" t="s">
        <v>2540</v>
      </c>
      <c r="AE90" s="56"/>
      <c r="AF90" s="81"/>
      <c r="AG90" s="83" t="s">
        <v>45</v>
      </c>
      <c r="AH90" s="81"/>
      <c r="AI90" s="84"/>
      <c r="AJ90" s="85"/>
      <c r="AK90" s="86"/>
      <c r="AL90" s="42"/>
    </row>
    <row r="91" spans="1:38" ht="15" customHeight="1">
      <c r="A91" s="69">
        <v>46175</v>
      </c>
      <c r="B91" s="70" t="str">
        <f t="shared" si="5"/>
        <v>06 A 18</v>
      </c>
      <c r="C91" s="71" t="str">
        <f t="shared" si="6"/>
        <v>12:00 a 14:00</v>
      </c>
      <c r="D91" s="56" t="s">
        <v>245</v>
      </c>
      <c r="E91" s="54">
        <v>2</v>
      </c>
      <c r="F91" s="77" t="s">
        <v>2666</v>
      </c>
      <c r="G91" s="77" t="s">
        <v>766</v>
      </c>
      <c r="H91" s="73">
        <v>342057</v>
      </c>
      <c r="I91" s="70">
        <v>48303831</v>
      </c>
      <c r="J91" s="56" t="s">
        <v>2538</v>
      </c>
      <c r="K91" s="79" t="s">
        <v>2532</v>
      </c>
      <c r="L91" s="77"/>
      <c r="M91" s="77"/>
      <c r="N91" s="77"/>
      <c r="O91" s="77" t="s">
        <v>2731</v>
      </c>
      <c r="P91" s="78" t="s">
        <v>2560</v>
      </c>
      <c r="Q91" s="58">
        <v>0.55902777777777801</v>
      </c>
      <c r="R91" s="58">
        <v>0.58055555555555605</v>
      </c>
      <c r="S91" s="58">
        <v>0.56111111111111101</v>
      </c>
      <c r="T91" s="58" t="s">
        <v>2530</v>
      </c>
      <c r="U91" s="58" t="s">
        <v>2530</v>
      </c>
      <c r="V91" s="58" t="s">
        <v>2530</v>
      </c>
      <c r="W91" s="58" t="s">
        <v>2530</v>
      </c>
      <c r="X91" t="s">
        <v>2971</v>
      </c>
      <c r="Y91" s="57">
        <v>0</v>
      </c>
      <c r="Z91" s="57">
        <v>0</v>
      </c>
      <c r="AA91" s="57">
        <v>0</v>
      </c>
      <c r="AB91" s="54" t="s">
        <v>2587</v>
      </c>
      <c r="AC91" s="54" t="s">
        <v>2539</v>
      </c>
      <c r="AD91" s="56" t="s">
        <v>2564</v>
      </c>
      <c r="AE91" s="56"/>
      <c r="AF91" s="81"/>
      <c r="AG91" s="83" t="s">
        <v>45</v>
      </c>
      <c r="AH91" s="81"/>
      <c r="AI91" s="84"/>
      <c r="AJ91" s="85"/>
      <c r="AK91" s="104" t="s">
        <v>2796</v>
      </c>
      <c r="AL91" s="42"/>
    </row>
    <row r="92" spans="1:38" ht="15" customHeight="1">
      <c r="A92" s="69">
        <v>46175</v>
      </c>
      <c r="B92" s="70" t="str">
        <f t="shared" si="5"/>
        <v>06 A 18</v>
      </c>
      <c r="C92" s="71" t="str">
        <f t="shared" si="6"/>
        <v>08:00 a 10:00</v>
      </c>
      <c r="D92" s="56" t="s">
        <v>245</v>
      </c>
      <c r="E92" s="54">
        <v>2</v>
      </c>
      <c r="F92" s="77" t="s">
        <v>2547</v>
      </c>
      <c r="G92" s="77" t="s">
        <v>2311</v>
      </c>
      <c r="H92" s="73">
        <v>341996</v>
      </c>
      <c r="I92" s="70">
        <v>48301506</v>
      </c>
      <c r="J92" s="56" t="s">
        <v>2538</v>
      </c>
      <c r="K92" s="79" t="s">
        <v>174</v>
      </c>
      <c r="L92" s="77"/>
      <c r="M92" s="77"/>
      <c r="N92" s="77" t="s">
        <v>2519</v>
      </c>
      <c r="O92" s="77" t="s">
        <v>2732</v>
      </c>
      <c r="P92" s="78" t="s">
        <v>2565</v>
      </c>
      <c r="Q92" s="58">
        <v>0.39236111111111099</v>
      </c>
      <c r="R92" s="58">
        <v>0.39861111111111103</v>
      </c>
      <c r="S92" s="58">
        <v>0.39791666666666697</v>
      </c>
      <c r="T92" s="58" t="s">
        <v>2530</v>
      </c>
      <c r="U92" s="58" t="s">
        <v>2530</v>
      </c>
      <c r="V92" s="58" t="s">
        <v>2530</v>
      </c>
      <c r="W92" s="58" t="s">
        <v>2530</v>
      </c>
      <c r="X92" t="s">
        <v>2972</v>
      </c>
      <c r="Y92" s="57">
        <v>0</v>
      </c>
      <c r="Z92" s="57">
        <v>0</v>
      </c>
      <c r="AA92" s="57">
        <v>0</v>
      </c>
      <c r="AB92" s="54" t="s">
        <v>2566</v>
      </c>
      <c r="AC92" s="54" t="s">
        <v>2539</v>
      </c>
      <c r="AD92" s="56" t="s">
        <v>2540</v>
      </c>
      <c r="AE92" s="56"/>
      <c r="AF92" s="81"/>
      <c r="AG92" s="83" t="s">
        <v>45</v>
      </c>
      <c r="AH92" s="81"/>
      <c r="AI92" s="84"/>
      <c r="AJ92" s="85"/>
      <c r="AK92" s="86"/>
      <c r="AL92" s="42"/>
    </row>
    <row r="93" spans="1:38" ht="15" customHeight="1">
      <c r="A93" s="69">
        <v>46175</v>
      </c>
      <c r="B93" s="70" t="str">
        <f t="shared" si="5"/>
        <v>06 A 18</v>
      </c>
      <c r="C93" s="71" t="str">
        <f t="shared" si="6"/>
        <v>14:00 a 16:00</v>
      </c>
      <c r="D93" s="56" t="s">
        <v>245</v>
      </c>
      <c r="E93" s="54">
        <v>2</v>
      </c>
      <c r="F93" s="77" t="s">
        <v>164</v>
      </c>
      <c r="G93" s="77" t="s">
        <v>1325</v>
      </c>
      <c r="H93" s="73">
        <v>342212</v>
      </c>
      <c r="I93" s="70">
        <v>48304156</v>
      </c>
      <c r="J93" s="56" t="s">
        <v>2538</v>
      </c>
      <c r="K93" s="79" t="s">
        <v>87</v>
      </c>
      <c r="L93" s="77" t="s">
        <v>2513</v>
      </c>
      <c r="M93" s="77"/>
      <c r="N93" s="77"/>
      <c r="O93" s="77" t="s">
        <v>2733</v>
      </c>
      <c r="P93" s="78" t="s">
        <v>2560</v>
      </c>
      <c r="Q93" s="58">
        <v>0.59027777777777801</v>
      </c>
      <c r="R93" s="58">
        <v>0.60833333333333295</v>
      </c>
      <c r="S93" s="58"/>
      <c r="T93" s="58" t="s">
        <v>2530</v>
      </c>
      <c r="U93" s="58" t="s">
        <v>2530</v>
      </c>
      <c r="V93" s="58" t="s">
        <v>2530</v>
      </c>
      <c r="W93" s="58" t="s">
        <v>2530</v>
      </c>
      <c r="X93" t="s">
        <v>2973</v>
      </c>
      <c r="Y93" s="57">
        <v>0</v>
      </c>
      <c r="Z93" s="57">
        <v>0</v>
      </c>
      <c r="AA93" s="57">
        <v>0</v>
      </c>
      <c r="AB93" s="54" t="s">
        <v>2561</v>
      </c>
      <c r="AC93" s="54" t="s">
        <v>2539</v>
      </c>
      <c r="AD93" s="56" t="s">
        <v>2540</v>
      </c>
      <c r="AE93" s="56"/>
      <c r="AF93" s="81"/>
      <c r="AG93" s="83" t="s">
        <v>45</v>
      </c>
      <c r="AH93" s="81"/>
      <c r="AI93" s="84"/>
      <c r="AJ93" s="85"/>
      <c r="AK93" s="86"/>
      <c r="AL93" s="42"/>
    </row>
    <row r="94" spans="1:38" ht="15" customHeight="1">
      <c r="A94" s="69">
        <v>46175</v>
      </c>
      <c r="B94" s="70" t="str">
        <f t="shared" si="5"/>
        <v>06 A 18</v>
      </c>
      <c r="C94" s="71" t="str">
        <f t="shared" si="6"/>
        <v>12:00 a 14:00</v>
      </c>
      <c r="D94" s="56" t="s">
        <v>245</v>
      </c>
      <c r="E94" s="54">
        <v>2</v>
      </c>
      <c r="F94" s="77" t="s">
        <v>2545</v>
      </c>
      <c r="G94" s="77" t="s">
        <v>1268</v>
      </c>
      <c r="H94" s="73">
        <v>342102</v>
      </c>
      <c r="I94" s="70">
        <v>48304119</v>
      </c>
      <c r="J94" s="56" t="s">
        <v>2538</v>
      </c>
      <c r="K94" s="79" t="s">
        <v>87</v>
      </c>
      <c r="L94" s="103" t="s">
        <v>126</v>
      </c>
      <c r="M94" s="77"/>
      <c r="N94" s="77"/>
      <c r="O94" s="77" t="s">
        <v>2734</v>
      </c>
      <c r="P94" s="78" t="s">
        <v>2560</v>
      </c>
      <c r="Q94" s="58">
        <v>0.57916666666666705</v>
      </c>
      <c r="R94" s="58">
        <v>0.58888888888888891</v>
      </c>
      <c r="S94" s="58">
        <v>0.57916666666666672</v>
      </c>
      <c r="T94" s="58" t="s">
        <v>2530</v>
      </c>
      <c r="U94" s="58" t="s">
        <v>2530</v>
      </c>
      <c r="V94" s="58" t="s">
        <v>2530</v>
      </c>
      <c r="W94" s="58" t="s">
        <v>2530</v>
      </c>
      <c r="X94" t="s">
        <v>2974</v>
      </c>
      <c r="Y94" s="57">
        <v>0</v>
      </c>
      <c r="Z94" s="57">
        <v>0</v>
      </c>
      <c r="AA94" s="57">
        <v>0</v>
      </c>
      <c r="AB94" s="54" t="s">
        <v>2587</v>
      </c>
      <c r="AC94" s="54" t="s">
        <v>2539</v>
      </c>
      <c r="AD94" s="56" t="s">
        <v>2564</v>
      </c>
      <c r="AE94" s="56"/>
      <c r="AF94" s="81"/>
      <c r="AG94" s="83" t="s">
        <v>45</v>
      </c>
      <c r="AH94" s="81"/>
      <c r="AI94" s="84"/>
      <c r="AJ94" s="85"/>
      <c r="AK94" s="86"/>
      <c r="AL94" s="42"/>
    </row>
    <row r="95" spans="1:38" ht="15" customHeight="1">
      <c r="A95" s="69">
        <v>46175</v>
      </c>
      <c r="B95" s="70" t="str">
        <f t="shared" si="5"/>
        <v>06 A 18</v>
      </c>
      <c r="C95" s="71" t="str">
        <f t="shared" si="6"/>
        <v>14:00 a 16:00</v>
      </c>
      <c r="D95" s="56" t="s">
        <v>245</v>
      </c>
      <c r="E95" s="54">
        <v>2</v>
      </c>
      <c r="F95" s="77" t="s">
        <v>2548</v>
      </c>
      <c r="G95" s="77" t="s">
        <v>213</v>
      </c>
      <c r="H95" s="73">
        <v>342353</v>
      </c>
      <c r="I95" s="70">
        <v>48304263</v>
      </c>
      <c r="J95" s="56" t="s">
        <v>2538</v>
      </c>
      <c r="K95" s="103" t="s">
        <v>87</v>
      </c>
      <c r="L95" s="103" t="s">
        <v>77</v>
      </c>
      <c r="M95" s="77"/>
      <c r="N95" s="77"/>
      <c r="O95" s="77" t="s">
        <v>2735</v>
      </c>
      <c r="P95" s="78" t="s">
        <v>2609</v>
      </c>
      <c r="Q95" s="58">
        <v>0.59583333333333299</v>
      </c>
      <c r="R95" s="58">
        <v>0.6166666666666667</v>
      </c>
      <c r="S95" s="58">
        <v>0.60277777777777797</v>
      </c>
      <c r="T95" s="58">
        <v>0.6</v>
      </c>
      <c r="U95" s="58" t="s">
        <v>2530</v>
      </c>
      <c r="V95" s="58" t="s">
        <v>2530</v>
      </c>
      <c r="W95" s="58" t="s">
        <v>2530</v>
      </c>
      <c r="X95" t="s">
        <v>2975</v>
      </c>
      <c r="Y95" s="57">
        <v>0</v>
      </c>
      <c r="Z95" s="57">
        <v>0</v>
      </c>
      <c r="AA95" s="57">
        <v>1</v>
      </c>
      <c r="AB95" s="54" t="s">
        <v>2610</v>
      </c>
      <c r="AC95" s="54" t="s">
        <v>2539</v>
      </c>
      <c r="AD95" s="56" t="s">
        <v>2540</v>
      </c>
      <c r="AE95" s="56"/>
      <c r="AF95" s="81"/>
      <c r="AG95" s="83" t="s">
        <v>45</v>
      </c>
      <c r="AH95" s="81"/>
      <c r="AI95" s="84"/>
      <c r="AJ95" s="85"/>
      <c r="AK95" s="86"/>
      <c r="AL95" s="42"/>
    </row>
    <row r="96" spans="1:38" ht="15" customHeight="1">
      <c r="A96" s="69">
        <v>46175</v>
      </c>
      <c r="B96" s="70" t="str">
        <f t="shared" si="5"/>
        <v>06 A 18</v>
      </c>
      <c r="C96" s="71" t="str">
        <f t="shared" si="6"/>
        <v>12:00 a 14:00</v>
      </c>
      <c r="D96" s="56" t="s">
        <v>245</v>
      </c>
      <c r="E96" s="54">
        <v>2</v>
      </c>
      <c r="F96" s="77" t="s">
        <v>2547</v>
      </c>
      <c r="G96" s="77" t="s">
        <v>1637</v>
      </c>
      <c r="H96" s="73">
        <v>342410</v>
      </c>
      <c r="I96" s="70">
        <v>48303840</v>
      </c>
      <c r="J96" s="56" t="s">
        <v>2538</v>
      </c>
      <c r="K96" s="79" t="s">
        <v>174</v>
      </c>
      <c r="L96" s="77"/>
      <c r="M96" s="77"/>
      <c r="N96" s="77" t="s">
        <v>2529</v>
      </c>
      <c r="O96" s="77" t="s">
        <v>2736</v>
      </c>
      <c r="P96" s="78" t="s">
        <v>2541</v>
      </c>
      <c r="Q96" s="58">
        <v>0.56736111111111098</v>
      </c>
      <c r="R96" s="58">
        <v>0.58680555555555602</v>
      </c>
      <c r="S96" s="58">
        <v>0.56874999999999998</v>
      </c>
      <c r="T96" s="58" t="s">
        <v>2530</v>
      </c>
      <c r="U96" s="58" t="s">
        <v>2530</v>
      </c>
      <c r="V96" s="58" t="s">
        <v>2530</v>
      </c>
      <c r="W96" s="58" t="s">
        <v>2530</v>
      </c>
      <c r="X96" t="s">
        <v>2976</v>
      </c>
      <c r="Y96" s="57">
        <v>0</v>
      </c>
      <c r="Z96" s="57">
        <v>0</v>
      </c>
      <c r="AA96" s="57">
        <v>0</v>
      </c>
      <c r="AB96" s="54" t="s">
        <v>2542</v>
      </c>
      <c r="AC96" s="54" t="s">
        <v>2539</v>
      </c>
      <c r="AD96" s="56" t="s">
        <v>2540</v>
      </c>
      <c r="AE96" s="56"/>
      <c r="AF96" s="81"/>
      <c r="AG96" s="83" t="s">
        <v>45</v>
      </c>
      <c r="AH96" s="81"/>
      <c r="AI96" s="84"/>
      <c r="AJ96" s="85"/>
      <c r="AK96" s="86"/>
      <c r="AL96" s="42"/>
    </row>
    <row r="97" spans="1:38" ht="15" customHeight="1">
      <c r="A97" s="69">
        <v>46175</v>
      </c>
      <c r="B97" s="70" t="str">
        <f t="shared" si="5"/>
        <v>06 A 18</v>
      </c>
      <c r="C97" s="71" t="str">
        <f t="shared" si="6"/>
        <v>12:00 a 14:00</v>
      </c>
      <c r="D97" s="56" t="s">
        <v>245</v>
      </c>
      <c r="E97" s="54">
        <v>2</v>
      </c>
      <c r="F97" s="77" t="s">
        <v>164</v>
      </c>
      <c r="G97" s="77" t="s">
        <v>1909</v>
      </c>
      <c r="H97" s="73">
        <v>342121</v>
      </c>
      <c r="I97" s="70">
        <v>48303132</v>
      </c>
      <c r="J97" s="56" t="s">
        <v>2538</v>
      </c>
      <c r="K97" s="79" t="s">
        <v>146</v>
      </c>
      <c r="L97" s="77"/>
      <c r="M97" s="77"/>
      <c r="N97" s="77"/>
      <c r="O97" s="77" t="s">
        <v>2737</v>
      </c>
      <c r="P97" s="78" t="s">
        <v>2588</v>
      </c>
      <c r="Q97" s="58">
        <v>0.51180555555555551</v>
      </c>
      <c r="R97" s="58">
        <v>0.52291666666666703</v>
      </c>
      <c r="S97" s="58">
        <v>0.51944444444444504</v>
      </c>
      <c r="T97" s="58" t="s">
        <v>2530</v>
      </c>
      <c r="U97" s="58" t="s">
        <v>2530</v>
      </c>
      <c r="V97" s="58" t="s">
        <v>2530</v>
      </c>
      <c r="W97" s="58" t="s">
        <v>2530</v>
      </c>
      <c r="X97" t="s">
        <v>2977</v>
      </c>
      <c r="Y97" s="57">
        <v>0</v>
      </c>
      <c r="Z97" s="57">
        <v>0</v>
      </c>
      <c r="AA97" s="57">
        <v>0</v>
      </c>
      <c r="AB97" s="109" t="s">
        <v>2589</v>
      </c>
      <c r="AC97" s="54" t="s">
        <v>2539</v>
      </c>
      <c r="AD97" s="56" t="s">
        <v>2540</v>
      </c>
      <c r="AE97" s="56"/>
      <c r="AF97" s="81"/>
      <c r="AG97" s="83" t="s">
        <v>45</v>
      </c>
      <c r="AH97" s="81"/>
      <c r="AI97" s="96" t="s">
        <v>2788</v>
      </c>
      <c r="AJ97" s="85"/>
      <c r="AK97" s="86"/>
      <c r="AL97" s="42"/>
    </row>
    <row r="98" spans="1:38" ht="15" customHeight="1">
      <c r="A98" s="69">
        <v>46175</v>
      </c>
      <c r="B98" s="70" t="str">
        <f t="shared" si="5"/>
        <v>06 A 18</v>
      </c>
      <c r="C98" s="71" t="str">
        <f t="shared" si="6"/>
        <v>10:00 a 12:00</v>
      </c>
      <c r="D98" s="56" t="s">
        <v>245</v>
      </c>
      <c r="E98" s="54">
        <v>2</v>
      </c>
      <c r="F98" s="77" t="s">
        <v>164</v>
      </c>
      <c r="G98" s="77" t="s">
        <v>2667</v>
      </c>
      <c r="H98" s="73">
        <v>342133</v>
      </c>
      <c r="I98" s="70">
        <v>48302876</v>
      </c>
      <c r="J98" s="56" t="s">
        <v>2538</v>
      </c>
      <c r="K98" s="79" t="s">
        <v>87</v>
      </c>
      <c r="L98" s="77" t="s">
        <v>169</v>
      </c>
      <c r="M98" s="77"/>
      <c r="N98" s="77"/>
      <c r="O98" s="77" t="s">
        <v>2738</v>
      </c>
      <c r="P98" s="78" t="s">
        <v>2579</v>
      </c>
      <c r="Q98" s="58">
        <v>0.48749999999999999</v>
      </c>
      <c r="R98" s="58">
        <v>0.5</v>
      </c>
      <c r="S98" s="58">
        <v>0.48749999999999999</v>
      </c>
      <c r="T98" s="58" t="s">
        <v>2530</v>
      </c>
      <c r="U98" s="58" t="s">
        <v>2530</v>
      </c>
      <c r="V98" s="58" t="s">
        <v>2530</v>
      </c>
      <c r="W98" s="58" t="s">
        <v>2530</v>
      </c>
      <c r="X98" t="s">
        <v>2978</v>
      </c>
      <c r="Y98" s="57">
        <v>0</v>
      </c>
      <c r="Z98" s="57">
        <v>1</v>
      </c>
      <c r="AA98" s="57">
        <v>0</v>
      </c>
      <c r="AB98" s="109" t="s">
        <v>2629</v>
      </c>
      <c r="AC98" s="54" t="s">
        <v>2539</v>
      </c>
      <c r="AD98" s="56" t="s">
        <v>2540</v>
      </c>
      <c r="AE98" s="56"/>
      <c r="AF98" s="81"/>
      <c r="AG98" s="83" t="s">
        <v>62</v>
      </c>
      <c r="AH98" s="81"/>
      <c r="AI98" s="84"/>
      <c r="AJ98" s="85"/>
      <c r="AK98" s="86"/>
      <c r="AL98" s="42"/>
    </row>
    <row r="99" spans="1:38" ht="15" customHeight="1">
      <c r="A99" s="69">
        <v>46175</v>
      </c>
      <c r="B99" s="70" t="str">
        <f t="shared" si="5"/>
        <v>06 A 18</v>
      </c>
      <c r="C99" s="71" t="str">
        <f t="shared" si="6"/>
        <v>12:00 a 14:00</v>
      </c>
      <c r="D99" s="56" t="s">
        <v>245</v>
      </c>
      <c r="E99" s="54">
        <v>2</v>
      </c>
      <c r="F99" s="77" t="s">
        <v>217</v>
      </c>
      <c r="G99" s="77" t="s">
        <v>2156</v>
      </c>
      <c r="H99" s="73">
        <v>342603</v>
      </c>
      <c r="I99" s="70">
        <v>48304099</v>
      </c>
      <c r="J99" s="56" t="s">
        <v>2543</v>
      </c>
      <c r="K99" s="79" t="s">
        <v>153</v>
      </c>
      <c r="L99" s="77"/>
      <c r="M99" s="77"/>
      <c r="N99" s="77"/>
      <c r="O99" s="77" t="s">
        <v>2739</v>
      </c>
      <c r="P99" s="78" t="s">
        <v>2616</v>
      </c>
      <c r="Q99" s="58">
        <v>0.58263888888888882</v>
      </c>
      <c r="R99" s="58">
        <v>0.61111111111111105</v>
      </c>
      <c r="S99" s="58">
        <v>0.58263888888888904</v>
      </c>
      <c r="T99" s="58">
        <v>0.59097222222222201</v>
      </c>
      <c r="U99" s="58" t="s">
        <v>2530</v>
      </c>
      <c r="V99" s="58" t="s">
        <v>2530</v>
      </c>
      <c r="W99" s="58" t="s">
        <v>2530</v>
      </c>
      <c r="X99" t="s">
        <v>2979</v>
      </c>
      <c r="Y99" s="57">
        <v>0</v>
      </c>
      <c r="Z99" s="57">
        <v>0</v>
      </c>
      <c r="AA99" s="57">
        <v>0</v>
      </c>
      <c r="AB99" s="54" t="s">
        <v>2625</v>
      </c>
      <c r="AC99" s="54" t="s">
        <v>2539</v>
      </c>
      <c r="AD99" s="56" t="s">
        <v>2540</v>
      </c>
      <c r="AE99" s="56"/>
      <c r="AF99" s="81"/>
      <c r="AG99" s="83" t="s">
        <v>45</v>
      </c>
      <c r="AH99" s="81"/>
      <c r="AI99" s="84"/>
      <c r="AJ99" s="85"/>
      <c r="AK99" s="86"/>
      <c r="AL99" s="42"/>
    </row>
    <row r="100" spans="1:38" ht="15" customHeight="1">
      <c r="A100" s="69">
        <v>46175</v>
      </c>
      <c r="B100" s="70" t="str">
        <f t="shared" si="5"/>
        <v>06 A 18</v>
      </c>
      <c r="C100" s="71" t="str">
        <f t="shared" si="6"/>
        <v>14:00 a 16:00</v>
      </c>
      <c r="D100" s="56" t="s">
        <v>245</v>
      </c>
      <c r="E100" s="54">
        <v>2</v>
      </c>
      <c r="F100" s="77" t="s">
        <v>217</v>
      </c>
      <c r="G100" s="77" t="s">
        <v>886</v>
      </c>
      <c r="H100" s="73">
        <v>342671</v>
      </c>
      <c r="I100" s="70">
        <v>48304144</v>
      </c>
      <c r="J100" s="56" t="s">
        <v>2543</v>
      </c>
      <c r="K100" s="103" t="s">
        <v>87</v>
      </c>
      <c r="L100" s="103" t="s">
        <v>77</v>
      </c>
      <c r="M100" s="77"/>
      <c r="N100" s="77"/>
      <c r="O100" s="77" t="s">
        <v>2740</v>
      </c>
      <c r="P100" s="78" t="s">
        <v>2627</v>
      </c>
      <c r="Q100" s="58">
        <v>0.58472222222222203</v>
      </c>
      <c r="R100" s="58">
        <v>0.61805555555555602</v>
      </c>
      <c r="S100" s="58">
        <v>0.58680555555555602</v>
      </c>
      <c r="T100" s="58">
        <v>0.59375</v>
      </c>
      <c r="U100" s="58" t="s">
        <v>2530</v>
      </c>
      <c r="V100" s="58" t="s">
        <v>2530</v>
      </c>
      <c r="W100" s="58" t="s">
        <v>2530</v>
      </c>
      <c r="X100" t="s">
        <v>2980</v>
      </c>
      <c r="Y100" s="57">
        <v>0</v>
      </c>
      <c r="Z100" s="57">
        <v>1</v>
      </c>
      <c r="AA100" s="57">
        <v>1</v>
      </c>
      <c r="AB100" s="54" t="s">
        <v>2601</v>
      </c>
      <c r="AC100" s="54" t="s">
        <v>2539</v>
      </c>
      <c r="AD100" s="56" t="s">
        <v>2540</v>
      </c>
      <c r="AE100" s="56"/>
      <c r="AF100" s="107" t="s">
        <v>2801</v>
      </c>
      <c r="AG100" s="83" t="s">
        <v>62</v>
      </c>
      <c r="AH100" s="107" t="s">
        <v>45</v>
      </c>
      <c r="AI100" s="110" t="s">
        <v>2802</v>
      </c>
      <c r="AJ100" s="85"/>
      <c r="AK100" s="86"/>
      <c r="AL100" s="42"/>
    </row>
    <row r="101" spans="1:38" ht="15" customHeight="1">
      <c r="A101" s="69">
        <v>46175</v>
      </c>
      <c r="B101" s="70" t="str">
        <f t="shared" si="5"/>
        <v>06 A 18</v>
      </c>
      <c r="C101" s="71" t="str">
        <f t="shared" si="6"/>
        <v>14:00 a 16:00</v>
      </c>
      <c r="D101" s="56" t="s">
        <v>245</v>
      </c>
      <c r="E101" s="54">
        <v>2</v>
      </c>
      <c r="F101" s="77" t="s">
        <v>217</v>
      </c>
      <c r="G101" s="77" t="s">
        <v>514</v>
      </c>
      <c r="H101" s="73">
        <v>342554</v>
      </c>
      <c r="I101" s="70">
        <v>48304321</v>
      </c>
      <c r="J101" s="56" t="s">
        <v>2543</v>
      </c>
      <c r="K101" s="103" t="s">
        <v>87</v>
      </c>
      <c r="L101" s="103" t="s">
        <v>77</v>
      </c>
      <c r="M101" s="77"/>
      <c r="N101" s="77"/>
      <c r="O101" s="77" t="s">
        <v>2741</v>
      </c>
      <c r="P101" s="78" t="s">
        <v>2612</v>
      </c>
      <c r="Q101" s="58">
        <v>0.60347222222222197</v>
      </c>
      <c r="R101" s="58"/>
      <c r="S101" s="58">
        <v>0.60347222222222219</v>
      </c>
      <c r="T101" s="58">
        <v>0.61111111111111105</v>
      </c>
      <c r="U101" s="58" t="s">
        <v>2530</v>
      </c>
      <c r="V101" s="58" t="s">
        <v>2530</v>
      </c>
      <c r="W101" s="58" t="s">
        <v>2530</v>
      </c>
      <c r="X101" t="s">
        <v>2981</v>
      </c>
      <c r="Y101" s="57">
        <v>0</v>
      </c>
      <c r="Z101" s="57">
        <v>1</v>
      </c>
      <c r="AA101" s="57">
        <v>0</v>
      </c>
      <c r="AB101" s="54" t="s">
        <v>2613</v>
      </c>
      <c r="AC101" s="54" t="s">
        <v>2539</v>
      </c>
      <c r="AD101" s="56" t="s">
        <v>2540</v>
      </c>
      <c r="AE101" s="56"/>
      <c r="AF101" s="81"/>
      <c r="AG101" s="83" t="s">
        <v>62</v>
      </c>
      <c r="AH101" s="81"/>
      <c r="AI101" s="84"/>
      <c r="AJ101" s="85"/>
      <c r="AK101" s="86"/>
      <c r="AL101" s="42"/>
    </row>
    <row r="102" spans="1:38" ht="15" customHeight="1">
      <c r="A102" s="69">
        <v>46175</v>
      </c>
      <c r="B102" s="70" t="str">
        <f t="shared" si="5"/>
        <v>06 A 18</v>
      </c>
      <c r="C102" s="71" t="str">
        <f t="shared" si="6"/>
        <v>12:00 a 14:00</v>
      </c>
      <c r="D102" s="56" t="s">
        <v>245</v>
      </c>
      <c r="E102" s="54">
        <v>2</v>
      </c>
      <c r="F102" s="77" t="s">
        <v>217</v>
      </c>
      <c r="G102" s="77" t="s">
        <v>439</v>
      </c>
      <c r="H102" s="73">
        <v>342506</v>
      </c>
      <c r="I102" s="70">
        <v>48304030</v>
      </c>
      <c r="J102" s="56" t="s">
        <v>2543</v>
      </c>
      <c r="K102" s="79" t="s">
        <v>87</v>
      </c>
      <c r="L102" s="77" t="s">
        <v>174</v>
      </c>
      <c r="M102" s="77"/>
      <c r="N102" s="77"/>
      <c r="O102" s="77" t="s">
        <v>2742</v>
      </c>
      <c r="P102" s="78" t="s">
        <v>2616</v>
      </c>
      <c r="Q102" s="58">
        <v>0.57986111111111105</v>
      </c>
      <c r="R102" s="58"/>
      <c r="S102" s="58">
        <v>0.59236111111111101</v>
      </c>
      <c r="T102" s="58" t="s">
        <v>2530</v>
      </c>
      <c r="U102" s="58" t="s">
        <v>2530</v>
      </c>
      <c r="V102" s="58" t="s">
        <v>2530</v>
      </c>
      <c r="W102" s="58" t="s">
        <v>2530</v>
      </c>
      <c r="X102" t="s">
        <v>2982</v>
      </c>
      <c r="Y102" s="57">
        <v>0</v>
      </c>
      <c r="Z102" s="57">
        <v>1</v>
      </c>
      <c r="AA102" s="57">
        <v>0</v>
      </c>
      <c r="AB102" s="54" t="s">
        <v>2625</v>
      </c>
      <c r="AC102" s="54" t="s">
        <v>2539</v>
      </c>
      <c r="AD102" s="56" t="s">
        <v>2540</v>
      </c>
      <c r="AE102" s="56"/>
      <c r="AF102" s="107" t="s">
        <v>2803</v>
      </c>
      <c r="AG102" s="83" t="s">
        <v>62</v>
      </c>
      <c r="AH102" s="81"/>
      <c r="AI102" s="110" t="s">
        <v>2804</v>
      </c>
      <c r="AJ102" s="85"/>
      <c r="AK102" s="86"/>
      <c r="AL102" s="42"/>
    </row>
    <row r="103" spans="1:38" ht="15" customHeight="1">
      <c r="A103" s="69">
        <v>46175</v>
      </c>
      <c r="B103" s="70" t="str">
        <f t="shared" si="5"/>
        <v>06 A 18</v>
      </c>
      <c r="C103" s="71" t="str">
        <f t="shared" si="6"/>
        <v>14:00 a 16:00</v>
      </c>
      <c r="D103" s="56" t="s">
        <v>245</v>
      </c>
      <c r="E103" s="54">
        <v>2</v>
      </c>
      <c r="F103" s="77" t="s">
        <v>2550</v>
      </c>
      <c r="G103" s="77" t="s">
        <v>1627</v>
      </c>
      <c r="H103" s="73">
        <v>342701</v>
      </c>
      <c r="I103" s="70">
        <v>48304301</v>
      </c>
      <c r="J103" s="56" t="s">
        <v>2538</v>
      </c>
      <c r="K103" s="79" t="s">
        <v>2532</v>
      </c>
      <c r="L103" s="77"/>
      <c r="M103" s="77"/>
      <c r="N103" s="77"/>
      <c r="O103" s="77" t="s">
        <v>2743</v>
      </c>
      <c r="P103" s="78" t="s">
        <v>2577</v>
      </c>
      <c r="Q103" s="58">
        <v>0.60069444444444398</v>
      </c>
      <c r="R103" s="58">
        <v>0.61111111111111105</v>
      </c>
      <c r="S103" s="58">
        <v>0.60208333333333297</v>
      </c>
      <c r="T103" s="58" t="s">
        <v>2530</v>
      </c>
      <c r="U103" s="58" t="s">
        <v>2530</v>
      </c>
      <c r="V103" s="58" t="s">
        <v>2530</v>
      </c>
      <c r="W103" s="58" t="s">
        <v>2530</v>
      </c>
      <c r="X103" t="s">
        <v>2983</v>
      </c>
      <c r="Y103" s="57">
        <v>0</v>
      </c>
      <c r="Z103" s="57">
        <v>0</v>
      </c>
      <c r="AA103" s="57">
        <v>0</v>
      </c>
      <c r="AB103" s="54" t="s">
        <v>2620</v>
      </c>
      <c r="AC103" s="54" t="s">
        <v>2539</v>
      </c>
      <c r="AD103" s="56" t="s">
        <v>2540</v>
      </c>
      <c r="AE103" s="56"/>
      <c r="AF103" s="81"/>
      <c r="AG103" s="83" t="s">
        <v>45</v>
      </c>
      <c r="AH103" s="81"/>
      <c r="AI103" s="84"/>
      <c r="AJ103" s="85"/>
      <c r="AK103" s="104" t="s">
        <v>2792</v>
      </c>
      <c r="AL103" s="42"/>
    </row>
    <row r="104" spans="1:38" ht="15" customHeight="1">
      <c r="A104" s="69">
        <v>46175</v>
      </c>
      <c r="B104" s="70" t="str">
        <f t="shared" si="5"/>
        <v>06 A 18</v>
      </c>
      <c r="C104" s="71" t="str">
        <f t="shared" si="6"/>
        <v>14:00 a 16:00</v>
      </c>
      <c r="D104" s="56" t="s">
        <v>245</v>
      </c>
      <c r="E104" s="54">
        <v>2</v>
      </c>
      <c r="F104" s="77" t="s">
        <v>2546</v>
      </c>
      <c r="G104" s="77" t="s">
        <v>693</v>
      </c>
      <c r="H104" s="73">
        <v>342396</v>
      </c>
      <c r="I104" s="70">
        <v>48304354</v>
      </c>
      <c r="J104" s="56" t="s">
        <v>2544</v>
      </c>
      <c r="K104" s="79" t="s">
        <v>104</v>
      </c>
      <c r="L104" s="77"/>
      <c r="M104" s="77"/>
      <c r="N104" s="77"/>
      <c r="O104" s="77" t="s">
        <v>2744</v>
      </c>
      <c r="P104" s="78" t="s">
        <v>2571</v>
      </c>
      <c r="Q104" s="58">
        <v>0.60763888888888895</v>
      </c>
      <c r="R104" s="58">
        <v>0.62847222222222199</v>
      </c>
      <c r="S104" s="58">
        <v>0.61041666666666705</v>
      </c>
      <c r="T104" s="58" t="s">
        <v>2530</v>
      </c>
      <c r="U104" s="58">
        <v>0.61666666666666703</v>
      </c>
      <c r="V104" s="58" t="s">
        <v>2530</v>
      </c>
      <c r="W104" s="58" t="s">
        <v>2530</v>
      </c>
      <c r="X104" t="s">
        <v>2984</v>
      </c>
      <c r="Y104" s="57">
        <v>0</v>
      </c>
      <c r="Z104" s="57">
        <v>0</v>
      </c>
      <c r="AA104" s="57">
        <v>0</v>
      </c>
      <c r="AB104" s="54" t="s">
        <v>2572</v>
      </c>
      <c r="AC104" s="54" t="s">
        <v>2539</v>
      </c>
      <c r="AD104" s="56" t="s">
        <v>2540</v>
      </c>
      <c r="AE104" s="56"/>
      <c r="AF104" s="81"/>
      <c r="AG104" s="83" t="s">
        <v>45</v>
      </c>
      <c r="AH104" s="81"/>
      <c r="AI104" s="84"/>
      <c r="AJ104" s="85"/>
      <c r="AK104" s="86"/>
      <c r="AL104" s="42"/>
    </row>
    <row r="105" spans="1:38" ht="15" customHeight="1">
      <c r="A105" s="69">
        <v>46175</v>
      </c>
      <c r="B105" s="70" t="str">
        <f t="shared" si="5"/>
        <v>06 A 18</v>
      </c>
      <c r="C105" s="71" t="str">
        <f t="shared" si="6"/>
        <v>12:00 a 14:00</v>
      </c>
      <c r="D105" s="56" t="s">
        <v>245</v>
      </c>
      <c r="E105" s="54">
        <v>2</v>
      </c>
      <c r="F105" s="77" t="s">
        <v>164</v>
      </c>
      <c r="G105" s="77" t="s">
        <v>652</v>
      </c>
      <c r="H105" s="73">
        <v>342251</v>
      </c>
      <c r="I105" s="70">
        <v>48303776</v>
      </c>
      <c r="J105" s="56" t="s">
        <v>2538</v>
      </c>
      <c r="K105" s="103" t="s">
        <v>87</v>
      </c>
      <c r="L105" s="103" t="s">
        <v>77</v>
      </c>
      <c r="M105" s="77"/>
      <c r="N105" s="77"/>
      <c r="O105" s="77" t="s">
        <v>2745</v>
      </c>
      <c r="P105" s="78" t="s">
        <v>2562</v>
      </c>
      <c r="Q105" s="58">
        <v>0.56111111111111101</v>
      </c>
      <c r="R105" s="58">
        <v>0.58888888888888902</v>
      </c>
      <c r="S105" s="58">
        <v>0.56111111111111101</v>
      </c>
      <c r="T105" s="58">
        <v>0.56388888888888899</v>
      </c>
      <c r="U105" s="58" t="s">
        <v>2530</v>
      </c>
      <c r="V105" s="58" t="s">
        <v>2530</v>
      </c>
      <c r="W105" s="58" t="s">
        <v>2530</v>
      </c>
      <c r="X105" t="s">
        <v>2985</v>
      </c>
      <c r="Y105" s="57">
        <v>0</v>
      </c>
      <c r="Z105" s="57">
        <v>0</v>
      </c>
      <c r="AA105" s="57">
        <v>0</v>
      </c>
      <c r="AB105" s="54" t="s">
        <v>2580</v>
      </c>
      <c r="AC105" s="54" t="s">
        <v>2539</v>
      </c>
      <c r="AD105" s="56" t="s">
        <v>2540</v>
      </c>
      <c r="AE105" s="56"/>
      <c r="AF105" s="81"/>
      <c r="AG105" s="83" t="s">
        <v>45</v>
      </c>
      <c r="AH105" s="81"/>
      <c r="AI105" s="84"/>
      <c r="AJ105" s="85"/>
      <c r="AK105" s="86"/>
      <c r="AL105" s="42"/>
    </row>
    <row r="106" spans="1:38" ht="15" customHeight="1">
      <c r="A106" s="69">
        <v>46175</v>
      </c>
      <c r="B106" s="70" t="str">
        <f t="shared" si="5"/>
        <v>06 A 18</v>
      </c>
      <c r="C106" s="71" t="str">
        <f t="shared" si="6"/>
        <v>14:00 a 16:00</v>
      </c>
      <c r="D106" s="56" t="s">
        <v>245</v>
      </c>
      <c r="E106" s="54">
        <v>2</v>
      </c>
      <c r="F106" s="77" t="s">
        <v>164</v>
      </c>
      <c r="G106" s="77" t="s">
        <v>389</v>
      </c>
      <c r="H106" s="73">
        <v>342352</v>
      </c>
      <c r="I106" s="70">
        <v>48304231</v>
      </c>
      <c r="J106" s="56" t="s">
        <v>2538</v>
      </c>
      <c r="K106" s="79" t="s">
        <v>87</v>
      </c>
      <c r="L106" s="103" t="s">
        <v>186</v>
      </c>
      <c r="M106" s="77"/>
      <c r="N106" s="77"/>
      <c r="O106" s="77" t="s">
        <v>2746</v>
      </c>
      <c r="P106" s="78" t="s">
        <v>2557</v>
      </c>
      <c r="Q106" s="58">
        <v>0.59097222222222201</v>
      </c>
      <c r="R106" s="58">
        <v>0.60416666666666696</v>
      </c>
      <c r="S106" s="58">
        <v>0.59097222222222201</v>
      </c>
      <c r="T106" s="58">
        <v>0.59513888888888899</v>
      </c>
      <c r="U106" s="58" t="s">
        <v>2530</v>
      </c>
      <c r="V106" s="58" t="s">
        <v>2530</v>
      </c>
      <c r="W106" s="58" t="s">
        <v>2530</v>
      </c>
      <c r="X106" t="s">
        <v>2986</v>
      </c>
      <c r="Y106" s="57">
        <v>0</v>
      </c>
      <c r="Z106" s="57">
        <v>0</v>
      </c>
      <c r="AA106" s="57">
        <v>0</v>
      </c>
      <c r="AB106" s="54" t="s">
        <v>2601</v>
      </c>
      <c r="AC106" s="54" t="s">
        <v>2539</v>
      </c>
      <c r="AD106" s="56" t="s">
        <v>2540</v>
      </c>
      <c r="AE106" s="56"/>
      <c r="AF106" s="81"/>
      <c r="AG106" s="83" t="s">
        <v>45</v>
      </c>
      <c r="AH106" s="81"/>
      <c r="AI106" s="84"/>
      <c r="AJ106" s="85"/>
      <c r="AK106" s="86"/>
      <c r="AL106" s="42"/>
    </row>
    <row r="107" spans="1:38" ht="15" customHeight="1">
      <c r="A107" s="69">
        <v>46175</v>
      </c>
      <c r="B107" s="70" t="str">
        <f t="shared" si="5"/>
        <v>06 A 18</v>
      </c>
      <c r="C107" s="71" t="str">
        <f t="shared" si="6"/>
        <v>14:00 a 16:00</v>
      </c>
      <c r="D107" s="56" t="s">
        <v>245</v>
      </c>
      <c r="E107" s="54">
        <v>2</v>
      </c>
      <c r="F107" s="77" t="s">
        <v>2545</v>
      </c>
      <c r="G107" s="77" t="s">
        <v>494</v>
      </c>
      <c r="H107" s="73">
        <v>342621</v>
      </c>
      <c r="I107" s="70">
        <v>48304683</v>
      </c>
      <c r="J107" s="56" t="s">
        <v>2538</v>
      </c>
      <c r="K107" s="79" t="s">
        <v>146</v>
      </c>
      <c r="L107" s="77"/>
      <c r="M107" s="77"/>
      <c r="N107" s="77"/>
      <c r="O107" s="77" t="s">
        <v>2747</v>
      </c>
      <c r="P107" s="78" t="s">
        <v>2565</v>
      </c>
      <c r="Q107" s="58">
        <v>0.63333333333333297</v>
      </c>
      <c r="R107" s="58">
        <v>0.65972222222222221</v>
      </c>
      <c r="S107" s="58">
        <v>0.63333333333333297</v>
      </c>
      <c r="T107" s="58" t="s">
        <v>2530</v>
      </c>
      <c r="U107" s="58" t="s">
        <v>2530</v>
      </c>
      <c r="V107" s="58" t="s">
        <v>2530</v>
      </c>
      <c r="W107" s="58" t="s">
        <v>2530</v>
      </c>
      <c r="X107" t="s">
        <v>2987</v>
      </c>
      <c r="Y107" s="57">
        <v>0</v>
      </c>
      <c r="Z107" s="57">
        <v>0</v>
      </c>
      <c r="AA107" s="57">
        <v>0</v>
      </c>
      <c r="AB107" s="54" t="s">
        <v>2566</v>
      </c>
      <c r="AC107" s="54" t="s">
        <v>2539</v>
      </c>
      <c r="AD107" s="56" t="s">
        <v>2540</v>
      </c>
      <c r="AE107" s="56"/>
      <c r="AF107" s="81"/>
      <c r="AG107" s="83" t="s">
        <v>45</v>
      </c>
      <c r="AH107" s="81"/>
      <c r="AI107" s="84"/>
      <c r="AJ107" s="85"/>
      <c r="AK107" s="86"/>
      <c r="AL107" s="42"/>
    </row>
    <row r="108" spans="1:38" ht="15" customHeight="1">
      <c r="A108" s="69">
        <v>46175</v>
      </c>
      <c r="B108" s="70" t="str">
        <f t="shared" si="5"/>
        <v>06 A 18</v>
      </c>
      <c r="C108" s="71" t="str">
        <f t="shared" si="6"/>
        <v>14:00 a 16:00</v>
      </c>
      <c r="D108" s="56" t="s">
        <v>245</v>
      </c>
      <c r="E108" s="54">
        <v>2</v>
      </c>
      <c r="F108" s="77" t="s">
        <v>164</v>
      </c>
      <c r="G108" s="77" t="s">
        <v>213</v>
      </c>
      <c r="H108" s="73">
        <v>342346</v>
      </c>
      <c r="I108" s="70">
        <v>48304664</v>
      </c>
      <c r="J108" s="56" t="s">
        <v>2538</v>
      </c>
      <c r="K108" s="79" t="s">
        <v>153</v>
      </c>
      <c r="L108" s="77"/>
      <c r="M108" s="77"/>
      <c r="N108" s="77"/>
      <c r="O108" s="77" t="s">
        <v>2748</v>
      </c>
      <c r="P108" s="78" t="s">
        <v>2590</v>
      </c>
      <c r="Q108" s="58">
        <v>0.62708333333333299</v>
      </c>
      <c r="R108" s="58">
        <v>0.63055555555555598</v>
      </c>
      <c r="S108" s="58" t="s">
        <v>2530</v>
      </c>
      <c r="T108" s="58" t="s">
        <v>2530</v>
      </c>
      <c r="U108" s="58" t="s">
        <v>2530</v>
      </c>
      <c r="V108" s="58" t="s">
        <v>2530</v>
      </c>
      <c r="W108" s="58" t="s">
        <v>2530</v>
      </c>
      <c r="X108" t="s">
        <v>2988</v>
      </c>
      <c r="Y108" s="57">
        <v>0</v>
      </c>
      <c r="Z108" s="57">
        <v>0</v>
      </c>
      <c r="AA108" s="57">
        <v>0</v>
      </c>
      <c r="AB108" s="54" t="s">
        <v>2591</v>
      </c>
      <c r="AC108" s="54" t="s">
        <v>2539</v>
      </c>
      <c r="AD108" s="56" t="s">
        <v>2564</v>
      </c>
      <c r="AE108" s="56"/>
      <c r="AF108" s="81"/>
      <c r="AG108" s="83" t="s">
        <v>45</v>
      </c>
      <c r="AH108" s="81"/>
      <c r="AI108" s="84"/>
      <c r="AJ108" s="85"/>
      <c r="AK108" s="86"/>
      <c r="AL108" s="42"/>
    </row>
    <row r="109" spans="1:38" ht="15" customHeight="1">
      <c r="A109" s="69">
        <v>46175</v>
      </c>
      <c r="B109" s="70" t="str">
        <f t="shared" si="5"/>
        <v>06 A 18</v>
      </c>
      <c r="C109" s="71" t="str">
        <f t="shared" si="6"/>
        <v>14:00 a 16:00</v>
      </c>
      <c r="D109" s="56" t="s">
        <v>245</v>
      </c>
      <c r="E109" s="54">
        <v>2</v>
      </c>
      <c r="F109" s="77" t="s">
        <v>2548</v>
      </c>
      <c r="G109" s="77" t="s">
        <v>2219</v>
      </c>
      <c r="H109" s="73">
        <v>342522</v>
      </c>
      <c r="I109" s="70">
        <v>48304809</v>
      </c>
      <c r="J109" s="56" t="s">
        <v>2538</v>
      </c>
      <c r="K109" s="79" t="s">
        <v>87</v>
      </c>
      <c r="L109" s="77" t="s">
        <v>169</v>
      </c>
      <c r="M109" s="77" t="s">
        <v>61</v>
      </c>
      <c r="N109" s="77"/>
      <c r="O109" s="77" t="s">
        <v>2749</v>
      </c>
      <c r="P109" s="78" t="s">
        <v>2562</v>
      </c>
      <c r="Q109" s="58">
        <v>0.63680555555555596</v>
      </c>
      <c r="R109" s="58">
        <v>0.66041666666666698</v>
      </c>
      <c r="S109" s="58">
        <v>0.63402777777777797</v>
      </c>
      <c r="T109" s="58" t="s">
        <v>2530</v>
      </c>
      <c r="U109" s="58" t="s">
        <v>2530</v>
      </c>
      <c r="V109" s="58" t="s">
        <v>2530</v>
      </c>
      <c r="W109" s="58" t="s">
        <v>2530</v>
      </c>
      <c r="X109" t="s">
        <v>2989</v>
      </c>
      <c r="Y109" s="57">
        <v>0</v>
      </c>
      <c r="Z109" s="57">
        <v>1</v>
      </c>
      <c r="AA109" s="57">
        <v>0</v>
      </c>
      <c r="AB109" s="54" t="s">
        <v>2580</v>
      </c>
      <c r="AC109" s="54" t="s">
        <v>2539</v>
      </c>
      <c r="AD109" s="56" t="s">
        <v>2540</v>
      </c>
      <c r="AE109" s="56"/>
      <c r="AF109" s="107" t="s">
        <v>2576</v>
      </c>
      <c r="AG109" s="83" t="s">
        <v>62</v>
      </c>
      <c r="AH109" s="81"/>
      <c r="AI109" s="84"/>
      <c r="AJ109" s="85"/>
      <c r="AK109" s="86"/>
      <c r="AL109" s="42"/>
    </row>
    <row r="110" spans="1:38" ht="15" customHeight="1">
      <c r="A110" s="69">
        <v>46175</v>
      </c>
      <c r="B110" s="70" t="str">
        <f t="shared" si="5"/>
        <v>06 A 18</v>
      </c>
      <c r="C110" s="71" t="str">
        <f t="shared" si="6"/>
        <v>14:00 a 16:00</v>
      </c>
      <c r="D110" s="56" t="s">
        <v>245</v>
      </c>
      <c r="E110" s="54">
        <v>2</v>
      </c>
      <c r="F110" s="77" t="s">
        <v>2548</v>
      </c>
      <c r="G110" s="77" t="s">
        <v>2231</v>
      </c>
      <c r="H110" s="73">
        <v>342504</v>
      </c>
      <c r="I110" s="70">
        <v>48304279</v>
      </c>
      <c r="J110" s="56" t="s">
        <v>2538</v>
      </c>
      <c r="K110" s="79" t="s">
        <v>87</v>
      </c>
      <c r="L110" s="103" t="s">
        <v>186</v>
      </c>
      <c r="M110" s="77"/>
      <c r="N110" s="77"/>
      <c r="O110" s="77" t="s">
        <v>2750</v>
      </c>
      <c r="P110" s="78" t="s">
        <v>2577</v>
      </c>
      <c r="Q110" s="58">
        <v>0.62152777777777801</v>
      </c>
      <c r="R110" s="58">
        <v>0.65763888888888899</v>
      </c>
      <c r="S110" s="58">
        <v>0.62152777777777801</v>
      </c>
      <c r="T110" s="58">
        <v>0.64930555555555602</v>
      </c>
      <c r="U110" s="58" t="s">
        <v>2530</v>
      </c>
      <c r="V110" s="58" t="s">
        <v>2530</v>
      </c>
      <c r="W110" s="58" t="s">
        <v>2530</v>
      </c>
      <c r="X110" t="s">
        <v>2990</v>
      </c>
      <c r="Y110" s="57">
        <v>0</v>
      </c>
      <c r="Z110" s="57">
        <v>0</v>
      </c>
      <c r="AA110" s="57">
        <v>1</v>
      </c>
      <c r="AB110" s="54" t="s">
        <v>2578</v>
      </c>
      <c r="AC110" s="54" t="s">
        <v>2539</v>
      </c>
      <c r="AD110" s="56" t="s">
        <v>2540</v>
      </c>
      <c r="AE110" s="56"/>
      <c r="AF110" s="81"/>
      <c r="AG110" s="83" t="s">
        <v>45</v>
      </c>
      <c r="AH110" s="81"/>
      <c r="AI110" s="84"/>
      <c r="AJ110" s="85"/>
      <c r="AK110" s="86"/>
      <c r="AL110" s="42"/>
    </row>
    <row r="111" spans="1:38" ht="15" customHeight="1">
      <c r="A111" s="69">
        <v>46175</v>
      </c>
      <c r="B111" s="70" t="str">
        <f t="shared" si="5"/>
        <v>06 A 18</v>
      </c>
      <c r="C111" s="71" t="str">
        <f t="shared" si="6"/>
        <v>14:00 a 16:00</v>
      </c>
      <c r="D111" s="56" t="s">
        <v>245</v>
      </c>
      <c r="E111" s="54">
        <v>2</v>
      </c>
      <c r="F111" s="77" t="s">
        <v>2547</v>
      </c>
      <c r="G111" s="77" t="s">
        <v>674</v>
      </c>
      <c r="H111" s="73">
        <v>342406</v>
      </c>
      <c r="I111" s="70">
        <v>48304476</v>
      </c>
      <c r="J111" s="56" t="s">
        <v>2538</v>
      </c>
      <c r="K111" s="79" t="s">
        <v>87</v>
      </c>
      <c r="L111" s="103" t="s">
        <v>186</v>
      </c>
      <c r="M111" s="77"/>
      <c r="N111" s="77"/>
      <c r="O111" s="77" t="s">
        <v>2751</v>
      </c>
      <c r="P111" s="78" t="s">
        <v>2752</v>
      </c>
      <c r="Q111" s="58">
        <v>0.61250000000000004</v>
      </c>
      <c r="R111" s="58">
        <v>0.64722222222222203</v>
      </c>
      <c r="S111" s="58" t="s">
        <v>2530</v>
      </c>
      <c r="T111" s="58" t="s">
        <v>2530</v>
      </c>
      <c r="U111" s="58" t="s">
        <v>2530</v>
      </c>
      <c r="V111" s="58" t="s">
        <v>2530</v>
      </c>
      <c r="W111" s="58" t="s">
        <v>2530</v>
      </c>
      <c r="X111" t="s">
        <v>2991</v>
      </c>
      <c r="Y111" s="57">
        <v>0</v>
      </c>
      <c r="Z111" s="57">
        <v>0</v>
      </c>
      <c r="AA111" s="57">
        <v>0</v>
      </c>
      <c r="AB111" s="54" t="s">
        <v>2623</v>
      </c>
      <c r="AC111" s="54" t="s">
        <v>2539</v>
      </c>
      <c r="AD111" s="56" t="s">
        <v>2540</v>
      </c>
      <c r="AE111" s="56"/>
      <c r="AF111" s="81"/>
      <c r="AG111" s="83" t="s">
        <v>45</v>
      </c>
      <c r="AH111" s="81"/>
      <c r="AI111" s="84"/>
      <c r="AJ111" s="85"/>
      <c r="AK111" s="86"/>
      <c r="AL111" s="42"/>
    </row>
    <row r="112" spans="1:38" ht="15" customHeight="1">
      <c r="A112" s="69">
        <v>46175</v>
      </c>
      <c r="B112" s="70" t="str">
        <f t="shared" si="5"/>
        <v>06 A 18</v>
      </c>
      <c r="C112" s="71" t="str">
        <f t="shared" si="6"/>
        <v>12:00 a 14:00</v>
      </c>
      <c r="D112" s="56" t="s">
        <v>245</v>
      </c>
      <c r="E112" s="54">
        <v>2</v>
      </c>
      <c r="F112" s="77" t="s">
        <v>2545</v>
      </c>
      <c r="G112" s="77" t="s">
        <v>1245</v>
      </c>
      <c r="H112" s="73">
        <v>342372</v>
      </c>
      <c r="I112" s="70">
        <v>48304206</v>
      </c>
      <c r="J112" s="56" t="s">
        <v>2538</v>
      </c>
      <c r="K112" s="103" t="s">
        <v>87</v>
      </c>
      <c r="L112" s="103" t="s">
        <v>77</v>
      </c>
      <c r="M112" s="77"/>
      <c r="N112" s="77"/>
      <c r="O112" s="77" t="s">
        <v>2753</v>
      </c>
      <c r="P112" s="78" t="s">
        <v>2754</v>
      </c>
      <c r="Q112" s="58">
        <v>0.58194444444444504</v>
      </c>
      <c r="R112" s="58">
        <v>0.60347222222222197</v>
      </c>
      <c r="S112" s="58">
        <v>0.63888888888888895</v>
      </c>
      <c r="T112" s="58" t="s">
        <v>2530</v>
      </c>
      <c r="U112" s="58" t="s">
        <v>2530</v>
      </c>
      <c r="V112" s="58" t="s">
        <v>2530</v>
      </c>
      <c r="W112" s="58" t="s">
        <v>2530</v>
      </c>
      <c r="X112" t="s">
        <v>2992</v>
      </c>
      <c r="Y112" s="57">
        <v>0</v>
      </c>
      <c r="Z112" s="57">
        <v>0</v>
      </c>
      <c r="AA112" s="57">
        <v>0</v>
      </c>
      <c r="AB112" s="54" t="s">
        <v>2555</v>
      </c>
      <c r="AC112" s="54" t="s">
        <v>2539</v>
      </c>
      <c r="AD112" s="56" t="s">
        <v>2540</v>
      </c>
      <c r="AE112" s="56"/>
      <c r="AF112" s="81"/>
      <c r="AG112" s="83" t="s">
        <v>45</v>
      </c>
      <c r="AH112" s="81"/>
      <c r="AI112" s="84"/>
      <c r="AJ112" s="85"/>
      <c r="AK112" s="86"/>
      <c r="AL112" s="42"/>
    </row>
    <row r="113" spans="1:38" ht="15" customHeight="1">
      <c r="A113" s="69">
        <v>46175</v>
      </c>
      <c r="B113" s="70" t="str">
        <f t="shared" si="5"/>
        <v>06 A 18</v>
      </c>
      <c r="C113" s="71" t="str">
        <f t="shared" si="6"/>
        <v>14:00 a 16:00</v>
      </c>
      <c r="D113" s="56" t="s">
        <v>245</v>
      </c>
      <c r="E113" s="54">
        <v>2</v>
      </c>
      <c r="F113" s="77" t="s">
        <v>164</v>
      </c>
      <c r="G113" s="77" t="s">
        <v>2342</v>
      </c>
      <c r="H113" s="73">
        <v>342572</v>
      </c>
      <c r="I113" s="70">
        <v>48304990</v>
      </c>
      <c r="J113" s="56" t="s">
        <v>2538</v>
      </c>
      <c r="K113" s="79" t="s">
        <v>87</v>
      </c>
      <c r="L113" s="103" t="s">
        <v>77</v>
      </c>
      <c r="M113" s="103" t="s">
        <v>131</v>
      </c>
      <c r="N113" s="77"/>
      <c r="O113" s="77" t="s">
        <v>2755</v>
      </c>
      <c r="P113" s="78" t="s">
        <v>2560</v>
      </c>
      <c r="Q113" s="58">
        <v>0.64791666666666703</v>
      </c>
      <c r="R113" s="58">
        <v>0.69236111111111098</v>
      </c>
      <c r="S113" s="58">
        <v>0.64791666666666703</v>
      </c>
      <c r="T113" s="58">
        <v>0.655555555555556</v>
      </c>
      <c r="U113" s="58" t="s">
        <v>2530</v>
      </c>
      <c r="V113" s="58" t="s">
        <v>2530</v>
      </c>
      <c r="W113" s="58" t="s">
        <v>2530</v>
      </c>
      <c r="X113" t="s">
        <v>2993</v>
      </c>
      <c r="Y113" s="57">
        <v>0</v>
      </c>
      <c r="Z113" s="57">
        <v>1</v>
      </c>
      <c r="AA113" s="57">
        <v>0</v>
      </c>
      <c r="AB113" s="54" t="s">
        <v>2587</v>
      </c>
      <c r="AC113" s="54" t="s">
        <v>2539</v>
      </c>
      <c r="AD113" s="56" t="s">
        <v>2540</v>
      </c>
      <c r="AE113" s="56"/>
      <c r="AF113" s="107" t="s">
        <v>2803</v>
      </c>
      <c r="AG113" s="83" t="s">
        <v>62</v>
      </c>
      <c r="AH113" s="107" t="s">
        <v>45</v>
      </c>
      <c r="AI113" s="84"/>
      <c r="AJ113" s="85"/>
      <c r="AK113" s="86"/>
      <c r="AL113" s="42"/>
    </row>
    <row r="114" spans="1:38" ht="15" customHeight="1">
      <c r="A114" s="69">
        <v>46175</v>
      </c>
      <c r="B114" s="70" t="str">
        <f t="shared" si="5"/>
        <v>06 A 18</v>
      </c>
      <c r="C114" s="71" t="str">
        <f t="shared" si="6"/>
        <v>14:00 a 16:00</v>
      </c>
      <c r="D114" s="56" t="s">
        <v>245</v>
      </c>
      <c r="E114" s="54">
        <v>2</v>
      </c>
      <c r="F114" s="77" t="s">
        <v>164</v>
      </c>
      <c r="G114" s="77" t="s">
        <v>1344</v>
      </c>
      <c r="H114" s="73">
        <v>342459</v>
      </c>
      <c r="I114" s="70">
        <v>48305098</v>
      </c>
      <c r="J114" s="56" t="s">
        <v>2538</v>
      </c>
      <c r="K114" s="79" t="s">
        <v>2532</v>
      </c>
      <c r="L114" s="77"/>
      <c r="M114" s="77"/>
      <c r="N114" s="77"/>
      <c r="O114" s="77" t="s">
        <v>2756</v>
      </c>
      <c r="P114" s="78" t="s">
        <v>2557</v>
      </c>
      <c r="Q114" s="58">
        <v>0.65277777777777801</v>
      </c>
      <c r="R114" s="58">
        <v>0.65833333333333299</v>
      </c>
      <c r="S114" s="58">
        <v>0.65486111111111101</v>
      </c>
      <c r="T114" s="58" t="s">
        <v>2530</v>
      </c>
      <c r="U114" s="58" t="s">
        <v>2530</v>
      </c>
      <c r="V114" s="58" t="s">
        <v>2530</v>
      </c>
      <c r="W114" s="58" t="s">
        <v>2530</v>
      </c>
      <c r="X114" t="s">
        <v>2994</v>
      </c>
      <c r="Y114" s="57">
        <v>0</v>
      </c>
      <c r="Z114" s="57">
        <v>0</v>
      </c>
      <c r="AA114" s="57">
        <v>0</v>
      </c>
      <c r="AB114" s="54" t="s">
        <v>2593</v>
      </c>
      <c r="AC114" s="54" t="s">
        <v>2539</v>
      </c>
      <c r="AD114" s="56" t="s">
        <v>2564</v>
      </c>
      <c r="AE114" s="56"/>
      <c r="AF114" s="81"/>
      <c r="AG114" s="83" t="s">
        <v>45</v>
      </c>
      <c r="AH114" s="81"/>
      <c r="AI114" s="84"/>
      <c r="AJ114" s="85"/>
      <c r="AK114" s="86"/>
      <c r="AL114" s="42"/>
    </row>
    <row r="115" spans="1:38" ht="15" customHeight="1">
      <c r="A115" s="69">
        <v>46175</v>
      </c>
      <c r="B115" s="70" t="str">
        <f t="shared" si="5"/>
        <v>06 A 18</v>
      </c>
      <c r="C115" s="71" t="str">
        <f t="shared" si="6"/>
        <v>14:00 a 16:00</v>
      </c>
      <c r="D115" s="56" t="s">
        <v>245</v>
      </c>
      <c r="E115" s="54">
        <v>2</v>
      </c>
      <c r="F115" s="77" t="s">
        <v>164</v>
      </c>
      <c r="G115" s="77" t="s">
        <v>344</v>
      </c>
      <c r="H115" s="73">
        <v>342446</v>
      </c>
      <c r="I115" s="70">
        <v>48304967</v>
      </c>
      <c r="J115" s="56" t="s">
        <v>2538</v>
      </c>
      <c r="K115" s="79" t="s">
        <v>87</v>
      </c>
      <c r="L115" s="77" t="s">
        <v>169</v>
      </c>
      <c r="M115" s="77"/>
      <c r="N115" s="77"/>
      <c r="O115" s="77" t="s">
        <v>2757</v>
      </c>
      <c r="P115" s="78" t="s">
        <v>2557</v>
      </c>
      <c r="Q115" s="58">
        <v>0.64375000000000004</v>
      </c>
      <c r="R115" s="58">
        <v>0.65277777777777779</v>
      </c>
      <c r="S115" s="58">
        <v>0.64374999999999993</v>
      </c>
      <c r="T115" s="58" t="s">
        <v>2530</v>
      </c>
      <c r="U115" s="58" t="s">
        <v>2530</v>
      </c>
      <c r="V115" s="58" t="s">
        <v>2530</v>
      </c>
      <c r="W115" s="58" t="s">
        <v>2530</v>
      </c>
      <c r="X115" t="s">
        <v>2995</v>
      </c>
      <c r="Y115" s="57">
        <v>0</v>
      </c>
      <c r="Z115" s="57">
        <v>1</v>
      </c>
      <c r="AA115" s="57">
        <v>0</v>
      </c>
      <c r="AB115" s="54" t="s">
        <v>2593</v>
      </c>
      <c r="AC115" s="54" t="s">
        <v>2539</v>
      </c>
      <c r="AD115" s="56" t="s">
        <v>2564</v>
      </c>
      <c r="AE115" s="56"/>
      <c r="AF115" s="107" t="s">
        <v>2803</v>
      </c>
      <c r="AG115" s="83" t="s">
        <v>62</v>
      </c>
      <c r="AH115" s="81"/>
      <c r="AI115" s="110" t="s">
        <v>2804</v>
      </c>
      <c r="AJ115" s="85"/>
      <c r="AK115" s="86"/>
      <c r="AL115" s="42"/>
    </row>
    <row r="116" spans="1:38" ht="15" customHeight="1">
      <c r="A116" s="69">
        <v>46175</v>
      </c>
      <c r="B116" s="70" t="str">
        <f t="shared" si="5"/>
        <v>06 A 18</v>
      </c>
      <c r="C116" s="71" t="str">
        <f t="shared" si="6"/>
        <v>16:00 a 18:00</v>
      </c>
      <c r="D116" s="56" t="s">
        <v>245</v>
      </c>
      <c r="E116" s="54">
        <v>2</v>
      </c>
      <c r="F116" s="77" t="s">
        <v>2546</v>
      </c>
      <c r="G116" s="77" t="s">
        <v>866</v>
      </c>
      <c r="H116" s="73">
        <v>342571</v>
      </c>
      <c r="I116" s="70">
        <v>48305275</v>
      </c>
      <c r="J116" s="56" t="s">
        <v>2544</v>
      </c>
      <c r="K116" s="79" t="s">
        <v>87</v>
      </c>
      <c r="L116" s="103" t="s">
        <v>186</v>
      </c>
      <c r="M116" s="77"/>
      <c r="N116" s="77"/>
      <c r="O116" s="77" t="s">
        <v>2758</v>
      </c>
      <c r="P116" s="78" t="s">
        <v>2571</v>
      </c>
      <c r="Q116" s="58">
        <v>0.66666666666666696</v>
      </c>
      <c r="R116" s="58">
        <v>0.68055555555555602</v>
      </c>
      <c r="S116" s="58">
        <v>0.66666666666666696</v>
      </c>
      <c r="T116" s="58">
        <v>0.67569444444444504</v>
      </c>
      <c r="U116" s="58" t="s">
        <v>2530</v>
      </c>
      <c r="V116" s="58" t="s">
        <v>2530</v>
      </c>
      <c r="W116" s="58" t="s">
        <v>2530</v>
      </c>
      <c r="X116" t="s">
        <v>2996</v>
      </c>
      <c r="Y116" s="57">
        <v>0</v>
      </c>
      <c r="Z116" s="57">
        <v>0</v>
      </c>
      <c r="AA116" s="57">
        <v>0</v>
      </c>
      <c r="AB116" s="54" t="s">
        <v>2572</v>
      </c>
      <c r="AC116" s="54" t="s">
        <v>2539</v>
      </c>
      <c r="AD116" s="56" t="s">
        <v>2540</v>
      </c>
      <c r="AE116" s="56"/>
      <c r="AF116" s="81"/>
      <c r="AG116" s="83" t="s">
        <v>45</v>
      </c>
      <c r="AH116" s="81"/>
      <c r="AI116" s="84"/>
      <c r="AJ116" s="85"/>
      <c r="AK116" s="86"/>
      <c r="AL116" s="42"/>
    </row>
    <row r="117" spans="1:38" ht="15" customHeight="1">
      <c r="A117" s="69">
        <v>46175</v>
      </c>
      <c r="B117" s="70" t="str">
        <f t="shared" si="5"/>
        <v>06 A 18</v>
      </c>
      <c r="C117" s="71" t="str">
        <f t="shared" si="6"/>
        <v>16:00 a 18:00</v>
      </c>
      <c r="D117" s="56" t="s">
        <v>245</v>
      </c>
      <c r="E117" s="54">
        <v>2</v>
      </c>
      <c r="F117" s="77" t="s">
        <v>2546</v>
      </c>
      <c r="G117" s="77" t="s">
        <v>482</v>
      </c>
      <c r="H117" s="73">
        <v>342651</v>
      </c>
      <c r="I117" s="70">
        <v>48305377</v>
      </c>
      <c r="J117" s="56" t="s">
        <v>2544</v>
      </c>
      <c r="K117" s="79" t="s">
        <v>87</v>
      </c>
      <c r="L117" s="77" t="s">
        <v>169</v>
      </c>
      <c r="M117" s="77"/>
      <c r="N117" s="77"/>
      <c r="O117" s="77" t="s">
        <v>2759</v>
      </c>
      <c r="P117" s="78" t="s">
        <v>2604</v>
      </c>
      <c r="Q117" s="58">
        <v>0.66874999999999996</v>
      </c>
      <c r="R117" s="58">
        <v>0.72361111111111098</v>
      </c>
      <c r="S117" s="58">
        <v>0.66874999999999996</v>
      </c>
      <c r="T117" s="58" t="s">
        <v>2530</v>
      </c>
      <c r="U117" s="58" t="s">
        <v>2530</v>
      </c>
      <c r="V117" s="58" t="s">
        <v>2530</v>
      </c>
      <c r="W117" s="58" t="s">
        <v>2530</v>
      </c>
      <c r="X117" t="s">
        <v>2997</v>
      </c>
      <c r="Y117" s="57">
        <v>1</v>
      </c>
      <c r="Z117" s="57">
        <v>0</v>
      </c>
      <c r="AA117" s="57">
        <v>0</v>
      </c>
      <c r="AB117" s="54" t="s">
        <v>2605</v>
      </c>
      <c r="AC117" s="54" t="s">
        <v>2539</v>
      </c>
      <c r="AD117" s="56" t="s">
        <v>2594</v>
      </c>
      <c r="AE117" s="56"/>
      <c r="AF117" s="107" t="s">
        <v>2805</v>
      </c>
      <c r="AG117" s="83" t="s">
        <v>62</v>
      </c>
      <c r="AH117" s="81"/>
      <c r="AI117" s="84"/>
      <c r="AJ117" s="85"/>
      <c r="AK117" s="86"/>
      <c r="AL117" s="42"/>
    </row>
    <row r="118" spans="1:38" ht="15" customHeight="1">
      <c r="A118" s="69">
        <v>46175</v>
      </c>
      <c r="B118" s="70" t="str">
        <f t="shared" si="5"/>
        <v>06 A 18</v>
      </c>
      <c r="C118" s="71" t="str">
        <f t="shared" si="6"/>
        <v>14:00 a 16:00</v>
      </c>
      <c r="D118" s="56" t="s">
        <v>245</v>
      </c>
      <c r="E118" s="54">
        <v>2</v>
      </c>
      <c r="F118" s="77" t="s">
        <v>164</v>
      </c>
      <c r="G118" s="77" t="s">
        <v>1904</v>
      </c>
      <c r="H118" s="73">
        <v>342508</v>
      </c>
      <c r="I118" s="70">
        <v>48304889</v>
      </c>
      <c r="J118" s="56" t="s">
        <v>2538</v>
      </c>
      <c r="K118" s="79" t="s">
        <v>87</v>
      </c>
      <c r="L118" s="103" t="s">
        <v>126</v>
      </c>
      <c r="M118" s="77"/>
      <c r="N118" s="77"/>
      <c r="O118" s="77" t="s">
        <v>2592</v>
      </c>
      <c r="P118" s="78" t="s">
        <v>2557</v>
      </c>
      <c r="Q118" s="58">
        <v>0.63819444444444395</v>
      </c>
      <c r="R118" s="58">
        <v>0.64861111111111103</v>
      </c>
      <c r="S118" s="58">
        <v>0.63819444444444395</v>
      </c>
      <c r="T118" s="58" t="s">
        <v>2530</v>
      </c>
      <c r="U118" s="58" t="s">
        <v>2530</v>
      </c>
      <c r="V118" s="58" t="s">
        <v>2530</v>
      </c>
      <c r="W118" s="58" t="s">
        <v>2530</v>
      </c>
      <c r="X118" t="s">
        <v>2998</v>
      </c>
      <c r="Y118" s="57">
        <v>0</v>
      </c>
      <c r="Z118" s="57">
        <v>0</v>
      </c>
      <c r="AA118" s="57">
        <v>0</v>
      </c>
      <c r="AB118" s="54" t="s">
        <v>2593</v>
      </c>
      <c r="AC118" s="54" t="s">
        <v>2539</v>
      </c>
      <c r="AD118" s="56" t="s">
        <v>2564</v>
      </c>
      <c r="AE118" s="56"/>
      <c r="AF118" s="81"/>
      <c r="AG118" s="83" t="s">
        <v>45</v>
      </c>
      <c r="AH118" s="81"/>
      <c r="AI118" s="84"/>
      <c r="AJ118" s="85"/>
      <c r="AK118" s="86"/>
      <c r="AL118" s="42"/>
    </row>
    <row r="119" spans="1:38" ht="15" customHeight="1">
      <c r="A119" s="69">
        <v>46175</v>
      </c>
      <c r="B119" s="70" t="str">
        <f t="shared" si="5"/>
        <v>06 A 18</v>
      </c>
      <c r="C119" s="71" t="str">
        <f t="shared" si="6"/>
        <v>14:00 a 16:00</v>
      </c>
      <c r="D119" s="56" t="s">
        <v>245</v>
      </c>
      <c r="E119" s="54">
        <v>2</v>
      </c>
      <c r="F119" s="77" t="s">
        <v>164</v>
      </c>
      <c r="G119" s="77" t="s">
        <v>1637</v>
      </c>
      <c r="H119" s="73">
        <v>342492</v>
      </c>
      <c r="I119" s="70">
        <v>48304551</v>
      </c>
      <c r="J119" s="56" t="s">
        <v>2538</v>
      </c>
      <c r="K119" s="79" t="s">
        <v>87</v>
      </c>
      <c r="L119" s="103" t="s">
        <v>126</v>
      </c>
      <c r="M119" s="77"/>
      <c r="N119" s="77"/>
      <c r="O119" s="77" t="s">
        <v>2760</v>
      </c>
      <c r="P119" s="78" t="s">
        <v>2585</v>
      </c>
      <c r="Q119" s="58">
        <v>0.62361111111111101</v>
      </c>
      <c r="R119" s="58">
        <v>0.63194444444444398</v>
      </c>
      <c r="S119" s="58">
        <v>0.62361111111111101</v>
      </c>
      <c r="T119" s="58" t="s">
        <v>2530</v>
      </c>
      <c r="U119" s="58" t="s">
        <v>2530</v>
      </c>
      <c r="V119" s="58" t="s">
        <v>2530</v>
      </c>
      <c r="W119" s="58" t="s">
        <v>2530</v>
      </c>
      <c r="X119" t="s">
        <v>2999</v>
      </c>
      <c r="Y119" s="57">
        <v>0</v>
      </c>
      <c r="Z119" s="57">
        <v>0</v>
      </c>
      <c r="AA119" s="57">
        <v>0</v>
      </c>
      <c r="AB119" s="54" t="s">
        <v>2617</v>
      </c>
      <c r="AC119" s="54" t="s">
        <v>2539</v>
      </c>
      <c r="AD119" s="56" t="s">
        <v>2540</v>
      </c>
      <c r="AE119" s="56"/>
      <c r="AF119" s="81"/>
      <c r="AG119" s="83" t="s">
        <v>45</v>
      </c>
      <c r="AH119" s="81"/>
      <c r="AI119" s="84"/>
      <c r="AJ119" s="85"/>
      <c r="AK119" s="86"/>
      <c r="AL119" s="42"/>
    </row>
    <row r="120" spans="1:38" ht="15" customHeight="1">
      <c r="A120" s="69">
        <v>46175</v>
      </c>
      <c r="B120" s="70" t="str">
        <f t="shared" si="5"/>
        <v>06 A 18</v>
      </c>
      <c r="C120" s="71" t="str">
        <f t="shared" si="6"/>
        <v>16:00 a 18:00</v>
      </c>
      <c r="D120" s="56" t="s">
        <v>245</v>
      </c>
      <c r="E120" s="54">
        <v>2</v>
      </c>
      <c r="F120" s="77" t="s">
        <v>2547</v>
      </c>
      <c r="G120" s="77" t="s">
        <v>1354</v>
      </c>
      <c r="H120" s="73">
        <v>342766</v>
      </c>
      <c r="I120" s="70">
        <v>48305472</v>
      </c>
      <c r="J120" s="56" t="s">
        <v>2538</v>
      </c>
      <c r="K120" s="79" t="s">
        <v>104</v>
      </c>
      <c r="L120" s="77"/>
      <c r="M120" s="77"/>
      <c r="N120" s="77"/>
      <c r="O120" s="77" t="s">
        <v>2761</v>
      </c>
      <c r="P120" s="78" t="s">
        <v>2618</v>
      </c>
      <c r="Q120" s="58">
        <v>0.68125000000000002</v>
      </c>
      <c r="R120" s="58">
        <v>0.70000000000000007</v>
      </c>
      <c r="S120" s="58">
        <v>0.68541666666666701</v>
      </c>
      <c r="T120" s="58" t="s">
        <v>2530</v>
      </c>
      <c r="U120" s="58">
        <v>0.7</v>
      </c>
      <c r="V120" s="58" t="s">
        <v>2530</v>
      </c>
      <c r="W120" s="58" t="s">
        <v>2530</v>
      </c>
      <c r="X120" t="s">
        <v>3000</v>
      </c>
      <c r="Y120" s="57">
        <v>0</v>
      </c>
      <c r="Z120" s="57">
        <v>0</v>
      </c>
      <c r="AA120" s="57">
        <v>0</v>
      </c>
      <c r="AB120" s="54" t="s">
        <v>2555</v>
      </c>
      <c r="AC120" s="54" t="s">
        <v>2539</v>
      </c>
      <c r="AD120" s="56" t="s">
        <v>2540</v>
      </c>
      <c r="AE120" s="56"/>
      <c r="AF120" s="81"/>
      <c r="AG120" s="83" t="s">
        <v>45</v>
      </c>
      <c r="AH120" s="81"/>
      <c r="AI120" s="84"/>
      <c r="AJ120" s="85"/>
      <c r="AK120" s="86"/>
      <c r="AL120" s="42"/>
    </row>
    <row r="121" spans="1:38" ht="15" customHeight="1">
      <c r="A121" s="69">
        <v>46175</v>
      </c>
      <c r="B121" s="70" t="str">
        <f t="shared" si="5"/>
        <v>06 A 18</v>
      </c>
      <c r="C121" s="71" t="str">
        <f t="shared" si="6"/>
        <v>16:00 a 18:00</v>
      </c>
      <c r="D121" s="56" t="s">
        <v>245</v>
      </c>
      <c r="E121" s="54">
        <v>2</v>
      </c>
      <c r="F121" s="77" t="s">
        <v>164</v>
      </c>
      <c r="G121" s="77" t="s">
        <v>389</v>
      </c>
      <c r="H121" s="73">
        <v>342601</v>
      </c>
      <c r="I121" s="70">
        <v>48305489</v>
      </c>
      <c r="J121" s="56" t="s">
        <v>2538</v>
      </c>
      <c r="K121" s="79" t="s">
        <v>87</v>
      </c>
      <c r="L121" s="103" t="s">
        <v>2513</v>
      </c>
      <c r="M121" s="77"/>
      <c r="N121" s="77"/>
      <c r="O121" s="77" t="s">
        <v>2619</v>
      </c>
      <c r="P121" s="78" t="s">
        <v>2557</v>
      </c>
      <c r="Q121" s="58">
        <v>0.68055555555555602</v>
      </c>
      <c r="R121" s="58">
        <v>0.69444444444444398</v>
      </c>
      <c r="S121" s="58">
        <v>0.68055555555555602</v>
      </c>
      <c r="T121" s="58" t="s">
        <v>2530</v>
      </c>
      <c r="U121" s="58" t="s">
        <v>2530</v>
      </c>
      <c r="V121" s="58" t="s">
        <v>2530</v>
      </c>
      <c r="W121" s="58" t="s">
        <v>2530</v>
      </c>
      <c r="X121" t="s">
        <v>3001</v>
      </c>
      <c r="Y121" s="57">
        <v>0</v>
      </c>
      <c r="Z121" s="57">
        <v>0</v>
      </c>
      <c r="AA121" s="57">
        <v>0</v>
      </c>
      <c r="AB121" s="54" t="s">
        <v>2593</v>
      </c>
      <c r="AC121" s="54" t="s">
        <v>2539</v>
      </c>
      <c r="AD121" s="56" t="s">
        <v>2540</v>
      </c>
      <c r="AE121" s="56"/>
      <c r="AF121" s="81"/>
      <c r="AG121" s="83" t="s">
        <v>45</v>
      </c>
      <c r="AH121" s="81"/>
      <c r="AI121" s="84"/>
      <c r="AJ121" s="85"/>
      <c r="AK121" s="86"/>
      <c r="AL121" s="42"/>
    </row>
    <row r="122" spans="1:38" ht="15" customHeight="1">
      <c r="A122" s="69">
        <v>46175</v>
      </c>
      <c r="B122" s="70" t="str">
        <f t="shared" si="5"/>
        <v>06 A 18</v>
      </c>
      <c r="C122" s="71" t="str">
        <f t="shared" si="6"/>
        <v>16:00 a 18:00</v>
      </c>
      <c r="D122" s="56" t="s">
        <v>245</v>
      </c>
      <c r="E122" s="54">
        <v>2</v>
      </c>
      <c r="F122" s="77" t="s">
        <v>2546</v>
      </c>
      <c r="G122" s="77" t="s">
        <v>463</v>
      </c>
      <c r="H122" s="73">
        <v>342647</v>
      </c>
      <c r="I122" s="70">
        <v>48305814</v>
      </c>
      <c r="J122" s="56" t="s">
        <v>2544</v>
      </c>
      <c r="K122" s="103" t="s">
        <v>87</v>
      </c>
      <c r="L122" s="103" t="s">
        <v>126</v>
      </c>
      <c r="M122" s="77"/>
      <c r="N122" s="77"/>
      <c r="O122" s="77" t="s">
        <v>2762</v>
      </c>
      <c r="P122" s="78" t="s">
        <v>2571</v>
      </c>
      <c r="Q122" s="58">
        <v>0.68472222222222201</v>
      </c>
      <c r="R122" s="58">
        <v>0.71666666666666701</v>
      </c>
      <c r="S122" s="58">
        <v>0.68472222222222201</v>
      </c>
      <c r="T122" s="58" t="s">
        <v>2530</v>
      </c>
      <c r="U122" s="58" t="s">
        <v>2530</v>
      </c>
      <c r="V122" s="58" t="s">
        <v>2530</v>
      </c>
      <c r="W122" s="58" t="s">
        <v>2530</v>
      </c>
      <c r="X122" t="s">
        <v>3002</v>
      </c>
      <c r="Y122" s="57">
        <v>0</v>
      </c>
      <c r="Z122" s="57">
        <v>0</v>
      </c>
      <c r="AA122" s="57">
        <v>0</v>
      </c>
      <c r="AB122" s="54" t="s">
        <v>2572</v>
      </c>
      <c r="AC122" s="54" t="s">
        <v>2539</v>
      </c>
      <c r="AD122" s="56" t="s">
        <v>2540</v>
      </c>
      <c r="AE122" s="56"/>
      <c r="AF122" s="81"/>
      <c r="AG122" s="83" t="s">
        <v>45</v>
      </c>
      <c r="AH122" s="81"/>
      <c r="AI122" s="96" t="s">
        <v>2793</v>
      </c>
      <c r="AJ122" s="85"/>
      <c r="AK122" s="86"/>
      <c r="AL122" s="42"/>
    </row>
    <row r="123" spans="1:38" ht="15" customHeight="1">
      <c r="A123" s="69">
        <v>46175</v>
      </c>
      <c r="B123" s="70" t="str">
        <f t="shared" si="5"/>
        <v>06 A 18</v>
      </c>
      <c r="C123" s="71" t="str">
        <f t="shared" si="6"/>
        <v>12:00 a 14:00</v>
      </c>
      <c r="D123" s="56" t="s">
        <v>245</v>
      </c>
      <c r="E123" s="54">
        <v>2</v>
      </c>
      <c r="F123" s="77" t="s">
        <v>164</v>
      </c>
      <c r="G123" s="77" t="s">
        <v>389</v>
      </c>
      <c r="H123" s="73">
        <v>342567</v>
      </c>
      <c r="I123" s="70">
        <v>48303866</v>
      </c>
      <c r="J123" s="56" t="s">
        <v>2538</v>
      </c>
      <c r="K123" s="79" t="s">
        <v>87</v>
      </c>
      <c r="L123" s="77" t="s">
        <v>169</v>
      </c>
      <c r="M123" s="77"/>
      <c r="N123" s="77"/>
      <c r="O123" s="77" t="s">
        <v>2763</v>
      </c>
      <c r="P123" s="78" t="s">
        <v>2557</v>
      </c>
      <c r="Q123" s="58">
        <v>0.5625</v>
      </c>
      <c r="R123" s="58">
        <v>0.58333333333333304</v>
      </c>
      <c r="S123" s="58">
        <v>0.5625</v>
      </c>
      <c r="T123" s="58" t="s">
        <v>2530</v>
      </c>
      <c r="U123" s="58" t="s">
        <v>2530</v>
      </c>
      <c r="V123" s="58" t="s">
        <v>2530</v>
      </c>
      <c r="W123" s="58" t="s">
        <v>2530</v>
      </c>
      <c r="X123" t="s">
        <v>3003</v>
      </c>
      <c r="Y123" s="57">
        <v>0</v>
      </c>
      <c r="Z123" s="57">
        <v>1</v>
      </c>
      <c r="AA123" s="57">
        <v>0</v>
      </c>
      <c r="AB123" s="109" t="s">
        <v>2593</v>
      </c>
      <c r="AC123" s="54" t="s">
        <v>2539</v>
      </c>
      <c r="AD123" s="56" t="s">
        <v>2540</v>
      </c>
      <c r="AE123" s="56"/>
      <c r="AF123" s="107" t="s">
        <v>2576</v>
      </c>
      <c r="AG123" s="83" t="s">
        <v>62</v>
      </c>
      <c r="AH123" s="81"/>
      <c r="AI123" s="110" t="s">
        <v>2806</v>
      </c>
      <c r="AJ123" s="85"/>
      <c r="AK123" s="86"/>
      <c r="AL123" s="42"/>
    </row>
    <row r="124" spans="1:38" ht="15" customHeight="1">
      <c r="A124" s="69">
        <v>46175</v>
      </c>
      <c r="B124" s="70" t="str">
        <f t="shared" si="5"/>
        <v>06 A 18</v>
      </c>
      <c r="C124" s="71" t="str">
        <f t="shared" si="6"/>
        <v>16:00 a 18:00</v>
      </c>
      <c r="D124" s="56" t="s">
        <v>245</v>
      </c>
      <c r="E124" s="54">
        <v>2</v>
      </c>
      <c r="F124" s="77" t="s">
        <v>164</v>
      </c>
      <c r="G124" s="77" t="s">
        <v>1904</v>
      </c>
      <c r="H124" s="73">
        <v>342675</v>
      </c>
      <c r="I124" s="70">
        <v>48305527</v>
      </c>
      <c r="J124" s="56" t="s">
        <v>2538</v>
      </c>
      <c r="K124" s="103" t="s">
        <v>87</v>
      </c>
      <c r="L124" s="103" t="s">
        <v>77</v>
      </c>
      <c r="M124" s="103" t="s">
        <v>131</v>
      </c>
      <c r="N124" s="77"/>
      <c r="O124" s="77" t="s">
        <v>2764</v>
      </c>
      <c r="P124" s="78" t="s">
        <v>2569</v>
      </c>
      <c r="Q124" s="58">
        <v>0.6875</v>
      </c>
      <c r="R124" s="58">
        <v>0.72291666666666698</v>
      </c>
      <c r="S124" s="58">
        <v>0.688194444444444</v>
      </c>
      <c r="T124" s="58">
        <v>0.68888888888888899</v>
      </c>
      <c r="U124" s="58" t="s">
        <v>2530</v>
      </c>
      <c r="V124" s="58" t="s">
        <v>2530</v>
      </c>
      <c r="W124" s="58" t="s">
        <v>2530</v>
      </c>
      <c r="X124" t="s">
        <v>3004</v>
      </c>
      <c r="Y124" s="57">
        <v>0</v>
      </c>
      <c r="Z124" s="57">
        <v>1</v>
      </c>
      <c r="AA124" s="57">
        <v>0</v>
      </c>
      <c r="AB124" s="54" t="s">
        <v>2570</v>
      </c>
      <c r="AC124" s="54" t="s">
        <v>2539</v>
      </c>
      <c r="AD124" s="56" t="s">
        <v>2564</v>
      </c>
      <c r="AE124" s="56"/>
      <c r="AF124" s="81"/>
      <c r="AG124" s="83" t="s">
        <v>62</v>
      </c>
      <c r="AH124" s="81"/>
      <c r="AI124" s="84"/>
      <c r="AJ124" s="85"/>
      <c r="AK124" s="86"/>
      <c r="AL124" s="42"/>
    </row>
    <row r="125" spans="1:38" ht="15" customHeight="1">
      <c r="A125" s="69">
        <v>46175</v>
      </c>
      <c r="B125" s="70" t="str">
        <f t="shared" si="5"/>
        <v>06 A 18</v>
      </c>
      <c r="C125" s="71" t="str">
        <f t="shared" si="6"/>
        <v>16:00 a 18:00</v>
      </c>
      <c r="D125" s="56" t="s">
        <v>245</v>
      </c>
      <c r="E125" s="54">
        <v>2</v>
      </c>
      <c r="F125" s="77" t="s">
        <v>2547</v>
      </c>
      <c r="G125" s="77" t="s">
        <v>1887</v>
      </c>
      <c r="H125" s="73" t="s">
        <v>2551</v>
      </c>
      <c r="I125" s="70">
        <v>48306067</v>
      </c>
      <c r="J125" s="56" t="s">
        <v>2538</v>
      </c>
      <c r="K125" s="103" t="s">
        <v>87</v>
      </c>
      <c r="L125" s="103" t="s">
        <v>19</v>
      </c>
      <c r="M125" s="77"/>
      <c r="N125" s="77"/>
      <c r="O125" s="77" t="s">
        <v>2765</v>
      </c>
      <c r="P125" s="78" t="s">
        <v>2583</v>
      </c>
      <c r="Q125" s="58">
        <v>0.71597222222222223</v>
      </c>
      <c r="R125" s="58">
        <v>0.72916666666666663</v>
      </c>
      <c r="S125" s="58">
        <v>0.71597222222222223</v>
      </c>
      <c r="T125" s="58" t="s">
        <v>2530</v>
      </c>
      <c r="U125" s="58" t="s">
        <v>2530</v>
      </c>
      <c r="V125" s="58" t="s">
        <v>2530</v>
      </c>
      <c r="W125" s="58" t="s">
        <v>2530</v>
      </c>
      <c r="X125" t="s">
        <v>2766</v>
      </c>
      <c r="Y125" s="57">
        <v>0</v>
      </c>
      <c r="Z125" s="57">
        <v>0</v>
      </c>
      <c r="AA125" s="57">
        <v>0</v>
      </c>
      <c r="AB125" s="54" t="s">
        <v>2597</v>
      </c>
      <c r="AC125" s="54" t="s">
        <v>2539</v>
      </c>
      <c r="AD125" s="56" t="s">
        <v>2540</v>
      </c>
      <c r="AE125" s="56"/>
      <c r="AF125" s="81"/>
      <c r="AG125" s="83" t="s">
        <v>45</v>
      </c>
      <c r="AH125" s="81"/>
      <c r="AI125" s="96" t="s">
        <v>2797</v>
      </c>
      <c r="AJ125" s="85"/>
      <c r="AK125" s="86"/>
      <c r="AL125" s="42"/>
    </row>
    <row r="126" spans="1:38" ht="15" customHeight="1">
      <c r="A126" s="69">
        <v>46175</v>
      </c>
      <c r="B126" s="70" t="str">
        <f t="shared" si="5"/>
        <v>18 A 06</v>
      </c>
      <c r="C126" s="71" t="str">
        <f t="shared" si="6"/>
        <v>00:00 a 02:00</v>
      </c>
      <c r="D126" s="56" t="s">
        <v>245</v>
      </c>
      <c r="E126" s="54">
        <v>2</v>
      </c>
      <c r="F126" s="77" t="s">
        <v>2547</v>
      </c>
      <c r="G126" s="77" t="s">
        <v>2231</v>
      </c>
      <c r="H126" s="73" t="s">
        <v>2551</v>
      </c>
      <c r="I126" s="70">
        <v>48306052</v>
      </c>
      <c r="J126" s="56" t="s">
        <v>2538</v>
      </c>
      <c r="K126" s="79" t="s">
        <v>87</v>
      </c>
      <c r="L126" s="77" t="s">
        <v>196</v>
      </c>
      <c r="M126" s="77"/>
      <c r="N126" s="77"/>
      <c r="O126" s="77" t="s">
        <v>2725</v>
      </c>
      <c r="P126" s="78" t="s">
        <v>2577</v>
      </c>
      <c r="Q126" s="58"/>
      <c r="R126" s="58"/>
      <c r="S126" s="58"/>
      <c r="T126" s="58" t="s">
        <v>2530</v>
      </c>
      <c r="U126" s="58" t="s">
        <v>2530</v>
      </c>
      <c r="V126" s="58" t="s">
        <v>2530</v>
      </c>
      <c r="W126" s="58" t="s">
        <v>2530</v>
      </c>
      <c r="X126" t="s">
        <v>2767</v>
      </c>
      <c r="Y126" s="57">
        <v>0</v>
      </c>
      <c r="Z126" s="57">
        <v>0</v>
      </c>
      <c r="AA126" s="57">
        <v>0</v>
      </c>
      <c r="AB126" s="54" t="s">
        <v>2620</v>
      </c>
      <c r="AC126" s="54" t="s">
        <v>2539</v>
      </c>
      <c r="AD126" s="56" t="s">
        <v>2540</v>
      </c>
      <c r="AE126" s="56"/>
      <c r="AF126" s="81"/>
      <c r="AG126" s="83" t="s">
        <v>45</v>
      </c>
      <c r="AH126" s="81"/>
      <c r="AI126" s="96" t="s">
        <v>2797</v>
      </c>
      <c r="AJ126" s="85"/>
      <c r="AK126" s="86"/>
      <c r="AL126" s="42"/>
    </row>
    <row r="127" spans="1:38" ht="15" customHeight="1">
      <c r="A127" s="69">
        <v>46175</v>
      </c>
      <c r="B127" s="70" t="str">
        <f t="shared" si="5"/>
        <v>06 A 18</v>
      </c>
      <c r="C127" s="71" t="str">
        <f t="shared" si="6"/>
        <v>16:00 a 18:00</v>
      </c>
      <c r="D127" s="56" t="s">
        <v>245</v>
      </c>
      <c r="E127" s="54">
        <v>2</v>
      </c>
      <c r="F127" s="77" t="s">
        <v>217</v>
      </c>
      <c r="G127" s="77" t="s">
        <v>2068</v>
      </c>
      <c r="H127" s="73" t="s">
        <v>2551</v>
      </c>
      <c r="I127" s="70">
        <v>48306034</v>
      </c>
      <c r="J127" s="56" t="s">
        <v>2543</v>
      </c>
      <c r="K127" s="79" t="s">
        <v>146</v>
      </c>
      <c r="L127" s="77"/>
      <c r="M127" s="77"/>
      <c r="N127" s="77"/>
      <c r="O127" s="77" t="s">
        <v>2768</v>
      </c>
      <c r="P127" s="78" t="s">
        <v>2627</v>
      </c>
      <c r="Q127" s="58">
        <v>0.71666666666666701</v>
      </c>
      <c r="R127" s="58">
        <v>0.72013888888888899</v>
      </c>
      <c r="S127" s="58">
        <v>0.72291666666666698</v>
      </c>
      <c r="T127" s="58" t="s">
        <v>2530</v>
      </c>
      <c r="U127" s="58" t="s">
        <v>2530</v>
      </c>
      <c r="V127" s="58" t="s">
        <v>2530</v>
      </c>
      <c r="W127" s="58" t="s">
        <v>2530</v>
      </c>
      <c r="X127" t="s">
        <v>2769</v>
      </c>
      <c r="Y127" s="57">
        <v>0</v>
      </c>
      <c r="Z127" s="57">
        <v>0</v>
      </c>
      <c r="AA127" s="57">
        <v>0</v>
      </c>
      <c r="AB127" s="54" t="s">
        <v>2628</v>
      </c>
      <c r="AC127" s="54" t="s">
        <v>2539</v>
      </c>
      <c r="AD127" s="56" t="s">
        <v>2540</v>
      </c>
      <c r="AE127" s="56"/>
      <c r="AF127" s="81"/>
      <c r="AG127" s="83" t="s">
        <v>45</v>
      </c>
      <c r="AH127" s="81"/>
      <c r="AI127" s="96" t="s">
        <v>2787</v>
      </c>
      <c r="AJ127" s="85"/>
      <c r="AK127" s="86"/>
      <c r="AL127" s="42"/>
    </row>
    <row r="128" spans="1:38" ht="15" customHeight="1">
      <c r="A128" s="69">
        <v>46175</v>
      </c>
      <c r="B128" s="70" t="str">
        <f t="shared" si="5"/>
        <v>18 A 06</v>
      </c>
      <c r="C128" s="71" t="str">
        <f t="shared" si="6"/>
        <v>00:00 a 02:00</v>
      </c>
      <c r="D128" s="56" t="s">
        <v>245</v>
      </c>
      <c r="E128" s="54">
        <v>2</v>
      </c>
      <c r="F128" s="77" t="s">
        <v>2548</v>
      </c>
      <c r="G128" s="77" t="s">
        <v>2104</v>
      </c>
      <c r="H128" s="73" t="s">
        <v>2552</v>
      </c>
      <c r="I128" s="70">
        <v>48306011</v>
      </c>
      <c r="J128" s="56" t="s">
        <v>2538</v>
      </c>
      <c r="K128" s="79" t="s">
        <v>87</v>
      </c>
      <c r="L128" s="77" t="s">
        <v>186</v>
      </c>
      <c r="M128" s="77"/>
      <c r="N128" s="77"/>
      <c r="O128" s="77" t="s">
        <v>2770</v>
      </c>
      <c r="P128" s="78" t="s">
        <v>2614</v>
      </c>
      <c r="Q128" s="58"/>
      <c r="R128" s="58"/>
      <c r="S128" s="58"/>
      <c r="T128" s="58" t="s">
        <v>2530</v>
      </c>
      <c r="U128" s="58" t="s">
        <v>2530</v>
      </c>
      <c r="V128" s="58" t="s">
        <v>2530</v>
      </c>
      <c r="W128" s="58" t="s">
        <v>2530</v>
      </c>
      <c r="X128" t="s">
        <v>2771</v>
      </c>
      <c r="Y128" s="57">
        <v>0</v>
      </c>
      <c r="Z128" s="57">
        <v>0</v>
      </c>
      <c r="AA128" s="57">
        <v>0</v>
      </c>
      <c r="AB128" s="54" t="s">
        <v>2615</v>
      </c>
      <c r="AC128" s="54" t="s">
        <v>2539</v>
      </c>
      <c r="AD128" s="56" t="s">
        <v>2540</v>
      </c>
      <c r="AE128" s="56"/>
      <c r="AF128" s="81"/>
      <c r="AG128" s="83" t="s">
        <v>45</v>
      </c>
      <c r="AH128" s="81"/>
      <c r="AI128" s="96" t="s">
        <v>2797</v>
      </c>
      <c r="AJ128" s="85"/>
      <c r="AK128" s="86"/>
      <c r="AL128" s="42"/>
    </row>
    <row r="129" spans="1:38" ht="15" customHeight="1">
      <c r="A129" s="69">
        <v>46175</v>
      </c>
      <c r="B129" s="70" t="str">
        <f t="shared" si="5"/>
        <v>18 A 06</v>
      </c>
      <c r="C129" s="71" t="str">
        <f t="shared" si="6"/>
        <v>00:00 a 02:00</v>
      </c>
      <c r="D129" s="56" t="s">
        <v>245</v>
      </c>
      <c r="E129" s="54">
        <v>2</v>
      </c>
      <c r="F129" s="77" t="s">
        <v>2545</v>
      </c>
      <c r="G129" s="77" t="s">
        <v>389</v>
      </c>
      <c r="H129" s="73" t="s">
        <v>2552</v>
      </c>
      <c r="I129" s="70">
        <v>48306169</v>
      </c>
      <c r="J129" s="56" t="s">
        <v>2538</v>
      </c>
      <c r="K129" s="79" t="s">
        <v>87</v>
      </c>
      <c r="L129" s="103" t="s">
        <v>137</v>
      </c>
      <c r="M129" s="77"/>
      <c r="N129" s="77"/>
      <c r="O129" s="77" t="s">
        <v>2772</v>
      </c>
      <c r="P129" s="78" t="s">
        <v>2557</v>
      </c>
      <c r="Q129" s="58"/>
      <c r="R129" s="58"/>
      <c r="S129" s="58"/>
      <c r="T129" s="58" t="s">
        <v>2530</v>
      </c>
      <c r="U129" s="58" t="s">
        <v>2530</v>
      </c>
      <c r="V129" s="58" t="s">
        <v>2530</v>
      </c>
      <c r="W129" s="58" t="s">
        <v>2530</v>
      </c>
      <c r="X129" t="s">
        <v>2773</v>
      </c>
      <c r="Y129" s="57">
        <v>0</v>
      </c>
      <c r="Z129" s="57">
        <v>0</v>
      </c>
      <c r="AA129" s="57">
        <v>0</v>
      </c>
      <c r="AB129" s="54" t="s">
        <v>2593</v>
      </c>
      <c r="AC129" s="54" t="s">
        <v>2539</v>
      </c>
      <c r="AD129" s="56" t="s">
        <v>2564</v>
      </c>
      <c r="AE129" s="56"/>
      <c r="AF129" s="81"/>
      <c r="AG129" s="83" t="s">
        <v>45</v>
      </c>
      <c r="AH129" s="81"/>
      <c r="AI129" s="96" t="s">
        <v>2797</v>
      </c>
      <c r="AJ129" s="85"/>
      <c r="AK129" s="86"/>
      <c r="AL129" s="42"/>
    </row>
    <row r="130" spans="1:38" ht="15" customHeight="1">
      <c r="A130" s="69">
        <v>46175</v>
      </c>
      <c r="B130" s="70" t="str">
        <f t="shared" si="5"/>
        <v>18 A 06</v>
      </c>
      <c r="C130" s="71" t="str">
        <f t="shared" si="6"/>
        <v>00:00 a 02:00</v>
      </c>
      <c r="D130" s="56" t="s">
        <v>245</v>
      </c>
      <c r="E130" s="54">
        <v>2</v>
      </c>
      <c r="F130" s="77" t="s">
        <v>164</v>
      </c>
      <c r="G130" s="77" t="s">
        <v>835</v>
      </c>
      <c r="H130" s="73" t="s">
        <v>2552</v>
      </c>
      <c r="I130" s="70">
        <v>48306091</v>
      </c>
      <c r="J130" s="56" t="s">
        <v>2538</v>
      </c>
      <c r="K130" s="79" t="s">
        <v>87</v>
      </c>
      <c r="L130" s="103" t="s">
        <v>186</v>
      </c>
      <c r="M130" s="77"/>
      <c r="N130" s="77"/>
      <c r="O130" s="77" t="s">
        <v>2774</v>
      </c>
      <c r="P130" s="78" t="s">
        <v>2775</v>
      </c>
      <c r="Q130" s="58"/>
      <c r="R130" s="58"/>
      <c r="S130" s="58"/>
      <c r="T130" s="58" t="s">
        <v>2530</v>
      </c>
      <c r="U130" s="58" t="s">
        <v>2530</v>
      </c>
      <c r="V130" s="58" t="s">
        <v>2530</v>
      </c>
      <c r="W130" s="58" t="s">
        <v>2530</v>
      </c>
      <c r="X130" t="s">
        <v>2776</v>
      </c>
      <c r="Y130" s="57">
        <v>0</v>
      </c>
      <c r="Z130" s="57">
        <v>0</v>
      </c>
      <c r="AA130" s="57">
        <v>0</v>
      </c>
      <c r="AB130" s="54" t="s">
        <v>2617</v>
      </c>
      <c r="AC130" s="54" t="s">
        <v>2539</v>
      </c>
      <c r="AD130" s="56" t="s">
        <v>2540</v>
      </c>
      <c r="AE130" s="56"/>
      <c r="AF130" s="81"/>
      <c r="AG130" s="83" t="s">
        <v>45</v>
      </c>
      <c r="AH130" s="81"/>
      <c r="AI130" s="96" t="s">
        <v>2797</v>
      </c>
      <c r="AJ130" s="85"/>
      <c r="AK130" s="86"/>
      <c r="AL130" s="42"/>
    </row>
    <row r="131" spans="1:38" ht="15" customHeight="1">
      <c r="A131" s="69">
        <v>46175</v>
      </c>
      <c r="B131" s="70" t="str">
        <f t="shared" ref="B131:B191" si="7">IF(AND(VALUE(Q131)&gt;=VALUE("06:00"),VALUE(Q131)&lt;=VALUE("17:59")),"06 A 18","18 A 06")</f>
        <v>18 A 06</v>
      </c>
      <c r="C131" s="71" t="str">
        <f t="shared" ref="C131:C191" si="8">IF(AND(VALUE(Q131)&gt;=VALUE("00:00"),VALUE(Q131)&lt;=VALUE("01:59")),"00:00 a 02:00",IF(AND(VALUE(Q131)&gt;=VALUE("02:00"),VALUE(Q131)&lt;=VALUE("03:59")),"02:00 a 04:00",IF(AND(VALUE(Q131)&gt;=VALUE("04:00"),VALUE(Q131)&lt;=VALUE("05:59")),"04:00 a 06:00",IF(AND(VALUE(Q131)&gt;=VALUE("06:00"),VALUE(Q131)&lt;=VALUE("07:59")),"06:00 a 08:00",IF(AND(VALUE(Q131)&gt;=VALUE("08:00"),VALUE(Q131)&lt;=VALUE("09:59")),"08:00 a 10:00",IF(AND(VALUE(Q131)&gt;=VALUE("10:00"),VALUE(Q131)&lt;=VALUE("11:59")),"10:00 a 12:00",IF(AND(VALUE(Q131)&gt;=VALUE("12:00"),VALUE(Q131)&lt;=VALUE("13:59")),"12:00 a 14:00",IF(AND(VALUE(Q131)&gt;=VALUE("14:00"),VALUE(Q131)&lt;=VALUE("15:59")),"14:00 a 16:00",IF(AND(VALUE(Q131)&gt;=VALUE("16:00"),VALUE(Q131)&lt;=VALUE("17:59")),"16:00 a 18:00",IF(AND(VALUE(Q131)&gt;=VALUE("18:00"),VALUE(Q131)&lt;=VALUE("19:59")),"18:00 a 20:00",IF(AND(VALUE(Q131)&gt;=VALUE("20:00"),VALUE(Q131)&lt;=VALUE("21:59")),"20:00 a 22:00",IF(AND(VALUE(Q131)&gt;=VALUE("22:00"),VALUE(Q131)&lt;=VALUE("23:59")),"22:00 a 00:00","no corresponde"))))))))))))</f>
        <v>00:00 a 02:00</v>
      </c>
      <c r="D131" s="56" t="s">
        <v>245</v>
      </c>
      <c r="E131" s="54">
        <v>2</v>
      </c>
      <c r="F131" s="77" t="s">
        <v>2548</v>
      </c>
      <c r="G131" s="77" t="s">
        <v>1054</v>
      </c>
      <c r="H131" s="73" t="s">
        <v>2552</v>
      </c>
      <c r="I131" s="70">
        <v>48306193</v>
      </c>
      <c r="J131" s="56" t="s">
        <v>2538</v>
      </c>
      <c r="K131" s="79" t="s">
        <v>87</v>
      </c>
      <c r="L131" s="103" t="s">
        <v>104</v>
      </c>
      <c r="M131" s="77"/>
      <c r="N131" s="77"/>
      <c r="O131" s="77" t="s">
        <v>2777</v>
      </c>
      <c r="P131" s="78" t="s">
        <v>2577</v>
      </c>
      <c r="Q131" s="58"/>
      <c r="R131" s="58"/>
      <c r="S131" s="58"/>
      <c r="T131" s="58" t="s">
        <v>2530</v>
      </c>
      <c r="U131" s="58" t="s">
        <v>2530</v>
      </c>
      <c r="V131" s="58" t="s">
        <v>2530</v>
      </c>
      <c r="W131" s="58" t="s">
        <v>2530</v>
      </c>
      <c r="X131" t="s">
        <v>2778</v>
      </c>
      <c r="Y131" s="57">
        <v>0</v>
      </c>
      <c r="Z131" s="57">
        <v>0</v>
      </c>
      <c r="AA131" s="57">
        <v>0</v>
      </c>
      <c r="AB131" s="54" t="s">
        <v>2578</v>
      </c>
      <c r="AC131" s="54" t="s">
        <v>2539</v>
      </c>
      <c r="AD131" s="56" t="s">
        <v>2540</v>
      </c>
      <c r="AE131" s="56"/>
      <c r="AF131" s="81"/>
      <c r="AG131" s="83" t="s">
        <v>45</v>
      </c>
      <c r="AH131" s="81"/>
      <c r="AI131" s="96" t="s">
        <v>2797</v>
      </c>
      <c r="AJ131" s="85"/>
      <c r="AK131" s="86"/>
      <c r="AL131" s="42"/>
    </row>
    <row r="132" spans="1:38" ht="15" customHeight="1">
      <c r="A132" s="69">
        <v>46175</v>
      </c>
      <c r="B132" s="70" t="str">
        <f t="shared" si="7"/>
        <v>06 A 18</v>
      </c>
      <c r="C132" s="71" t="str">
        <f t="shared" si="8"/>
        <v>16:00 a 18:00</v>
      </c>
      <c r="D132" s="56" t="s">
        <v>245</v>
      </c>
      <c r="E132" s="54">
        <v>2</v>
      </c>
      <c r="F132" s="77" t="s">
        <v>2550</v>
      </c>
      <c r="G132" s="77" t="s">
        <v>213</v>
      </c>
      <c r="H132" s="73">
        <v>342757</v>
      </c>
      <c r="I132" s="70">
        <v>48306298</v>
      </c>
      <c r="J132" s="56" t="s">
        <v>2538</v>
      </c>
      <c r="K132" s="103" t="s">
        <v>2513</v>
      </c>
      <c r="L132" s="77"/>
      <c r="M132" s="77"/>
      <c r="N132" s="77"/>
      <c r="O132" s="77" t="s">
        <v>2779</v>
      </c>
      <c r="P132" s="78" t="s">
        <v>2590</v>
      </c>
      <c r="Q132" s="58">
        <v>0.73124999999999996</v>
      </c>
      <c r="R132" s="58">
        <v>0.73750000000000004</v>
      </c>
      <c r="S132" s="58">
        <v>0.73124999999999996</v>
      </c>
      <c r="T132" s="58" t="s">
        <v>2530</v>
      </c>
      <c r="U132" s="58" t="s">
        <v>2530</v>
      </c>
      <c r="V132" s="58" t="s">
        <v>2530</v>
      </c>
      <c r="W132" s="58" t="s">
        <v>2530</v>
      </c>
      <c r="X132" t="s">
        <v>3005</v>
      </c>
      <c r="Y132" s="57">
        <v>0</v>
      </c>
      <c r="Z132" s="57">
        <v>0</v>
      </c>
      <c r="AA132" s="57">
        <v>0</v>
      </c>
      <c r="AB132" s="54" t="s">
        <v>2591</v>
      </c>
      <c r="AC132" s="54" t="s">
        <v>2539</v>
      </c>
      <c r="AD132" s="56" t="s">
        <v>2564</v>
      </c>
      <c r="AE132" s="56"/>
      <c r="AF132" s="81"/>
      <c r="AG132" s="83" t="s">
        <v>45</v>
      </c>
      <c r="AH132" s="81"/>
      <c r="AI132" s="84"/>
      <c r="AJ132" s="85"/>
      <c r="AK132" s="86"/>
      <c r="AL132" s="42"/>
    </row>
    <row r="133" spans="1:38" ht="15" customHeight="1">
      <c r="A133" s="69">
        <v>46175</v>
      </c>
      <c r="B133" s="70" t="str">
        <f t="shared" si="7"/>
        <v>18 A 06</v>
      </c>
      <c r="C133" s="71" t="str">
        <f t="shared" si="8"/>
        <v>00:00 a 02:00</v>
      </c>
      <c r="D133" s="56" t="s">
        <v>245</v>
      </c>
      <c r="E133" s="54">
        <v>2</v>
      </c>
      <c r="F133" s="77" t="s">
        <v>164</v>
      </c>
      <c r="G133" s="77" t="s">
        <v>1344</v>
      </c>
      <c r="H133" s="73" t="s">
        <v>2552</v>
      </c>
      <c r="I133" s="70">
        <v>48306275</v>
      </c>
      <c r="J133" s="56" t="s">
        <v>2538</v>
      </c>
      <c r="K133" s="79" t="s">
        <v>87</v>
      </c>
      <c r="L133" s="77" t="s">
        <v>196</v>
      </c>
      <c r="M133" s="77"/>
      <c r="N133" s="77"/>
      <c r="O133" s="77" t="s">
        <v>2781</v>
      </c>
      <c r="P133" s="78" t="s">
        <v>2567</v>
      </c>
      <c r="Q133" s="58"/>
      <c r="R133" s="58"/>
      <c r="S133" s="58"/>
      <c r="T133" s="58" t="s">
        <v>2530</v>
      </c>
      <c r="U133" s="58" t="s">
        <v>2530</v>
      </c>
      <c r="V133" s="58" t="s">
        <v>2530</v>
      </c>
      <c r="W133" s="58" t="s">
        <v>2530</v>
      </c>
      <c r="X133" t="s">
        <v>2782</v>
      </c>
      <c r="Y133" s="57">
        <v>0</v>
      </c>
      <c r="Z133" s="57">
        <v>0</v>
      </c>
      <c r="AA133" s="57">
        <v>0</v>
      </c>
      <c r="AB133" s="54" t="s">
        <v>2629</v>
      </c>
      <c r="AC133" s="54" t="s">
        <v>2539</v>
      </c>
      <c r="AD133" s="56" t="s">
        <v>2540</v>
      </c>
      <c r="AE133" s="56"/>
      <c r="AF133" s="81"/>
      <c r="AG133" s="83" t="s">
        <v>45</v>
      </c>
      <c r="AH133" s="81"/>
      <c r="AI133" s="96" t="s">
        <v>2797</v>
      </c>
      <c r="AJ133" s="85"/>
      <c r="AK133" s="86"/>
      <c r="AL133" s="42"/>
    </row>
    <row r="134" spans="1:38" ht="15" customHeight="1">
      <c r="A134" s="69">
        <v>46175</v>
      </c>
      <c r="B134" s="70" t="str">
        <f t="shared" si="7"/>
        <v>18 A 06</v>
      </c>
      <c r="C134" s="71" t="str">
        <f t="shared" si="8"/>
        <v>00:00 a 02:00</v>
      </c>
      <c r="D134" s="56" t="s">
        <v>245</v>
      </c>
      <c r="E134" s="54">
        <v>2</v>
      </c>
      <c r="F134" s="77" t="s">
        <v>164</v>
      </c>
      <c r="G134" s="102" t="s">
        <v>2219</v>
      </c>
      <c r="H134" s="73" t="s">
        <v>2552</v>
      </c>
      <c r="I134" s="70">
        <v>48306343</v>
      </c>
      <c r="J134" s="56" t="s">
        <v>2538</v>
      </c>
      <c r="K134" s="103" t="s">
        <v>2513</v>
      </c>
      <c r="L134" s="77"/>
      <c r="M134" s="77"/>
      <c r="N134" s="77"/>
      <c r="O134" s="77" t="s">
        <v>2783</v>
      </c>
      <c r="P134" s="78" t="s">
        <v>2558</v>
      </c>
      <c r="Q134" s="58"/>
      <c r="R134" s="58"/>
      <c r="S134" s="58"/>
      <c r="T134" s="58" t="s">
        <v>2530</v>
      </c>
      <c r="U134" s="58" t="s">
        <v>2530</v>
      </c>
      <c r="V134" s="58" t="s">
        <v>2530</v>
      </c>
      <c r="W134" s="58" t="s">
        <v>2530</v>
      </c>
      <c r="X134" t="s">
        <v>2780</v>
      </c>
      <c r="Y134" s="57">
        <v>0</v>
      </c>
      <c r="Z134" s="57">
        <v>0</v>
      </c>
      <c r="AA134" s="57">
        <v>0</v>
      </c>
      <c r="AB134" s="54" t="s">
        <v>2559</v>
      </c>
      <c r="AC134" s="54" t="s">
        <v>2539</v>
      </c>
      <c r="AD134" s="56" t="s">
        <v>2564</v>
      </c>
      <c r="AE134" s="56"/>
      <c r="AF134" s="81"/>
      <c r="AG134" s="83" t="s">
        <v>45</v>
      </c>
      <c r="AH134" s="81"/>
      <c r="AI134" s="96" t="s">
        <v>2797</v>
      </c>
      <c r="AJ134" s="85"/>
      <c r="AK134" s="86"/>
      <c r="AL134" s="42"/>
    </row>
    <row r="135" spans="1:38" ht="15" customHeight="1">
      <c r="A135" s="69">
        <v>46175</v>
      </c>
      <c r="B135" s="70" t="str">
        <f t="shared" si="7"/>
        <v>06 A 18</v>
      </c>
      <c r="C135" s="71" t="str">
        <f t="shared" si="8"/>
        <v>16:00 a 18:00</v>
      </c>
      <c r="D135" s="56" t="s">
        <v>2669</v>
      </c>
      <c r="E135" s="54">
        <v>6</v>
      </c>
      <c r="F135" s="77" t="s">
        <v>365</v>
      </c>
      <c r="G135" s="77" t="s">
        <v>151</v>
      </c>
      <c r="H135" s="73" t="s">
        <v>2552</v>
      </c>
      <c r="I135" s="70">
        <v>48305571</v>
      </c>
      <c r="J135" s="56" t="s">
        <v>2538</v>
      </c>
      <c r="K135" s="79" t="s">
        <v>174</v>
      </c>
      <c r="L135" s="77"/>
      <c r="M135" s="77" t="s">
        <v>154</v>
      </c>
      <c r="N135" s="77" t="s">
        <v>2522</v>
      </c>
      <c r="O135" s="77" t="s">
        <v>2784</v>
      </c>
      <c r="P135" s="78" t="s">
        <v>2583</v>
      </c>
      <c r="Q135" s="58">
        <v>0.68472222222222201</v>
      </c>
      <c r="R135" s="58"/>
      <c r="S135" s="58"/>
      <c r="T135" s="58" t="s">
        <v>2530</v>
      </c>
      <c r="U135" s="58" t="s">
        <v>2530</v>
      </c>
      <c r="V135" s="58" t="s">
        <v>2530</v>
      </c>
      <c r="W135" s="58" t="s">
        <v>2530</v>
      </c>
      <c r="X135" t="s">
        <v>2785</v>
      </c>
      <c r="Y135" s="57">
        <v>0</v>
      </c>
      <c r="Z135" s="57">
        <v>2</v>
      </c>
      <c r="AA135" s="57">
        <v>0</v>
      </c>
      <c r="AB135" s="54" t="s">
        <v>2596</v>
      </c>
      <c r="AC135" s="54" t="s">
        <v>2539</v>
      </c>
      <c r="AD135" s="56" t="s">
        <v>2564</v>
      </c>
      <c r="AE135" s="56"/>
      <c r="AF135" s="81"/>
      <c r="AG135" s="83" t="s">
        <v>54</v>
      </c>
      <c r="AH135" s="81"/>
      <c r="AI135" s="96" t="s">
        <v>2787</v>
      </c>
      <c r="AJ135" s="85"/>
      <c r="AK135" s="86"/>
      <c r="AL135" s="42"/>
    </row>
    <row r="136" spans="1:38" ht="15" customHeight="1">
      <c r="A136" s="69">
        <v>46175</v>
      </c>
      <c r="B136" s="70" t="str">
        <f t="shared" si="7"/>
        <v>06 A 18</v>
      </c>
      <c r="C136" s="71" t="str">
        <f t="shared" si="8"/>
        <v>16:00 a 18:00</v>
      </c>
      <c r="D136" s="56" t="s">
        <v>245</v>
      </c>
      <c r="E136" s="54">
        <v>2</v>
      </c>
      <c r="F136" s="77" t="s">
        <v>2547</v>
      </c>
      <c r="G136" s="77" t="s">
        <v>1463</v>
      </c>
      <c r="H136" s="73">
        <v>342771</v>
      </c>
      <c r="I136" s="70">
        <v>48306350</v>
      </c>
      <c r="J136" s="56" t="s">
        <v>2538</v>
      </c>
      <c r="K136" s="79" t="s">
        <v>146</v>
      </c>
      <c r="L136" s="77"/>
      <c r="M136" s="77"/>
      <c r="N136" s="77"/>
      <c r="O136" s="77" t="s">
        <v>2786</v>
      </c>
      <c r="P136" s="78" t="s">
        <v>2590</v>
      </c>
      <c r="Q136" s="58">
        <v>0.73888888888888904</v>
      </c>
      <c r="R136" s="58">
        <v>0.74513888888888891</v>
      </c>
      <c r="S136" s="58">
        <v>0.73888888888888904</v>
      </c>
      <c r="T136" s="58" t="s">
        <v>2530</v>
      </c>
      <c r="U136" s="58" t="s">
        <v>2530</v>
      </c>
      <c r="V136" s="58" t="s">
        <v>2530</v>
      </c>
      <c r="W136" s="58" t="s">
        <v>2530</v>
      </c>
      <c r="X136" t="s">
        <v>3006</v>
      </c>
      <c r="Y136" s="57">
        <v>0</v>
      </c>
      <c r="Z136" s="57">
        <v>0</v>
      </c>
      <c r="AA136" s="57">
        <v>0</v>
      </c>
      <c r="AB136" s="54" t="s">
        <v>2591</v>
      </c>
      <c r="AC136" s="54" t="s">
        <v>2539</v>
      </c>
      <c r="AD136" s="56" t="s">
        <v>2540</v>
      </c>
      <c r="AE136" s="56"/>
      <c r="AF136" s="81"/>
      <c r="AG136" s="83" t="s">
        <v>45</v>
      </c>
      <c r="AH136" s="81"/>
      <c r="AI136" s="84"/>
      <c r="AJ136" s="85"/>
      <c r="AK136" s="86"/>
      <c r="AL136" s="42"/>
    </row>
    <row r="137" spans="1:38" ht="15" customHeight="1">
      <c r="A137" s="69">
        <v>46175</v>
      </c>
      <c r="B137" s="70" t="str">
        <f t="shared" si="7"/>
        <v>06 A 18</v>
      </c>
      <c r="C137" s="71" t="str">
        <f t="shared" si="8"/>
        <v>16:00 a 18:00</v>
      </c>
      <c r="D137" s="56" t="s">
        <v>2807</v>
      </c>
      <c r="E137" s="54">
        <v>4</v>
      </c>
      <c r="F137" s="77" t="s">
        <v>2808</v>
      </c>
      <c r="G137" s="77" t="s">
        <v>693</v>
      </c>
      <c r="H137" s="73">
        <v>343027</v>
      </c>
      <c r="I137" s="70">
        <v>48306330</v>
      </c>
      <c r="J137" s="56" t="s">
        <v>2544</v>
      </c>
      <c r="K137" s="79" t="s">
        <v>87</v>
      </c>
      <c r="L137" s="77" t="s">
        <v>77</v>
      </c>
      <c r="M137" s="77"/>
      <c r="N137" s="77"/>
      <c r="O137" s="77" t="s">
        <v>2813</v>
      </c>
      <c r="P137" s="78" t="s">
        <v>2571</v>
      </c>
      <c r="Q137" s="58">
        <v>0.74305555555555602</v>
      </c>
      <c r="R137" s="58">
        <v>0.77013888888888904</v>
      </c>
      <c r="S137" s="58">
        <v>0.74305555555555602</v>
      </c>
      <c r="T137" s="58">
        <v>0.75</v>
      </c>
      <c r="U137" s="58" t="s">
        <v>2530</v>
      </c>
      <c r="V137" s="58" t="s">
        <v>2530</v>
      </c>
      <c r="W137" s="58" t="s">
        <v>2530</v>
      </c>
      <c r="X137" t="s">
        <v>3007</v>
      </c>
      <c r="Y137" s="57">
        <v>0</v>
      </c>
      <c r="Z137" s="57">
        <v>1</v>
      </c>
      <c r="AA137" s="57">
        <v>1</v>
      </c>
      <c r="AB137" s="54" t="s">
        <v>2572</v>
      </c>
      <c r="AC137" s="54" t="s">
        <v>2539</v>
      </c>
      <c r="AD137" s="56" t="s">
        <v>2540</v>
      </c>
      <c r="AE137" s="56"/>
      <c r="AF137" s="81" t="s">
        <v>2875</v>
      </c>
      <c r="AG137" s="83" t="s">
        <v>62</v>
      </c>
      <c r="AH137" s="81"/>
      <c r="AI137" s="84" t="s">
        <v>2876</v>
      </c>
      <c r="AJ137" s="85"/>
      <c r="AK137" s="86"/>
      <c r="AL137" s="42"/>
    </row>
    <row r="138" spans="1:38" ht="15" customHeight="1">
      <c r="A138" s="69">
        <v>46175</v>
      </c>
      <c r="B138" s="70" t="str">
        <f t="shared" si="7"/>
        <v>06 A 18</v>
      </c>
      <c r="C138" s="71" t="str">
        <f t="shared" si="8"/>
        <v>16:00 a 18:00</v>
      </c>
      <c r="D138" s="56" t="s">
        <v>2807</v>
      </c>
      <c r="E138" s="54">
        <v>4</v>
      </c>
      <c r="F138" s="77" t="s">
        <v>2809</v>
      </c>
      <c r="G138" s="77" t="s">
        <v>1627</v>
      </c>
      <c r="H138" s="73">
        <v>343058</v>
      </c>
      <c r="I138" s="70">
        <v>48306476</v>
      </c>
      <c r="J138" s="56" t="s">
        <v>2538</v>
      </c>
      <c r="K138" s="79" t="s">
        <v>87</v>
      </c>
      <c r="L138" s="77" t="s">
        <v>169</v>
      </c>
      <c r="M138" s="77"/>
      <c r="N138" s="77"/>
      <c r="O138" s="77" t="s">
        <v>2815</v>
      </c>
      <c r="P138" s="78" t="s">
        <v>2569</v>
      </c>
      <c r="Q138" s="58">
        <v>0.74722222222222201</v>
      </c>
      <c r="R138" s="58">
        <v>0.75694444444444398</v>
      </c>
      <c r="S138" s="58">
        <v>0.74722222222222201</v>
      </c>
      <c r="T138" s="58" t="s">
        <v>2530</v>
      </c>
      <c r="U138" s="58" t="s">
        <v>2530</v>
      </c>
      <c r="V138" s="58" t="s">
        <v>2530</v>
      </c>
      <c r="W138" s="58" t="s">
        <v>2530</v>
      </c>
      <c r="X138" t="s">
        <v>3008</v>
      </c>
      <c r="Y138" s="57">
        <v>0</v>
      </c>
      <c r="Z138" s="57">
        <v>0</v>
      </c>
      <c r="AA138" s="57">
        <v>0</v>
      </c>
      <c r="AB138" s="54" t="s">
        <v>2570</v>
      </c>
      <c r="AC138" s="54" t="s">
        <v>2539</v>
      </c>
      <c r="AD138" s="56" t="s">
        <v>2540</v>
      </c>
      <c r="AE138" s="56"/>
      <c r="AF138" s="81"/>
      <c r="AG138" s="83" t="s">
        <v>45</v>
      </c>
      <c r="AH138" s="81"/>
      <c r="AI138" s="84"/>
      <c r="AJ138" s="85"/>
      <c r="AK138" s="86"/>
      <c r="AL138" s="42"/>
    </row>
    <row r="139" spans="1:38" ht="15" customHeight="1">
      <c r="A139" s="69">
        <v>46175</v>
      </c>
      <c r="B139" s="70" t="str">
        <f t="shared" si="7"/>
        <v>18 A 06</v>
      </c>
      <c r="C139" s="71" t="str">
        <f t="shared" si="8"/>
        <v>18:00 a 20:00</v>
      </c>
      <c r="D139" s="56" t="s">
        <v>2807</v>
      </c>
      <c r="E139" s="54">
        <v>4</v>
      </c>
      <c r="F139" s="77" t="s">
        <v>2810</v>
      </c>
      <c r="G139" s="77" t="s">
        <v>439</v>
      </c>
      <c r="H139" s="73">
        <v>343206</v>
      </c>
      <c r="I139" s="70">
        <v>48306519</v>
      </c>
      <c r="J139" s="56" t="s">
        <v>2543</v>
      </c>
      <c r="K139" s="79" t="s">
        <v>87</v>
      </c>
      <c r="L139" s="77" t="s">
        <v>2531</v>
      </c>
      <c r="M139" s="77"/>
      <c r="N139" s="77"/>
      <c r="O139" s="77" t="s">
        <v>2816</v>
      </c>
      <c r="P139" s="78" t="s">
        <v>2569</v>
      </c>
      <c r="Q139" s="58">
        <v>0.75763888888888897</v>
      </c>
      <c r="R139" s="58">
        <v>0.76944444444444504</v>
      </c>
      <c r="S139" s="58">
        <v>0.75763888888888897</v>
      </c>
      <c r="T139" s="58" t="s">
        <v>2530</v>
      </c>
      <c r="U139" s="58" t="s">
        <v>2530</v>
      </c>
      <c r="V139" s="58" t="s">
        <v>2530</v>
      </c>
      <c r="W139" s="58" t="s">
        <v>2530</v>
      </c>
      <c r="X139" t="s">
        <v>3009</v>
      </c>
      <c r="Y139" s="57">
        <v>0</v>
      </c>
      <c r="Z139" s="57">
        <v>0</v>
      </c>
      <c r="AA139" s="57">
        <v>0</v>
      </c>
      <c r="AB139" s="54" t="s">
        <v>2570</v>
      </c>
      <c r="AC139" s="54" t="s">
        <v>2539</v>
      </c>
      <c r="AD139" s="56" t="s">
        <v>2540</v>
      </c>
      <c r="AE139" s="56"/>
      <c r="AF139" s="81"/>
      <c r="AG139" s="83" t="s">
        <v>45</v>
      </c>
      <c r="AH139" s="81"/>
      <c r="AI139" s="84"/>
      <c r="AJ139" s="85"/>
      <c r="AK139" s="86"/>
      <c r="AL139" s="42"/>
    </row>
    <row r="140" spans="1:38" ht="15" customHeight="1">
      <c r="A140" s="69">
        <v>46175</v>
      </c>
      <c r="B140" s="70" t="str">
        <f t="shared" si="7"/>
        <v>18 A 06</v>
      </c>
      <c r="C140" s="71" t="str">
        <f t="shared" si="8"/>
        <v>18:00 a 20:00</v>
      </c>
      <c r="D140" s="56" t="s">
        <v>2807</v>
      </c>
      <c r="E140" s="54">
        <v>4</v>
      </c>
      <c r="F140" s="77" t="s">
        <v>314</v>
      </c>
      <c r="G140" s="77" t="s">
        <v>835</v>
      </c>
      <c r="H140" s="73">
        <v>343112</v>
      </c>
      <c r="I140" s="70">
        <v>48306805</v>
      </c>
      <c r="J140" s="56" t="s">
        <v>2538</v>
      </c>
      <c r="K140" s="79" t="s">
        <v>87</v>
      </c>
      <c r="L140" s="77" t="s">
        <v>137</v>
      </c>
      <c r="M140" s="77"/>
      <c r="N140" s="77"/>
      <c r="O140" s="77" t="s">
        <v>2817</v>
      </c>
      <c r="P140" s="78" t="s">
        <v>2588</v>
      </c>
      <c r="Q140" s="58">
        <v>0.76805555555555605</v>
      </c>
      <c r="R140" s="58">
        <v>0.78472222222222199</v>
      </c>
      <c r="S140" s="58">
        <v>0.76805555555555605</v>
      </c>
      <c r="T140" s="58" t="s">
        <v>2530</v>
      </c>
      <c r="U140" s="58" t="s">
        <v>2530</v>
      </c>
      <c r="V140" s="58" t="s">
        <v>2530</v>
      </c>
      <c r="W140" s="58" t="s">
        <v>2530</v>
      </c>
      <c r="X140" t="s">
        <v>3010</v>
      </c>
      <c r="Y140" s="57">
        <v>0</v>
      </c>
      <c r="Z140" s="57">
        <v>0</v>
      </c>
      <c r="AA140" s="57">
        <v>0</v>
      </c>
      <c r="AB140" s="54" t="s">
        <v>2589</v>
      </c>
      <c r="AC140" s="54" t="s">
        <v>2539</v>
      </c>
      <c r="AD140" s="56" t="s">
        <v>2540</v>
      </c>
      <c r="AE140" s="56"/>
      <c r="AF140" s="81"/>
      <c r="AG140" s="83" t="s">
        <v>45</v>
      </c>
      <c r="AH140" s="81"/>
      <c r="AI140" s="84"/>
      <c r="AJ140" s="85"/>
      <c r="AK140" s="86"/>
      <c r="AL140" s="42"/>
    </row>
    <row r="141" spans="1:38" ht="15" customHeight="1">
      <c r="A141" s="69">
        <v>46175</v>
      </c>
      <c r="B141" s="70" t="str">
        <f t="shared" si="7"/>
        <v>18 A 06</v>
      </c>
      <c r="C141" s="71" t="str">
        <f t="shared" si="8"/>
        <v>18:00 a 20:00</v>
      </c>
      <c r="D141" s="56" t="s">
        <v>2807</v>
      </c>
      <c r="E141" s="54">
        <v>4</v>
      </c>
      <c r="F141" s="77" t="s">
        <v>2809</v>
      </c>
      <c r="G141" s="77" t="s">
        <v>1344</v>
      </c>
      <c r="H141" s="73">
        <v>342983</v>
      </c>
      <c r="I141" s="70">
        <v>48306849</v>
      </c>
      <c r="J141" s="56" t="s">
        <v>2538</v>
      </c>
      <c r="K141" s="79" t="s">
        <v>2513</v>
      </c>
      <c r="L141" s="77"/>
      <c r="M141" s="77"/>
      <c r="N141" s="77"/>
      <c r="O141" s="77" t="s">
        <v>2818</v>
      </c>
      <c r="P141" s="78" t="s">
        <v>2567</v>
      </c>
      <c r="Q141" s="58">
        <v>0.76944444444444504</v>
      </c>
      <c r="R141" s="58">
        <v>0.781944444444444</v>
      </c>
      <c r="S141" s="58">
        <v>0.77916666666666701</v>
      </c>
      <c r="T141" s="58" t="s">
        <v>2530</v>
      </c>
      <c r="U141" s="58" t="s">
        <v>2530</v>
      </c>
      <c r="V141" s="58" t="s">
        <v>2530</v>
      </c>
      <c r="W141" s="58" t="s">
        <v>2530</v>
      </c>
      <c r="X141" t="s">
        <v>3011</v>
      </c>
      <c r="Y141" s="57">
        <v>0</v>
      </c>
      <c r="Z141" s="57">
        <v>0</v>
      </c>
      <c r="AA141" s="57">
        <v>0</v>
      </c>
      <c r="AB141" s="54" t="s">
        <v>2629</v>
      </c>
      <c r="AC141" s="54" t="s">
        <v>2539</v>
      </c>
      <c r="AD141" s="56" t="s">
        <v>2564</v>
      </c>
      <c r="AE141" s="56"/>
      <c r="AF141" s="81"/>
      <c r="AG141" s="83" t="s">
        <v>45</v>
      </c>
      <c r="AH141" s="81"/>
      <c r="AI141" s="84"/>
      <c r="AJ141" s="85"/>
      <c r="AK141" s="86"/>
      <c r="AL141" s="42"/>
    </row>
    <row r="142" spans="1:38" ht="15" customHeight="1">
      <c r="A142" s="69">
        <v>46175</v>
      </c>
      <c r="B142" s="70" t="str">
        <f t="shared" si="7"/>
        <v>18 A 06</v>
      </c>
      <c r="C142" s="71" t="str">
        <f t="shared" si="8"/>
        <v>18:00 a 20:00</v>
      </c>
      <c r="D142" s="56" t="s">
        <v>2807</v>
      </c>
      <c r="E142" s="54">
        <v>4</v>
      </c>
      <c r="F142" s="77" t="s">
        <v>2809</v>
      </c>
      <c r="G142" s="77" t="s">
        <v>389</v>
      </c>
      <c r="H142" s="73">
        <v>343233</v>
      </c>
      <c r="I142" s="70">
        <v>48306885</v>
      </c>
      <c r="J142" s="56" t="s">
        <v>2538</v>
      </c>
      <c r="K142" s="79" t="s">
        <v>66</v>
      </c>
      <c r="L142" s="77"/>
      <c r="M142" s="77"/>
      <c r="N142" s="77"/>
      <c r="O142" s="77" t="s">
        <v>2819</v>
      </c>
      <c r="P142" s="78" t="s">
        <v>2557</v>
      </c>
      <c r="Q142" s="58">
        <v>0.77013888888888904</v>
      </c>
      <c r="R142" s="58">
        <v>0.77500000000000002</v>
      </c>
      <c r="S142" s="58" t="s">
        <v>2530</v>
      </c>
      <c r="T142" s="58" t="s">
        <v>2530</v>
      </c>
      <c r="U142" s="58" t="s">
        <v>2530</v>
      </c>
      <c r="V142" s="58" t="s">
        <v>2530</v>
      </c>
      <c r="W142" s="58" t="s">
        <v>2530</v>
      </c>
      <c r="X142" t="s">
        <v>3012</v>
      </c>
      <c r="Y142" s="57">
        <v>0</v>
      </c>
      <c r="Z142" s="57">
        <v>0</v>
      </c>
      <c r="AA142" s="57">
        <v>0</v>
      </c>
      <c r="AB142" s="54" t="s">
        <v>2593</v>
      </c>
      <c r="AC142" s="54" t="s">
        <v>2539</v>
      </c>
      <c r="AD142" s="56" t="s">
        <v>2564</v>
      </c>
      <c r="AE142" s="56"/>
      <c r="AF142" s="81"/>
      <c r="AG142" s="83" t="s">
        <v>45</v>
      </c>
      <c r="AH142" s="81"/>
      <c r="AI142" s="84"/>
      <c r="AJ142" s="85"/>
      <c r="AK142" s="86"/>
      <c r="AL142" s="42"/>
    </row>
    <row r="143" spans="1:38" ht="15" customHeight="1">
      <c r="A143" s="69">
        <v>46175</v>
      </c>
      <c r="B143" s="70" t="str">
        <f t="shared" si="7"/>
        <v>18 A 06</v>
      </c>
      <c r="C143" s="71" t="str">
        <f t="shared" si="8"/>
        <v>18:00 a 20:00</v>
      </c>
      <c r="D143" s="56" t="s">
        <v>2807</v>
      </c>
      <c r="E143" s="54">
        <v>4</v>
      </c>
      <c r="F143" s="77" t="s">
        <v>314</v>
      </c>
      <c r="G143" s="77" t="s">
        <v>1424</v>
      </c>
      <c r="H143" s="73">
        <v>343065</v>
      </c>
      <c r="I143" s="70">
        <v>48306860</v>
      </c>
      <c r="J143" s="56" t="s">
        <v>2538</v>
      </c>
      <c r="K143" s="79" t="s">
        <v>2513</v>
      </c>
      <c r="L143" s="77"/>
      <c r="M143" s="77"/>
      <c r="N143" s="77"/>
      <c r="O143" s="77" t="s">
        <v>2820</v>
      </c>
      <c r="P143" s="78" t="s">
        <v>2595</v>
      </c>
      <c r="Q143" s="58">
        <v>0.77083333333333304</v>
      </c>
      <c r="R143" s="58">
        <v>0.78749999999999998</v>
      </c>
      <c r="S143" s="58">
        <v>0.78541666666666698</v>
      </c>
      <c r="T143" s="58" t="s">
        <v>2530</v>
      </c>
      <c r="U143" s="58" t="s">
        <v>2530</v>
      </c>
      <c r="V143" s="58" t="s">
        <v>2530</v>
      </c>
      <c r="W143" s="58" t="s">
        <v>2530</v>
      </c>
      <c r="X143" s="111" t="s">
        <v>3013</v>
      </c>
      <c r="Y143" s="57">
        <v>0</v>
      </c>
      <c r="Z143" s="57">
        <v>0</v>
      </c>
      <c r="AA143" s="57">
        <v>0</v>
      </c>
      <c r="AB143" s="54" t="s">
        <v>2596</v>
      </c>
      <c r="AC143" s="54" t="s">
        <v>2539</v>
      </c>
      <c r="AD143" s="56" t="s">
        <v>2540</v>
      </c>
      <c r="AE143" s="56"/>
      <c r="AF143" s="81"/>
      <c r="AG143" s="83" t="s">
        <v>45</v>
      </c>
      <c r="AH143" s="81"/>
      <c r="AI143" s="84"/>
      <c r="AJ143" s="85"/>
      <c r="AK143" s="86"/>
      <c r="AL143" s="42"/>
    </row>
    <row r="144" spans="1:38" ht="15" customHeight="1">
      <c r="A144" s="69">
        <v>46175</v>
      </c>
      <c r="B144" s="70" t="str">
        <f t="shared" si="7"/>
        <v>18 A 06</v>
      </c>
      <c r="C144" s="71" t="str">
        <f t="shared" si="8"/>
        <v>18:00 a 20:00</v>
      </c>
      <c r="D144" s="56" t="s">
        <v>2807</v>
      </c>
      <c r="E144" s="54">
        <v>4</v>
      </c>
      <c r="F144" s="77" t="s">
        <v>2809</v>
      </c>
      <c r="G144" s="77" t="s">
        <v>1945</v>
      </c>
      <c r="H144" s="73">
        <v>343064</v>
      </c>
      <c r="I144" s="70">
        <v>48306370</v>
      </c>
      <c r="J144" s="56" t="s">
        <v>2538</v>
      </c>
      <c r="K144" s="79" t="s">
        <v>155</v>
      </c>
      <c r="L144" s="77"/>
      <c r="M144" s="77"/>
      <c r="N144" s="77"/>
      <c r="O144" s="77" t="s">
        <v>2821</v>
      </c>
      <c r="P144" s="78" t="s">
        <v>2557</v>
      </c>
      <c r="Q144" s="58">
        <v>0.77291666666666703</v>
      </c>
      <c r="R144" s="58">
        <v>0.80555555555555602</v>
      </c>
      <c r="S144" s="58" t="s">
        <v>2530</v>
      </c>
      <c r="T144" s="58" t="s">
        <v>2530</v>
      </c>
      <c r="U144" s="58" t="s">
        <v>2530</v>
      </c>
      <c r="V144" s="58" t="s">
        <v>2530</v>
      </c>
      <c r="W144" s="58" t="s">
        <v>2530</v>
      </c>
      <c r="X144" t="s">
        <v>3014</v>
      </c>
      <c r="Y144" s="57">
        <v>0</v>
      </c>
      <c r="Z144" s="57">
        <v>0</v>
      </c>
      <c r="AA144" s="57">
        <v>0</v>
      </c>
      <c r="AB144" s="54" t="s">
        <v>2593</v>
      </c>
      <c r="AC144" s="54" t="s">
        <v>2539</v>
      </c>
      <c r="AD144" s="56" t="s">
        <v>2564</v>
      </c>
      <c r="AE144" s="56"/>
      <c r="AF144" s="81"/>
      <c r="AG144" s="83" t="s">
        <v>45</v>
      </c>
      <c r="AH144" s="81"/>
      <c r="AI144" s="84"/>
      <c r="AJ144" s="85"/>
      <c r="AK144" s="86"/>
      <c r="AL144" s="42"/>
    </row>
    <row r="145" spans="1:38" ht="15" customHeight="1">
      <c r="A145" s="69">
        <v>46175</v>
      </c>
      <c r="B145" s="70" t="str">
        <f t="shared" si="7"/>
        <v>18 A 06</v>
      </c>
      <c r="C145" s="71" t="str">
        <f t="shared" si="8"/>
        <v>18:00 a 20:00</v>
      </c>
      <c r="D145" s="56" t="s">
        <v>2807</v>
      </c>
      <c r="E145" s="54">
        <v>4</v>
      </c>
      <c r="F145" s="77" t="s">
        <v>314</v>
      </c>
      <c r="G145" s="77" t="s">
        <v>835</v>
      </c>
      <c r="H145" s="73">
        <v>343200</v>
      </c>
      <c r="I145" s="70">
        <v>48306907</v>
      </c>
      <c r="J145" s="56" t="s">
        <v>2538</v>
      </c>
      <c r="K145" s="79" t="s">
        <v>87</v>
      </c>
      <c r="L145" s="77" t="s">
        <v>137</v>
      </c>
      <c r="M145" s="77"/>
      <c r="N145" s="77"/>
      <c r="O145" s="77" t="s">
        <v>2822</v>
      </c>
      <c r="P145" s="78" t="s">
        <v>2583</v>
      </c>
      <c r="Q145" s="58">
        <v>0.77708333333333302</v>
      </c>
      <c r="R145" s="58">
        <v>0.78125</v>
      </c>
      <c r="S145" s="58">
        <v>0.77708333333333302</v>
      </c>
      <c r="T145" s="58" t="s">
        <v>2530</v>
      </c>
      <c r="U145" s="58" t="s">
        <v>2530</v>
      </c>
      <c r="V145" s="58" t="s">
        <v>2530</v>
      </c>
      <c r="W145" s="58" t="s">
        <v>2530</v>
      </c>
      <c r="X145" s="111" t="s">
        <v>3015</v>
      </c>
      <c r="Y145" s="57">
        <v>0</v>
      </c>
      <c r="Z145" s="57">
        <v>0</v>
      </c>
      <c r="AA145" s="57">
        <v>0</v>
      </c>
      <c r="AB145" s="54" t="s">
        <v>2597</v>
      </c>
      <c r="AC145" s="54" t="s">
        <v>2539</v>
      </c>
      <c r="AD145" s="56" t="s">
        <v>2540</v>
      </c>
      <c r="AE145" s="56" t="s">
        <v>2556</v>
      </c>
      <c r="AF145" s="81"/>
      <c r="AG145" s="83" t="s">
        <v>45</v>
      </c>
      <c r="AH145" s="81"/>
      <c r="AI145" s="84"/>
      <c r="AJ145" s="85"/>
      <c r="AK145" s="86"/>
      <c r="AL145" s="42"/>
    </row>
    <row r="146" spans="1:38" ht="15" customHeight="1">
      <c r="A146" s="69">
        <v>46175</v>
      </c>
      <c r="B146" s="70" t="str">
        <f t="shared" si="7"/>
        <v>18 A 06</v>
      </c>
      <c r="C146" s="71" t="str">
        <f t="shared" si="8"/>
        <v>18:00 a 20:00</v>
      </c>
      <c r="D146" s="56" t="s">
        <v>2807</v>
      </c>
      <c r="E146" s="54">
        <v>4</v>
      </c>
      <c r="F146" s="77" t="s">
        <v>2808</v>
      </c>
      <c r="G146" s="77" t="s">
        <v>463</v>
      </c>
      <c r="H146" s="73">
        <v>343031</v>
      </c>
      <c r="I146" s="70">
        <v>48307040</v>
      </c>
      <c r="J146" s="56" t="s">
        <v>2544</v>
      </c>
      <c r="K146" s="79" t="s">
        <v>87</v>
      </c>
      <c r="L146" s="77" t="s">
        <v>126</v>
      </c>
      <c r="M146" s="77"/>
      <c r="N146" s="77"/>
      <c r="O146" s="77" t="s">
        <v>2823</v>
      </c>
      <c r="P146" s="78" t="s">
        <v>2824</v>
      </c>
      <c r="Q146" s="58">
        <v>0.780555555555556</v>
      </c>
      <c r="R146" s="58">
        <v>0.83055555555555605</v>
      </c>
      <c r="S146" s="58">
        <v>0.780555555555556</v>
      </c>
      <c r="T146" s="58" t="s">
        <v>2530</v>
      </c>
      <c r="U146" s="58" t="s">
        <v>2530</v>
      </c>
      <c r="V146" s="58" t="s">
        <v>2530</v>
      </c>
      <c r="W146" s="58" t="s">
        <v>2530</v>
      </c>
      <c r="X146" t="s">
        <v>3016</v>
      </c>
      <c r="Y146" s="57">
        <v>0</v>
      </c>
      <c r="Z146" s="57">
        <v>0</v>
      </c>
      <c r="AA146" s="57">
        <v>0</v>
      </c>
      <c r="AB146" s="54" t="s">
        <v>2825</v>
      </c>
      <c r="AC146" s="54" t="s">
        <v>2539</v>
      </c>
      <c r="AD146" s="56" t="s">
        <v>2540</v>
      </c>
      <c r="AE146" s="56"/>
      <c r="AF146" s="81"/>
      <c r="AG146" s="83" t="s">
        <v>45</v>
      </c>
      <c r="AH146" s="81"/>
      <c r="AI146" s="84"/>
      <c r="AJ146" s="85"/>
      <c r="AK146" s="86"/>
      <c r="AL146" s="42"/>
    </row>
    <row r="147" spans="1:38" ht="15" customHeight="1">
      <c r="A147" s="69">
        <v>46175</v>
      </c>
      <c r="B147" s="70" t="str">
        <f t="shared" si="7"/>
        <v>18 A 06</v>
      </c>
      <c r="C147" s="71" t="str">
        <f t="shared" si="8"/>
        <v>18:00 a 20:00</v>
      </c>
      <c r="D147" s="56" t="s">
        <v>2807</v>
      </c>
      <c r="E147" s="54">
        <v>4</v>
      </c>
      <c r="F147" s="77" t="s">
        <v>314</v>
      </c>
      <c r="G147" s="77" t="s">
        <v>1245</v>
      </c>
      <c r="H147" s="73">
        <v>343134</v>
      </c>
      <c r="I147" s="70">
        <v>48306893</v>
      </c>
      <c r="J147" s="56" t="s">
        <v>2538</v>
      </c>
      <c r="K147" s="79" t="s">
        <v>87</v>
      </c>
      <c r="L147" s="77" t="s">
        <v>174</v>
      </c>
      <c r="M147" s="77"/>
      <c r="N147" s="77"/>
      <c r="O147" s="77" t="s">
        <v>2826</v>
      </c>
      <c r="P147" s="78" t="s">
        <v>2609</v>
      </c>
      <c r="Q147" s="58">
        <v>0.78333333333333299</v>
      </c>
      <c r="R147" s="58">
        <v>0.80625000000000002</v>
      </c>
      <c r="S147" s="58">
        <v>0.78333333333333299</v>
      </c>
      <c r="T147" s="58" t="s">
        <v>2530</v>
      </c>
      <c r="U147" s="58" t="s">
        <v>2530</v>
      </c>
      <c r="V147" s="58" t="s">
        <v>2530</v>
      </c>
      <c r="W147" s="58" t="s">
        <v>2530</v>
      </c>
      <c r="X147" t="s">
        <v>3017</v>
      </c>
      <c r="Y147" s="57">
        <v>0</v>
      </c>
      <c r="Z147" s="57">
        <v>0</v>
      </c>
      <c r="AA147" s="57">
        <v>0</v>
      </c>
      <c r="AB147" s="54" t="s">
        <v>2610</v>
      </c>
      <c r="AC147" s="54" t="s">
        <v>2539</v>
      </c>
      <c r="AD147" s="56" t="s">
        <v>2540</v>
      </c>
      <c r="AE147" s="56"/>
      <c r="AF147" s="81"/>
      <c r="AG147" s="83" t="s">
        <v>45</v>
      </c>
      <c r="AH147" s="81"/>
      <c r="AI147" s="84"/>
      <c r="AJ147" s="85"/>
      <c r="AK147" s="86"/>
      <c r="AL147" s="42"/>
    </row>
    <row r="148" spans="1:38" ht="15" customHeight="1">
      <c r="A148" s="69">
        <v>46175</v>
      </c>
      <c r="B148" s="70" t="str">
        <f t="shared" si="7"/>
        <v>18 A 06</v>
      </c>
      <c r="C148" s="71" t="str">
        <f t="shared" si="8"/>
        <v>18:00 a 20:00</v>
      </c>
      <c r="D148" s="56" t="s">
        <v>2807</v>
      </c>
      <c r="E148" s="54">
        <v>4</v>
      </c>
      <c r="F148" s="77" t="s">
        <v>2809</v>
      </c>
      <c r="G148" s="77" t="s">
        <v>310</v>
      </c>
      <c r="H148" s="73">
        <v>343383</v>
      </c>
      <c r="I148" s="70">
        <v>48307113</v>
      </c>
      <c r="J148" s="56" t="s">
        <v>2538</v>
      </c>
      <c r="K148" s="79" t="s">
        <v>167</v>
      </c>
      <c r="L148" s="77"/>
      <c r="M148" s="77"/>
      <c r="N148" s="77"/>
      <c r="O148" s="77" t="s">
        <v>2827</v>
      </c>
      <c r="P148" s="78" t="s">
        <v>2622</v>
      </c>
      <c r="Q148" s="58">
        <v>0.78680555555555598</v>
      </c>
      <c r="R148" s="58">
        <v>0.79027777777777797</v>
      </c>
      <c r="S148" s="58" t="s">
        <v>2530</v>
      </c>
      <c r="T148" s="58" t="s">
        <v>2530</v>
      </c>
      <c r="U148" s="58" t="s">
        <v>2530</v>
      </c>
      <c r="V148" s="58" t="s">
        <v>2530</v>
      </c>
      <c r="W148" s="58" t="s">
        <v>2530</v>
      </c>
      <c r="X148" t="s">
        <v>3018</v>
      </c>
      <c r="Y148" s="57">
        <v>0</v>
      </c>
      <c r="Z148" s="57">
        <v>0</v>
      </c>
      <c r="AA148" s="57">
        <v>0</v>
      </c>
      <c r="AB148" s="54" t="s">
        <v>2568</v>
      </c>
      <c r="AC148" s="54" t="s">
        <v>2539</v>
      </c>
      <c r="AD148" s="56" t="s">
        <v>2540</v>
      </c>
      <c r="AE148" s="56"/>
      <c r="AF148" s="81"/>
      <c r="AG148" s="83" t="s">
        <v>45</v>
      </c>
      <c r="AH148" s="81"/>
      <c r="AI148" s="84"/>
      <c r="AJ148" s="85"/>
      <c r="AK148" s="86"/>
      <c r="AL148" s="42"/>
    </row>
    <row r="149" spans="1:38" ht="15" customHeight="1">
      <c r="A149" s="69">
        <v>46175</v>
      </c>
      <c r="B149" s="70" t="str">
        <f t="shared" si="7"/>
        <v>18 A 06</v>
      </c>
      <c r="C149" s="71" t="str">
        <f t="shared" si="8"/>
        <v>18:00 a 20:00</v>
      </c>
      <c r="D149" s="56" t="s">
        <v>2807</v>
      </c>
      <c r="E149" s="54">
        <v>4</v>
      </c>
      <c r="F149" s="77" t="s">
        <v>314</v>
      </c>
      <c r="G149" s="77" t="s">
        <v>1585</v>
      </c>
      <c r="H149" s="73">
        <v>343100</v>
      </c>
      <c r="I149" s="70">
        <v>48307089</v>
      </c>
      <c r="J149" s="56" t="s">
        <v>2538</v>
      </c>
      <c r="K149" s="79" t="s">
        <v>2532</v>
      </c>
      <c r="L149" s="77"/>
      <c r="M149" s="77"/>
      <c r="N149" s="77"/>
      <c r="O149" s="77" t="s">
        <v>2828</v>
      </c>
      <c r="P149" s="78" t="s">
        <v>2577</v>
      </c>
      <c r="Q149" s="58">
        <v>0.78472222222222199</v>
      </c>
      <c r="R149" s="58">
        <v>0.80069444444444504</v>
      </c>
      <c r="S149" s="58">
        <v>0.79305555555555596</v>
      </c>
      <c r="T149" s="58" t="s">
        <v>2530</v>
      </c>
      <c r="U149" s="58" t="s">
        <v>2530</v>
      </c>
      <c r="V149" s="58" t="s">
        <v>2530</v>
      </c>
      <c r="W149" s="58" t="s">
        <v>2530</v>
      </c>
      <c r="X149" t="s">
        <v>3019</v>
      </c>
      <c r="Y149" s="57">
        <v>0</v>
      </c>
      <c r="Z149" s="57">
        <v>0</v>
      </c>
      <c r="AA149" s="57">
        <v>0</v>
      </c>
      <c r="AB149" s="54" t="s">
        <v>2620</v>
      </c>
      <c r="AC149" s="54" t="s">
        <v>2539</v>
      </c>
      <c r="AD149" s="56" t="s">
        <v>2540</v>
      </c>
      <c r="AE149" s="56"/>
      <c r="AF149" s="81"/>
      <c r="AG149" s="83" t="s">
        <v>45</v>
      </c>
      <c r="AH149" s="81"/>
      <c r="AI149" s="84"/>
      <c r="AJ149" s="85"/>
      <c r="AK149" s="86"/>
      <c r="AL149" s="42"/>
    </row>
    <row r="150" spans="1:38" ht="15" customHeight="1">
      <c r="A150" s="69">
        <v>46175</v>
      </c>
      <c r="B150" s="70" t="str">
        <f t="shared" si="7"/>
        <v>18 A 06</v>
      </c>
      <c r="C150" s="71" t="str">
        <f t="shared" si="8"/>
        <v>18:00 a 20:00</v>
      </c>
      <c r="D150" s="56" t="s">
        <v>2807</v>
      </c>
      <c r="E150" s="54">
        <v>4</v>
      </c>
      <c r="F150" s="77" t="s">
        <v>2809</v>
      </c>
      <c r="G150" s="77" t="s">
        <v>1479</v>
      </c>
      <c r="H150" s="73">
        <v>343224</v>
      </c>
      <c r="I150" s="70">
        <v>48307167</v>
      </c>
      <c r="J150" s="56" t="s">
        <v>2538</v>
      </c>
      <c r="K150" s="79" t="s">
        <v>87</v>
      </c>
      <c r="L150" s="77" t="s">
        <v>77</v>
      </c>
      <c r="M150" s="77" t="s">
        <v>131</v>
      </c>
      <c r="N150" s="77"/>
      <c r="O150" s="77" t="s">
        <v>2829</v>
      </c>
      <c r="P150" s="78" t="s">
        <v>2567</v>
      </c>
      <c r="Q150" s="58">
        <v>0.79236111111111096</v>
      </c>
      <c r="R150" s="58">
        <v>0.83125000000000004</v>
      </c>
      <c r="S150" s="58">
        <v>0.79236111111111096</v>
      </c>
      <c r="T150" s="58">
        <v>0.80069444444444504</v>
      </c>
      <c r="U150" s="58" t="s">
        <v>2530</v>
      </c>
      <c r="V150" s="58" t="s">
        <v>2530</v>
      </c>
      <c r="W150" s="58" t="s">
        <v>2530</v>
      </c>
      <c r="X150" t="s">
        <v>3020</v>
      </c>
      <c r="Y150" s="57">
        <v>0</v>
      </c>
      <c r="Z150" s="57">
        <v>1</v>
      </c>
      <c r="AA150" s="57">
        <v>1</v>
      </c>
      <c r="AB150" s="54" t="s">
        <v>2593</v>
      </c>
      <c r="AC150" s="54" t="s">
        <v>2539</v>
      </c>
      <c r="AD150" s="56" t="s">
        <v>2540</v>
      </c>
      <c r="AE150" s="56"/>
      <c r="AF150" s="81" t="s">
        <v>2878</v>
      </c>
      <c r="AG150" s="83" t="s">
        <v>62</v>
      </c>
      <c r="AH150" s="81"/>
      <c r="AI150" s="84" t="s">
        <v>2877</v>
      </c>
      <c r="AJ150" s="85"/>
      <c r="AK150" s="86"/>
      <c r="AL150" s="42"/>
    </row>
    <row r="151" spans="1:38" ht="15" customHeight="1">
      <c r="A151" s="69">
        <v>46175</v>
      </c>
      <c r="B151" s="70" t="str">
        <f t="shared" si="7"/>
        <v>18 A 06</v>
      </c>
      <c r="C151" s="71" t="str">
        <f t="shared" si="8"/>
        <v>18:00 a 20:00</v>
      </c>
      <c r="D151" s="56" t="s">
        <v>2807</v>
      </c>
      <c r="E151" s="54">
        <v>4</v>
      </c>
      <c r="F151" s="77" t="s">
        <v>2810</v>
      </c>
      <c r="G151" s="77" t="s">
        <v>514</v>
      </c>
      <c r="H151" s="73">
        <v>343203</v>
      </c>
      <c r="I151" s="70">
        <v>48307185</v>
      </c>
      <c r="J151" s="56" t="s">
        <v>2543</v>
      </c>
      <c r="K151" s="79" t="s">
        <v>167</v>
      </c>
      <c r="L151" s="77"/>
      <c r="M151" s="77"/>
      <c r="N151" s="77"/>
      <c r="O151" s="77" t="s">
        <v>2830</v>
      </c>
      <c r="P151" s="78" t="s">
        <v>2616</v>
      </c>
      <c r="Q151" s="58">
        <v>0.79652777777777795</v>
      </c>
      <c r="R151" s="58">
        <v>0.80763888888888902</v>
      </c>
      <c r="S151" s="58">
        <v>0.80069444444444504</v>
      </c>
      <c r="T151" s="58" t="s">
        <v>2530</v>
      </c>
      <c r="U151" s="58" t="s">
        <v>2530</v>
      </c>
      <c r="V151" s="58" t="s">
        <v>2530</v>
      </c>
      <c r="W151" s="58" t="s">
        <v>2530</v>
      </c>
      <c r="X151" t="s">
        <v>3021</v>
      </c>
      <c r="Y151" s="57">
        <v>0</v>
      </c>
      <c r="Z151" s="57">
        <v>0</v>
      </c>
      <c r="AA151" s="57">
        <v>0</v>
      </c>
      <c r="AB151" s="54" t="s">
        <v>2658</v>
      </c>
      <c r="AC151" s="54" t="s">
        <v>2539</v>
      </c>
      <c r="AD151" s="56" t="s">
        <v>2540</v>
      </c>
      <c r="AE151" s="56"/>
      <c r="AF151" s="81"/>
      <c r="AG151" s="83" t="s">
        <v>45</v>
      </c>
      <c r="AH151" s="81"/>
      <c r="AI151" s="84"/>
      <c r="AJ151" s="85"/>
      <c r="AK151" s="86"/>
      <c r="AL151" s="42"/>
    </row>
    <row r="152" spans="1:38" ht="15" customHeight="1">
      <c r="A152" s="69">
        <v>46175</v>
      </c>
      <c r="B152" s="70" t="str">
        <f t="shared" si="7"/>
        <v>18 A 06</v>
      </c>
      <c r="C152" s="71" t="str">
        <f t="shared" si="8"/>
        <v>18:00 a 20:00</v>
      </c>
      <c r="D152" s="56" t="s">
        <v>2807</v>
      </c>
      <c r="E152" s="54">
        <v>4</v>
      </c>
      <c r="F152" s="77" t="s">
        <v>2809</v>
      </c>
      <c r="G152" s="77" t="s">
        <v>1344</v>
      </c>
      <c r="H152" s="73">
        <v>343061</v>
      </c>
      <c r="I152" s="70">
        <v>48307186</v>
      </c>
      <c r="J152" s="56" t="s">
        <v>2538</v>
      </c>
      <c r="K152" s="79" t="s">
        <v>155</v>
      </c>
      <c r="L152" s="77"/>
      <c r="M152" s="77"/>
      <c r="N152" s="77"/>
      <c r="O152" s="77" t="s">
        <v>2592</v>
      </c>
      <c r="P152" s="78" t="s">
        <v>2557</v>
      </c>
      <c r="Q152" s="58">
        <v>0.79722222222222205</v>
      </c>
      <c r="R152" s="58">
        <v>0.84027777777777801</v>
      </c>
      <c r="S152" s="58">
        <v>0.79722222222222205</v>
      </c>
      <c r="T152" s="58" t="s">
        <v>2530</v>
      </c>
      <c r="U152" s="58" t="s">
        <v>2530</v>
      </c>
      <c r="V152" s="58" t="s">
        <v>2530</v>
      </c>
      <c r="W152" s="58" t="s">
        <v>2530</v>
      </c>
      <c r="X152" t="s">
        <v>3022</v>
      </c>
      <c r="Y152" s="57">
        <v>0</v>
      </c>
      <c r="Z152" s="57">
        <v>0</v>
      </c>
      <c r="AA152" s="57">
        <v>0</v>
      </c>
      <c r="AB152" s="54" t="s">
        <v>2593</v>
      </c>
      <c r="AC152" s="54" t="s">
        <v>2539</v>
      </c>
      <c r="AD152" s="56" t="s">
        <v>2540</v>
      </c>
      <c r="AE152" s="56"/>
      <c r="AF152" s="81"/>
      <c r="AG152" s="83" t="s">
        <v>45</v>
      </c>
      <c r="AH152" s="81"/>
      <c r="AI152" s="84"/>
      <c r="AJ152" s="85"/>
      <c r="AK152" s="86"/>
      <c r="AL152" s="42"/>
    </row>
    <row r="153" spans="1:38" ht="15" customHeight="1">
      <c r="A153" s="69">
        <v>46175</v>
      </c>
      <c r="B153" s="70" t="str">
        <f t="shared" si="7"/>
        <v>18 A 06</v>
      </c>
      <c r="C153" s="71" t="str">
        <f t="shared" si="8"/>
        <v>18:00 a 20:00</v>
      </c>
      <c r="D153" s="56" t="s">
        <v>2807</v>
      </c>
      <c r="E153" s="54">
        <v>4</v>
      </c>
      <c r="F153" s="77" t="s">
        <v>2809</v>
      </c>
      <c r="G153" s="77" t="s">
        <v>2161</v>
      </c>
      <c r="H153" s="73">
        <v>343236</v>
      </c>
      <c r="I153" s="70">
        <v>48307327</v>
      </c>
      <c r="J153" s="56" t="s">
        <v>2538</v>
      </c>
      <c r="K153" s="79" t="s">
        <v>2532</v>
      </c>
      <c r="L153" s="77"/>
      <c r="M153" s="77"/>
      <c r="N153" s="77"/>
      <c r="O153" s="77" t="s">
        <v>2831</v>
      </c>
      <c r="P153" s="78" t="s">
        <v>2603</v>
      </c>
      <c r="Q153" s="58">
        <v>0.8</v>
      </c>
      <c r="R153" s="58">
        <v>0.81527777777777799</v>
      </c>
      <c r="S153" s="58">
        <v>0.80625000000000002</v>
      </c>
      <c r="T153" s="58" t="s">
        <v>2530</v>
      </c>
      <c r="U153" s="58" t="s">
        <v>2530</v>
      </c>
      <c r="V153" s="58" t="s">
        <v>2530</v>
      </c>
      <c r="W153" s="58" t="s">
        <v>2530</v>
      </c>
      <c r="X153" t="s">
        <v>3023</v>
      </c>
      <c r="Y153" s="57">
        <v>0</v>
      </c>
      <c r="Z153" s="57">
        <v>0</v>
      </c>
      <c r="AA153" s="57">
        <v>0</v>
      </c>
      <c r="AB153" s="54" t="s">
        <v>2575</v>
      </c>
      <c r="AC153" s="54" t="s">
        <v>2539</v>
      </c>
      <c r="AD153" s="56" t="s">
        <v>2564</v>
      </c>
      <c r="AE153" s="56"/>
      <c r="AF153" s="81"/>
      <c r="AG153" s="83" t="s">
        <v>45</v>
      </c>
      <c r="AH153" s="81"/>
      <c r="AI153" s="84"/>
      <c r="AJ153" s="85"/>
      <c r="AK153" s="86"/>
      <c r="AL153" s="42"/>
    </row>
    <row r="154" spans="1:38" ht="15" customHeight="1">
      <c r="A154" s="69">
        <v>46175</v>
      </c>
      <c r="B154" s="70" t="str">
        <f t="shared" si="7"/>
        <v>18 A 06</v>
      </c>
      <c r="C154" s="71" t="str">
        <f t="shared" si="8"/>
        <v>18:00 a 20:00</v>
      </c>
      <c r="D154" s="56" t="s">
        <v>2807</v>
      </c>
      <c r="E154" s="54">
        <v>4</v>
      </c>
      <c r="F154" s="77" t="s">
        <v>314</v>
      </c>
      <c r="G154" s="77" t="s">
        <v>1424</v>
      </c>
      <c r="H154" s="73">
        <v>343121</v>
      </c>
      <c r="I154" s="70">
        <v>48307221</v>
      </c>
      <c r="J154" s="56" t="s">
        <v>2538</v>
      </c>
      <c r="K154" s="79" t="s">
        <v>87</v>
      </c>
      <c r="L154" s="77" t="s">
        <v>126</v>
      </c>
      <c r="M154" s="77"/>
      <c r="N154" s="77"/>
      <c r="O154" s="77" t="s">
        <v>2832</v>
      </c>
      <c r="P154" s="78" t="s">
        <v>2560</v>
      </c>
      <c r="Q154" s="58">
        <v>0.8</v>
      </c>
      <c r="R154" s="58">
        <v>0.80069444444444504</v>
      </c>
      <c r="S154" s="58">
        <v>0.8</v>
      </c>
      <c r="T154" s="58" t="s">
        <v>2530</v>
      </c>
      <c r="U154" s="58" t="s">
        <v>2530</v>
      </c>
      <c r="V154" s="58" t="s">
        <v>2530</v>
      </c>
      <c r="W154" s="58" t="s">
        <v>2530</v>
      </c>
      <c r="X154" t="s">
        <v>3024</v>
      </c>
      <c r="Y154" s="57">
        <v>0</v>
      </c>
      <c r="Z154" s="57">
        <v>0</v>
      </c>
      <c r="AA154" s="57">
        <v>0</v>
      </c>
      <c r="AB154" s="54" t="s">
        <v>2587</v>
      </c>
      <c r="AC154" s="54" t="s">
        <v>2539</v>
      </c>
      <c r="AD154" s="56" t="s">
        <v>2540</v>
      </c>
      <c r="AE154" s="56" t="s">
        <v>2556</v>
      </c>
      <c r="AF154" s="81"/>
      <c r="AG154" s="83" t="s">
        <v>45</v>
      </c>
      <c r="AH154" s="81"/>
      <c r="AI154" s="84"/>
      <c r="AJ154" s="85"/>
      <c r="AK154" s="86"/>
      <c r="AL154" s="42"/>
    </row>
    <row r="155" spans="1:38" ht="15" customHeight="1">
      <c r="A155" s="69">
        <v>46175</v>
      </c>
      <c r="B155" s="70" t="str">
        <f t="shared" si="7"/>
        <v>18 A 06</v>
      </c>
      <c r="C155" s="71" t="str">
        <f t="shared" si="8"/>
        <v>18:00 a 20:00</v>
      </c>
      <c r="D155" s="56" t="s">
        <v>2807</v>
      </c>
      <c r="E155" s="54">
        <v>4</v>
      </c>
      <c r="F155" s="77" t="s">
        <v>314</v>
      </c>
      <c r="G155" s="77" t="s">
        <v>2265</v>
      </c>
      <c r="H155" s="73">
        <v>343129</v>
      </c>
      <c r="I155" s="70">
        <v>48307309</v>
      </c>
      <c r="J155" s="56" t="s">
        <v>2538</v>
      </c>
      <c r="K155" s="79" t="s">
        <v>146</v>
      </c>
      <c r="L155" s="77"/>
      <c r="M155" s="77"/>
      <c r="N155" s="77"/>
      <c r="O155" s="77" t="s">
        <v>2833</v>
      </c>
      <c r="P155" s="78" t="s">
        <v>2599</v>
      </c>
      <c r="Q155" s="58">
        <v>0.80486111111111103</v>
      </c>
      <c r="R155" s="58">
        <v>0.80763888888888902</v>
      </c>
      <c r="S155" s="58">
        <v>0.80555555555555602</v>
      </c>
      <c r="T155" s="58" t="s">
        <v>2530</v>
      </c>
      <c r="U155" s="58" t="s">
        <v>2530</v>
      </c>
      <c r="V155" s="58" t="s">
        <v>2530</v>
      </c>
      <c r="W155" s="58" t="s">
        <v>2530</v>
      </c>
      <c r="X155" t="s">
        <v>3025</v>
      </c>
      <c r="Y155" s="57">
        <v>0</v>
      </c>
      <c r="Z155" s="57">
        <v>0</v>
      </c>
      <c r="AA155" s="57">
        <v>0</v>
      </c>
      <c r="AB155" s="54" t="s">
        <v>2606</v>
      </c>
      <c r="AC155" s="54" t="s">
        <v>2539</v>
      </c>
      <c r="AD155" s="56" t="s">
        <v>2540</v>
      </c>
      <c r="AE155" s="56" t="s">
        <v>2556</v>
      </c>
      <c r="AF155" s="81"/>
      <c r="AG155" s="83" t="s">
        <v>45</v>
      </c>
      <c r="AH155" s="81"/>
      <c r="AI155" s="84"/>
      <c r="AJ155" s="85"/>
      <c r="AK155" s="86"/>
      <c r="AL155" s="42"/>
    </row>
    <row r="156" spans="1:38" ht="15" customHeight="1">
      <c r="A156" s="69">
        <v>46175</v>
      </c>
      <c r="B156" s="70" t="str">
        <f t="shared" si="7"/>
        <v>18 A 06</v>
      </c>
      <c r="C156" s="71" t="str">
        <f t="shared" si="8"/>
        <v>18:00 a 20:00</v>
      </c>
      <c r="D156" s="56" t="s">
        <v>2807</v>
      </c>
      <c r="E156" s="54">
        <v>4</v>
      </c>
      <c r="F156" s="77" t="s">
        <v>2808</v>
      </c>
      <c r="G156" s="77" t="s">
        <v>860</v>
      </c>
      <c r="H156" s="73">
        <v>343205</v>
      </c>
      <c r="I156" s="70">
        <v>48307138</v>
      </c>
      <c r="J156" s="56" t="s">
        <v>2544</v>
      </c>
      <c r="K156" s="79" t="s">
        <v>87</v>
      </c>
      <c r="L156" s="77" t="s">
        <v>2531</v>
      </c>
      <c r="M156" s="77"/>
      <c r="N156" s="77"/>
      <c r="O156" s="77" t="s">
        <v>2834</v>
      </c>
      <c r="P156" s="78" t="s">
        <v>2571</v>
      </c>
      <c r="Q156" s="58">
        <v>0.80902777777777801</v>
      </c>
      <c r="R156" s="58">
        <v>0.86458333333333304</v>
      </c>
      <c r="S156" s="58">
        <v>0.80902777777777801</v>
      </c>
      <c r="T156" s="58" t="s">
        <v>2530</v>
      </c>
      <c r="U156" s="58" t="s">
        <v>2530</v>
      </c>
      <c r="V156" s="58" t="s">
        <v>2530</v>
      </c>
      <c r="W156" s="58" t="s">
        <v>2530</v>
      </c>
      <c r="X156" t="s">
        <v>3026</v>
      </c>
      <c r="Y156" s="57">
        <v>0</v>
      </c>
      <c r="Z156" s="57">
        <v>0</v>
      </c>
      <c r="AA156" s="57">
        <v>0</v>
      </c>
      <c r="AB156" s="54" t="s">
        <v>2574</v>
      </c>
      <c r="AC156" s="54" t="s">
        <v>2539</v>
      </c>
      <c r="AD156" s="56" t="s">
        <v>2540</v>
      </c>
      <c r="AE156" s="56"/>
      <c r="AF156" s="81"/>
      <c r="AG156" s="83" t="s">
        <v>45</v>
      </c>
      <c r="AH156" s="81"/>
      <c r="AI156" s="84"/>
      <c r="AJ156" s="85"/>
      <c r="AK156" s="86"/>
      <c r="AL156" s="42"/>
    </row>
    <row r="157" spans="1:38" ht="15" customHeight="1">
      <c r="A157" s="69">
        <v>46175</v>
      </c>
      <c r="B157" s="70" t="str">
        <f t="shared" si="7"/>
        <v>18 A 06</v>
      </c>
      <c r="C157" s="71" t="str">
        <f t="shared" si="8"/>
        <v>18:00 a 20:00</v>
      </c>
      <c r="D157" s="56" t="s">
        <v>2807</v>
      </c>
      <c r="E157" s="54">
        <v>4</v>
      </c>
      <c r="F157" s="77" t="s">
        <v>314</v>
      </c>
      <c r="G157" s="77" t="s">
        <v>1979</v>
      </c>
      <c r="H157" s="73">
        <v>343139</v>
      </c>
      <c r="I157" s="70">
        <v>48307406</v>
      </c>
      <c r="J157" s="56" t="s">
        <v>2538</v>
      </c>
      <c r="K157" s="79" t="s">
        <v>174</v>
      </c>
      <c r="L157" s="77"/>
      <c r="M157" s="77"/>
      <c r="N157" s="77" t="s">
        <v>2523</v>
      </c>
      <c r="O157" s="77" t="s">
        <v>2835</v>
      </c>
      <c r="P157" s="78" t="s">
        <v>2562</v>
      </c>
      <c r="Q157" s="58">
        <v>0.81388888888888899</v>
      </c>
      <c r="R157" s="58">
        <v>0.83680555555555602</v>
      </c>
      <c r="S157" s="58">
        <v>0.81666666666666698</v>
      </c>
      <c r="T157" s="58" t="s">
        <v>2530</v>
      </c>
      <c r="U157" s="58" t="s">
        <v>2530</v>
      </c>
      <c r="V157" s="58" t="s">
        <v>2530</v>
      </c>
      <c r="W157" s="58" t="s">
        <v>2530</v>
      </c>
      <c r="X157" t="s">
        <v>3027</v>
      </c>
      <c r="Y157" s="57">
        <v>0</v>
      </c>
      <c r="Z157" s="57">
        <v>0</v>
      </c>
      <c r="AA157" s="57">
        <v>0</v>
      </c>
      <c r="AB157" s="54" t="s">
        <v>2563</v>
      </c>
      <c r="AC157" s="54" t="s">
        <v>2539</v>
      </c>
      <c r="AD157" s="56" t="s">
        <v>2540</v>
      </c>
      <c r="AE157" s="56" t="s">
        <v>2556</v>
      </c>
      <c r="AF157" s="81"/>
      <c r="AG157" s="83" t="s">
        <v>45</v>
      </c>
      <c r="AH157" s="81"/>
      <c r="AI157" s="84"/>
      <c r="AJ157" s="85"/>
      <c r="AK157" s="86"/>
      <c r="AL157" s="42"/>
    </row>
    <row r="158" spans="1:38" ht="15" customHeight="1">
      <c r="A158" s="69">
        <v>46175</v>
      </c>
      <c r="B158" s="70" t="str">
        <f t="shared" si="7"/>
        <v>18 A 06</v>
      </c>
      <c r="C158" s="71" t="str">
        <f t="shared" si="8"/>
        <v>18:00 a 20:00</v>
      </c>
      <c r="D158" s="56" t="s">
        <v>2807</v>
      </c>
      <c r="E158" s="54">
        <v>4</v>
      </c>
      <c r="F158" s="77" t="s">
        <v>2809</v>
      </c>
      <c r="G158" s="77" t="s">
        <v>2485</v>
      </c>
      <c r="H158" s="73">
        <v>343343</v>
      </c>
      <c r="I158" s="70">
        <v>48307396</v>
      </c>
      <c r="J158" s="56" t="s">
        <v>2538</v>
      </c>
      <c r="K158" s="79" t="s">
        <v>87</v>
      </c>
      <c r="L158" s="77" t="s">
        <v>137</v>
      </c>
      <c r="M158" s="77"/>
      <c r="N158" s="77"/>
      <c r="O158" s="77" t="s">
        <v>2836</v>
      </c>
      <c r="P158" s="78" t="s">
        <v>2586</v>
      </c>
      <c r="Q158" s="58">
        <v>0.81527777777777799</v>
      </c>
      <c r="R158" s="58">
        <v>0.83125000000000004</v>
      </c>
      <c r="S158" s="58">
        <v>0.81527777777777799</v>
      </c>
      <c r="T158" s="58" t="s">
        <v>2530</v>
      </c>
      <c r="U158" s="58" t="s">
        <v>2530</v>
      </c>
      <c r="V158" s="58" t="s">
        <v>2530</v>
      </c>
      <c r="W158" s="58" t="s">
        <v>2530</v>
      </c>
      <c r="X158" t="s">
        <v>3028</v>
      </c>
      <c r="Y158" s="57">
        <v>3</v>
      </c>
      <c r="Z158" s="57">
        <v>0</v>
      </c>
      <c r="AA158" s="57">
        <v>0</v>
      </c>
      <c r="AB158" s="54" t="s">
        <v>2611</v>
      </c>
      <c r="AC158" s="54" t="s">
        <v>2539</v>
      </c>
      <c r="AD158" s="56" t="s">
        <v>2540</v>
      </c>
      <c r="AE158" s="56"/>
      <c r="AF158" s="81" t="s">
        <v>2837</v>
      </c>
      <c r="AG158" s="83" t="s">
        <v>69</v>
      </c>
      <c r="AH158" s="81"/>
      <c r="AI158" s="84"/>
      <c r="AJ158" s="85"/>
      <c r="AK158" s="86"/>
      <c r="AL158" s="42"/>
    </row>
    <row r="159" spans="1:38" ht="15" customHeight="1">
      <c r="A159" s="69">
        <v>46175</v>
      </c>
      <c r="B159" s="70" t="str">
        <f t="shared" si="7"/>
        <v>18 A 06</v>
      </c>
      <c r="C159" s="71" t="str">
        <f t="shared" si="8"/>
        <v>18:00 a 20:00</v>
      </c>
      <c r="D159" s="56" t="s">
        <v>2807</v>
      </c>
      <c r="E159" s="54">
        <v>4</v>
      </c>
      <c r="F159" s="77" t="s">
        <v>314</v>
      </c>
      <c r="G159" s="77" t="s">
        <v>547</v>
      </c>
      <c r="H159" s="73">
        <v>343196</v>
      </c>
      <c r="I159" s="70">
        <v>48307462</v>
      </c>
      <c r="J159" s="56" t="s">
        <v>2538</v>
      </c>
      <c r="K159" s="79" t="s">
        <v>200</v>
      </c>
      <c r="L159" s="77"/>
      <c r="M159" s="77"/>
      <c r="N159" s="77"/>
      <c r="O159" s="77" t="s">
        <v>2838</v>
      </c>
      <c r="P159" s="78" t="s">
        <v>2586</v>
      </c>
      <c r="Q159" s="58">
        <v>0.81666666666666698</v>
      </c>
      <c r="R159" s="58">
        <v>0.875</v>
      </c>
      <c r="S159" s="58">
        <v>0.81944444444444398</v>
      </c>
      <c r="T159" s="58" t="s">
        <v>2530</v>
      </c>
      <c r="U159" s="58" t="s">
        <v>2530</v>
      </c>
      <c r="V159" s="58" t="s">
        <v>2530</v>
      </c>
      <c r="W159" s="58" t="s">
        <v>2530</v>
      </c>
      <c r="X159" t="s">
        <v>3029</v>
      </c>
      <c r="Y159" s="57">
        <v>0</v>
      </c>
      <c r="Z159" s="57">
        <v>0</v>
      </c>
      <c r="AA159" s="57">
        <v>0</v>
      </c>
      <c r="AB159" s="54" t="s">
        <v>2602</v>
      </c>
      <c r="AC159" s="54" t="s">
        <v>2539</v>
      </c>
      <c r="AD159" s="56" t="s">
        <v>2540</v>
      </c>
      <c r="AE159" s="56"/>
      <c r="AF159" s="81"/>
      <c r="AG159" s="83" t="s">
        <v>45</v>
      </c>
      <c r="AH159" s="81"/>
      <c r="AI159" s="84" t="s">
        <v>2879</v>
      </c>
      <c r="AJ159" s="85"/>
      <c r="AK159" s="86"/>
      <c r="AL159" s="42"/>
    </row>
    <row r="160" spans="1:38" ht="15" customHeight="1">
      <c r="A160" s="69">
        <v>46175</v>
      </c>
      <c r="B160" s="70" t="str">
        <f t="shared" si="7"/>
        <v>18 A 06</v>
      </c>
      <c r="C160" s="71" t="str">
        <f t="shared" si="8"/>
        <v>18:00 a 20:00</v>
      </c>
      <c r="D160" s="56" t="s">
        <v>2807</v>
      </c>
      <c r="E160" s="54">
        <v>4</v>
      </c>
      <c r="F160" s="77" t="s">
        <v>314</v>
      </c>
      <c r="G160" s="77" t="s">
        <v>1627</v>
      </c>
      <c r="H160" s="73">
        <v>343241</v>
      </c>
      <c r="I160" s="70">
        <v>48307606</v>
      </c>
      <c r="J160" s="56" t="s">
        <v>2538</v>
      </c>
      <c r="K160" s="79" t="s">
        <v>2513</v>
      </c>
      <c r="L160" s="77"/>
      <c r="M160" s="77"/>
      <c r="N160" s="77"/>
      <c r="O160" s="77" t="s">
        <v>2839</v>
      </c>
      <c r="P160" s="78" t="s">
        <v>2577</v>
      </c>
      <c r="Q160" s="58">
        <v>0.82083333333333297</v>
      </c>
      <c r="R160" s="58">
        <v>0.82916666666666705</v>
      </c>
      <c r="S160" s="58" t="s">
        <v>2530</v>
      </c>
      <c r="T160" s="58" t="s">
        <v>2530</v>
      </c>
      <c r="U160" s="58" t="s">
        <v>2530</v>
      </c>
      <c r="V160" s="58" t="s">
        <v>2530</v>
      </c>
      <c r="W160" s="58" t="s">
        <v>2530</v>
      </c>
      <c r="X160" t="s">
        <v>3030</v>
      </c>
      <c r="Y160" s="57">
        <v>0</v>
      </c>
      <c r="Z160" s="57">
        <v>0</v>
      </c>
      <c r="AA160" s="57">
        <v>0</v>
      </c>
      <c r="AB160" s="54" t="s">
        <v>2620</v>
      </c>
      <c r="AC160" s="54" t="s">
        <v>2539</v>
      </c>
      <c r="AD160" s="56" t="s">
        <v>2540</v>
      </c>
      <c r="AE160" s="56" t="s">
        <v>2556</v>
      </c>
      <c r="AF160" s="81"/>
      <c r="AG160" s="83" t="s">
        <v>45</v>
      </c>
      <c r="AH160" s="81"/>
      <c r="AI160" s="84"/>
      <c r="AJ160" s="85"/>
      <c r="AK160" s="86"/>
      <c r="AL160" s="42"/>
    </row>
    <row r="161" spans="1:38" ht="15" customHeight="1">
      <c r="A161" s="69">
        <v>46175</v>
      </c>
      <c r="B161" s="70" t="str">
        <f t="shared" si="7"/>
        <v>18 A 06</v>
      </c>
      <c r="C161" s="71" t="str">
        <f t="shared" si="8"/>
        <v>18:00 a 20:00</v>
      </c>
      <c r="D161" s="56" t="s">
        <v>2807</v>
      </c>
      <c r="E161" s="54">
        <v>4</v>
      </c>
      <c r="F161" s="77" t="s">
        <v>314</v>
      </c>
      <c r="G161" s="77" t="s">
        <v>431</v>
      </c>
      <c r="H161" s="73">
        <v>343285</v>
      </c>
      <c r="I161" s="70">
        <v>48307444</v>
      </c>
      <c r="J161" s="56" t="s">
        <v>2538</v>
      </c>
      <c r="K161" s="79" t="s">
        <v>87</v>
      </c>
      <c r="L161" s="77" t="s">
        <v>174</v>
      </c>
      <c r="M161" s="77"/>
      <c r="N161" s="77"/>
      <c r="O161" s="77" t="s">
        <v>2840</v>
      </c>
      <c r="P161" s="78" t="s">
        <v>2841</v>
      </c>
      <c r="Q161" s="58">
        <v>0.82430555555555596</v>
      </c>
      <c r="R161" s="58">
        <v>0.86458333333333304</v>
      </c>
      <c r="S161" s="58">
        <v>0.82430555555555596</v>
      </c>
      <c r="T161" s="58" t="s">
        <v>2530</v>
      </c>
      <c r="U161" s="58" t="s">
        <v>2530</v>
      </c>
      <c r="V161" s="58" t="s">
        <v>2530</v>
      </c>
      <c r="W161" s="58" t="s">
        <v>2530</v>
      </c>
      <c r="X161" t="s">
        <v>3031</v>
      </c>
      <c r="Y161" s="57">
        <v>0</v>
      </c>
      <c r="Z161" s="57">
        <v>1</v>
      </c>
      <c r="AA161" s="57">
        <v>0</v>
      </c>
      <c r="AB161" s="54" t="s">
        <v>2842</v>
      </c>
      <c r="AC161" s="54" t="s">
        <v>2539</v>
      </c>
      <c r="AD161" s="56" t="s">
        <v>2540</v>
      </c>
      <c r="AE161" s="56" t="s">
        <v>2556</v>
      </c>
      <c r="AF161" s="81" t="s">
        <v>2843</v>
      </c>
      <c r="AG161" s="83" t="s">
        <v>62</v>
      </c>
      <c r="AH161" s="81" t="s">
        <v>2880</v>
      </c>
      <c r="AI161" s="84"/>
      <c r="AJ161" s="85"/>
      <c r="AK161" s="86"/>
      <c r="AL161" s="42"/>
    </row>
    <row r="162" spans="1:38" ht="15" customHeight="1">
      <c r="A162" s="69">
        <v>46175</v>
      </c>
      <c r="B162" s="70" t="str">
        <f t="shared" si="7"/>
        <v>18 A 06</v>
      </c>
      <c r="C162" s="71" t="str">
        <f t="shared" si="8"/>
        <v>18:00 a 20:00</v>
      </c>
      <c r="D162" s="56" t="s">
        <v>2807</v>
      </c>
      <c r="E162" s="54">
        <v>4</v>
      </c>
      <c r="F162" s="77" t="s">
        <v>2809</v>
      </c>
      <c r="G162" s="77" t="s">
        <v>2231</v>
      </c>
      <c r="H162" s="73">
        <v>343346</v>
      </c>
      <c r="I162" s="70">
        <v>48307702</v>
      </c>
      <c r="J162" s="56" t="s">
        <v>2538</v>
      </c>
      <c r="K162" s="79" t="s">
        <v>146</v>
      </c>
      <c r="L162" s="77"/>
      <c r="M162" s="77"/>
      <c r="N162" s="77"/>
      <c r="O162" s="77" t="s">
        <v>2844</v>
      </c>
      <c r="P162" s="78" t="s">
        <v>2577</v>
      </c>
      <c r="Q162" s="58">
        <v>0.82986111111111105</v>
      </c>
      <c r="R162" s="58">
        <v>0.83125000000000004</v>
      </c>
      <c r="S162" s="58">
        <v>0.82986111111111105</v>
      </c>
      <c r="T162" s="58" t="s">
        <v>2530</v>
      </c>
      <c r="U162" s="58" t="s">
        <v>2530</v>
      </c>
      <c r="V162" s="58" t="s">
        <v>2530</v>
      </c>
      <c r="W162" s="58" t="s">
        <v>2530</v>
      </c>
      <c r="X162" t="s">
        <v>3032</v>
      </c>
      <c r="Y162" s="57">
        <v>0</v>
      </c>
      <c r="Z162" s="57">
        <v>0</v>
      </c>
      <c r="AA162" s="57">
        <v>0</v>
      </c>
      <c r="AB162" s="54" t="s">
        <v>2578</v>
      </c>
      <c r="AC162" s="54" t="s">
        <v>2539</v>
      </c>
      <c r="AD162" s="56" t="s">
        <v>2540</v>
      </c>
      <c r="AE162" s="56" t="s">
        <v>2556</v>
      </c>
      <c r="AF162" s="81"/>
      <c r="AG162" s="83" t="s">
        <v>45</v>
      </c>
      <c r="AH162" s="81"/>
      <c r="AI162" s="84"/>
      <c r="AJ162" s="85"/>
      <c r="AK162" s="86"/>
      <c r="AL162" s="42"/>
    </row>
    <row r="163" spans="1:38" ht="15" customHeight="1">
      <c r="A163" s="69">
        <v>46175</v>
      </c>
      <c r="B163" s="70" t="str">
        <f t="shared" si="7"/>
        <v>18 A 06</v>
      </c>
      <c r="C163" s="71" t="str">
        <f t="shared" si="8"/>
        <v>20:00 a 22:00</v>
      </c>
      <c r="D163" s="56" t="s">
        <v>2807</v>
      </c>
      <c r="E163" s="54">
        <v>4</v>
      </c>
      <c r="F163" s="77" t="s">
        <v>314</v>
      </c>
      <c r="G163" s="77" t="s">
        <v>2811</v>
      </c>
      <c r="H163" s="73">
        <v>343278</v>
      </c>
      <c r="I163" s="70">
        <v>48307726</v>
      </c>
      <c r="J163" s="56" t="s">
        <v>2538</v>
      </c>
      <c r="K163" s="79" t="s">
        <v>87</v>
      </c>
      <c r="L163" s="77" t="s">
        <v>77</v>
      </c>
      <c r="M163" s="77"/>
      <c r="N163" s="77"/>
      <c r="O163" s="77" t="s">
        <v>2845</v>
      </c>
      <c r="P163" s="78" t="s">
        <v>2603</v>
      </c>
      <c r="Q163" s="58">
        <v>0.83541666666666703</v>
      </c>
      <c r="R163" s="58">
        <v>0.87361111111111101</v>
      </c>
      <c r="S163" s="58">
        <v>0.83472222222222203</v>
      </c>
      <c r="T163" s="58">
        <v>0.84027777777777801</v>
      </c>
      <c r="U163" s="58" t="s">
        <v>2530</v>
      </c>
      <c r="V163" s="58" t="s">
        <v>2530</v>
      </c>
      <c r="W163" s="58" t="s">
        <v>2530</v>
      </c>
      <c r="X163" t="s">
        <v>3033</v>
      </c>
      <c r="Y163" s="57">
        <v>0</v>
      </c>
      <c r="Z163" s="57">
        <v>0</v>
      </c>
      <c r="AA163" s="57">
        <v>0</v>
      </c>
      <c r="AB163" s="54" t="s">
        <v>2610</v>
      </c>
      <c r="AC163" s="54" t="s">
        <v>2539</v>
      </c>
      <c r="AD163" s="56" t="s">
        <v>2540</v>
      </c>
      <c r="AE163" s="56"/>
      <c r="AF163" s="81"/>
      <c r="AG163" s="83" t="s">
        <v>45</v>
      </c>
      <c r="AH163" s="81"/>
      <c r="AI163" s="84"/>
      <c r="AJ163" s="85"/>
      <c r="AK163" s="86"/>
      <c r="AL163" s="42"/>
    </row>
    <row r="164" spans="1:38" ht="15" customHeight="1">
      <c r="A164" s="69">
        <v>46175</v>
      </c>
      <c r="B164" s="70" t="str">
        <f t="shared" si="7"/>
        <v>18 A 06</v>
      </c>
      <c r="C164" s="71" t="str">
        <f t="shared" si="8"/>
        <v>20:00 a 22:00</v>
      </c>
      <c r="D164" s="56" t="s">
        <v>2807</v>
      </c>
      <c r="E164" s="54">
        <v>4</v>
      </c>
      <c r="F164" s="77" t="s">
        <v>2808</v>
      </c>
      <c r="G164" s="77" t="s">
        <v>463</v>
      </c>
      <c r="H164" s="73">
        <v>343207</v>
      </c>
      <c r="I164" s="70">
        <v>48307872</v>
      </c>
      <c r="J164" s="56" t="s">
        <v>2544</v>
      </c>
      <c r="K164" s="79" t="s">
        <v>174</v>
      </c>
      <c r="L164" s="77"/>
      <c r="M164" s="77"/>
      <c r="N164" s="77" t="s">
        <v>2527</v>
      </c>
      <c r="O164" s="77" t="s">
        <v>2846</v>
      </c>
      <c r="P164" s="78" t="s">
        <v>2571</v>
      </c>
      <c r="Q164" s="58">
        <v>0.843055555555556</v>
      </c>
      <c r="R164" s="58">
        <v>0.89444444444444504</v>
      </c>
      <c r="S164" s="58">
        <v>0.84583333333333299</v>
      </c>
      <c r="T164" s="58" t="s">
        <v>2530</v>
      </c>
      <c r="U164" s="58" t="s">
        <v>2530</v>
      </c>
      <c r="V164" s="58" t="s">
        <v>2530</v>
      </c>
      <c r="W164" s="58" t="s">
        <v>2530</v>
      </c>
      <c r="X164" t="s">
        <v>3034</v>
      </c>
      <c r="Y164" s="57">
        <v>0</v>
      </c>
      <c r="Z164" s="57">
        <v>0</v>
      </c>
      <c r="AA164" s="57">
        <v>0</v>
      </c>
      <c r="AB164" s="54" t="s">
        <v>2572</v>
      </c>
      <c r="AC164" s="54" t="s">
        <v>2539</v>
      </c>
      <c r="AD164" s="56" t="s">
        <v>2564</v>
      </c>
      <c r="AE164" s="56"/>
      <c r="AF164" s="81"/>
      <c r="AG164" s="83" t="s">
        <v>45</v>
      </c>
      <c r="AH164" s="81"/>
      <c r="AI164" s="84"/>
      <c r="AJ164" s="85"/>
      <c r="AK164" s="86"/>
      <c r="AL164" s="42"/>
    </row>
    <row r="165" spans="1:38" ht="15" customHeight="1">
      <c r="A165" s="69">
        <v>46175</v>
      </c>
      <c r="B165" s="70" t="str">
        <f t="shared" si="7"/>
        <v>18 A 06</v>
      </c>
      <c r="C165" s="71" t="str">
        <f t="shared" si="8"/>
        <v>20:00 a 22:00</v>
      </c>
      <c r="D165" s="56" t="s">
        <v>2807</v>
      </c>
      <c r="E165" s="54">
        <v>4</v>
      </c>
      <c r="F165" s="77" t="s">
        <v>2809</v>
      </c>
      <c r="G165" s="77" t="s">
        <v>2811</v>
      </c>
      <c r="H165" s="73">
        <v>343215</v>
      </c>
      <c r="I165" s="70">
        <v>48307851</v>
      </c>
      <c r="J165" s="56" t="s">
        <v>2538</v>
      </c>
      <c r="K165" s="79" t="s">
        <v>174</v>
      </c>
      <c r="L165" s="77"/>
      <c r="M165" s="77"/>
      <c r="N165" s="77" t="s">
        <v>2520</v>
      </c>
      <c r="O165" s="77" t="s">
        <v>2847</v>
      </c>
      <c r="P165" s="78" t="s">
        <v>2603</v>
      </c>
      <c r="Q165" s="58">
        <v>0.84375</v>
      </c>
      <c r="R165" s="58">
        <v>0.85208333333333297</v>
      </c>
      <c r="S165" s="58">
        <v>0.84930555555555598</v>
      </c>
      <c r="T165" s="58" t="s">
        <v>2530</v>
      </c>
      <c r="U165" s="58" t="s">
        <v>2530</v>
      </c>
      <c r="V165" s="58" t="s">
        <v>2530</v>
      </c>
      <c r="W165" s="58" t="s">
        <v>2530</v>
      </c>
      <c r="X165" t="s">
        <v>3035</v>
      </c>
      <c r="Y165" s="57">
        <v>0</v>
      </c>
      <c r="Z165" s="57">
        <v>0</v>
      </c>
      <c r="AA165" s="57">
        <v>0</v>
      </c>
      <c r="AB165" s="54" t="s">
        <v>2575</v>
      </c>
      <c r="AC165" s="54" t="s">
        <v>2539</v>
      </c>
      <c r="AD165" s="56" t="s">
        <v>2540</v>
      </c>
      <c r="AE165" s="56"/>
      <c r="AF165" s="81"/>
      <c r="AG165" s="83" t="s">
        <v>45</v>
      </c>
      <c r="AH165" s="81"/>
      <c r="AI165" s="84"/>
      <c r="AJ165" s="85"/>
      <c r="AK165" s="86"/>
      <c r="AL165" s="42"/>
    </row>
    <row r="166" spans="1:38" ht="15" customHeight="1">
      <c r="A166" s="69">
        <v>46175</v>
      </c>
      <c r="B166" s="70" t="str">
        <f t="shared" si="7"/>
        <v>18 A 06</v>
      </c>
      <c r="C166" s="71" t="str">
        <f t="shared" si="8"/>
        <v>20:00 a 22:00</v>
      </c>
      <c r="D166" s="56" t="s">
        <v>2807</v>
      </c>
      <c r="E166" s="54">
        <v>4</v>
      </c>
      <c r="F166" s="77" t="s">
        <v>314</v>
      </c>
      <c r="G166" s="77" t="s">
        <v>2366</v>
      </c>
      <c r="H166" s="73">
        <v>343213</v>
      </c>
      <c r="I166" s="70">
        <v>48308207</v>
      </c>
      <c r="J166" s="56" t="s">
        <v>2538</v>
      </c>
      <c r="K166" s="79" t="s">
        <v>2513</v>
      </c>
      <c r="L166" s="77"/>
      <c r="M166" s="77"/>
      <c r="N166" s="77"/>
      <c r="O166" s="77" t="s">
        <v>2848</v>
      </c>
      <c r="P166" s="78" t="s">
        <v>2585</v>
      </c>
      <c r="Q166" s="58">
        <v>0.85555555555555596</v>
      </c>
      <c r="R166" s="58">
        <v>0.86111111111111105</v>
      </c>
      <c r="S166" s="58">
        <v>0.85694444444444395</v>
      </c>
      <c r="T166" s="58" t="s">
        <v>2530</v>
      </c>
      <c r="U166" s="58" t="s">
        <v>2530</v>
      </c>
      <c r="V166" s="58" t="s">
        <v>2530</v>
      </c>
      <c r="W166" s="58" t="s">
        <v>2530</v>
      </c>
      <c r="X166" t="s">
        <v>3036</v>
      </c>
      <c r="Y166" s="57">
        <v>0</v>
      </c>
      <c r="Z166" s="57">
        <v>0</v>
      </c>
      <c r="AA166" s="57">
        <v>0</v>
      </c>
      <c r="AB166" s="54" t="s">
        <v>2617</v>
      </c>
      <c r="AC166" s="54" t="s">
        <v>2539</v>
      </c>
      <c r="AD166" s="56" t="s">
        <v>2540</v>
      </c>
      <c r="AE166" s="56"/>
      <c r="AF166" s="81"/>
      <c r="AG166" s="83" t="s">
        <v>45</v>
      </c>
      <c r="AH166" s="81"/>
      <c r="AI166" s="84"/>
      <c r="AJ166" s="85"/>
      <c r="AK166" s="86"/>
      <c r="AL166" s="42"/>
    </row>
    <row r="167" spans="1:38" ht="15" customHeight="1">
      <c r="A167" s="69">
        <v>46175</v>
      </c>
      <c r="B167" s="70" t="str">
        <f t="shared" si="7"/>
        <v>18 A 06</v>
      </c>
      <c r="C167" s="71" t="str">
        <f t="shared" si="8"/>
        <v>20:00 a 22:00</v>
      </c>
      <c r="D167" s="56" t="s">
        <v>2807</v>
      </c>
      <c r="E167" s="54">
        <v>4</v>
      </c>
      <c r="F167" s="77" t="s">
        <v>2809</v>
      </c>
      <c r="G167" s="77" t="s">
        <v>389</v>
      </c>
      <c r="H167" s="73">
        <v>343176</v>
      </c>
      <c r="I167" s="70">
        <v>48308145</v>
      </c>
      <c r="J167" s="56" t="s">
        <v>2538</v>
      </c>
      <c r="K167" s="79" t="s">
        <v>155</v>
      </c>
      <c r="L167" s="77"/>
      <c r="M167" s="77"/>
      <c r="N167" s="77"/>
      <c r="O167" s="77" t="s">
        <v>2716</v>
      </c>
      <c r="P167" s="78" t="s">
        <v>2557</v>
      </c>
      <c r="Q167" s="58">
        <v>0.85833333333333295</v>
      </c>
      <c r="R167" s="58">
        <v>0.86111111111111105</v>
      </c>
      <c r="S167" s="58">
        <v>0.85833333333333295</v>
      </c>
      <c r="T167" s="58" t="s">
        <v>2530</v>
      </c>
      <c r="U167" s="58" t="s">
        <v>2530</v>
      </c>
      <c r="V167" s="58" t="s">
        <v>2530</v>
      </c>
      <c r="W167" s="58" t="s">
        <v>2530</v>
      </c>
      <c r="X167" t="s">
        <v>3037</v>
      </c>
      <c r="Y167" s="57">
        <v>0</v>
      </c>
      <c r="Z167" s="57">
        <v>0</v>
      </c>
      <c r="AA167" s="57">
        <v>0</v>
      </c>
      <c r="AB167" s="54" t="s">
        <v>2593</v>
      </c>
      <c r="AC167" s="54" t="s">
        <v>2539</v>
      </c>
      <c r="AD167" s="56" t="s">
        <v>2564</v>
      </c>
      <c r="AE167" s="56"/>
      <c r="AF167" s="81"/>
      <c r="AG167" s="83" t="s">
        <v>45</v>
      </c>
      <c r="AH167" s="81"/>
      <c r="AI167" s="84"/>
      <c r="AJ167" s="85"/>
      <c r="AK167" s="86"/>
      <c r="AL167" s="42"/>
    </row>
    <row r="168" spans="1:38" ht="15" customHeight="1">
      <c r="A168" s="69">
        <v>46175</v>
      </c>
      <c r="B168" s="70" t="str">
        <f t="shared" si="7"/>
        <v>18 A 06</v>
      </c>
      <c r="C168" s="71" t="str">
        <f t="shared" si="8"/>
        <v>20:00 a 22:00</v>
      </c>
      <c r="D168" s="56" t="s">
        <v>2807</v>
      </c>
      <c r="E168" s="54">
        <v>4</v>
      </c>
      <c r="F168" s="77" t="s">
        <v>314</v>
      </c>
      <c r="G168" s="77" t="s">
        <v>1134</v>
      </c>
      <c r="H168" s="73">
        <v>343287</v>
      </c>
      <c r="I168" s="70">
        <v>48308038</v>
      </c>
      <c r="J168" s="56" t="s">
        <v>2538</v>
      </c>
      <c r="K168" s="79" t="s">
        <v>104</v>
      </c>
      <c r="L168" s="77"/>
      <c r="M168" s="77"/>
      <c r="N168" s="77"/>
      <c r="O168" s="77" t="s">
        <v>2849</v>
      </c>
      <c r="P168" s="78" t="s">
        <v>2586</v>
      </c>
      <c r="Q168" s="58">
        <v>0.85833333333333295</v>
      </c>
      <c r="R168" s="58">
        <v>0.90138888888888902</v>
      </c>
      <c r="S168" s="58">
        <v>0.85833333333333295</v>
      </c>
      <c r="T168" s="58" t="s">
        <v>2530</v>
      </c>
      <c r="U168" s="58">
        <v>0.89930555555555602</v>
      </c>
      <c r="V168" s="58" t="s">
        <v>2530</v>
      </c>
      <c r="W168" s="58" t="s">
        <v>2530</v>
      </c>
      <c r="X168" t="s">
        <v>3038</v>
      </c>
      <c r="Y168" s="57">
        <v>0</v>
      </c>
      <c r="Z168" s="57">
        <v>0</v>
      </c>
      <c r="AA168" s="57">
        <v>0</v>
      </c>
      <c r="AB168" s="54" t="s">
        <v>2611</v>
      </c>
      <c r="AC168" s="54" t="s">
        <v>2539</v>
      </c>
      <c r="AD168" s="56" t="s">
        <v>2540</v>
      </c>
      <c r="AE168" s="56" t="s">
        <v>2556</v>
      </c>
      <c r="AF168" s="81"/>
      <c r="AG168" s="83" t="s">
        <v>45</v>
      </c>
      <c r="AH168" s="81"/>
      <c r="AI168" s="84"/>
      <c r="AJ168" s="85"/>
      <c r="AK168" s="86"/>
      <c r="AL168" s="42"/>
    </row>
    <row r="169" spans="1:38" ht="15" customHeight="1">
      <c r="A169" s="69">
        <v>46175</v>
      </c>
      <c r="B169" s="70" t="str">
        <f t="shared" si="7"/>
        <v>18 A 06</v>
      </c>
      <c r="C169" s="71" t="str">
        <f t="shared" si="8"/>
        <v>20:00 a 22:00</v>
      </c>
      <c r="D169" s="56" t="s">
        <v>2807</v>
      </c>
      <c r="E169" s="54">
        <v>4</v>
      </c>
      <c r="F169" s="77" t="s">
        <v>314</v>
      </c>
      <c r="G169" s="77" t="s">
        <v>1001</v>
      </c>
      <c r="H169" s="73">
        <v>343187</v>
      </c>
      <c r="I169" s="70">
        <v>48308161</v>
      </c>
      <c r="J169" s="56" t="s">
        <v>2538</v>
      </c>
      <c r="K169" s="79" t="s">
        <v>87</v>
      </c>
      <c r="L169" s="77" t="s">
        <v>174</v>
      </c>
      <c r="M169" s="77"/>
      <c r="N169" s="77"/>
      <c r="O169" s="77" t="s">
        <v>2850</v>
      </c>
      <c r="P169" s="78" t="s">
        <v>2775</v>
      </c>
      <c r="Q169" s="58">
        <v>0.86041666666666705</v>
      </c>
      <c r="R169" s="58">
        <v>0.875</v>
      </c>
      <c r="S169" s="58">
        <v>0.86041666666666705</v>
      </c>
      <c r="T169" s="58" t="s">
        <v>2530</v>
      </c>
      <c r="U169" s="58" t="s">
        <v>2530</v>
      </c>
      <c r="V169" s="58" t="s">
        <v>2530</v>
      </c>
      <c r="W169" s="58" t="s">
        <v>2530</v>
      </c>
      <c r="X169" t="s">
        <v>3039</v>
      </c>
      <c r="Y169" s="57">
        <v>0</v>
      </c>
      <c r="Z169" s="57">
        <v>0</v>
      </c>
      <c r="AA169" s="57">
        <v>0</v>
      </c>
      <c r="AB169" s="54" t="s">
        <v>2617</v>
      </c>
      <c r="AC169" s="54" t="s">
        <v>2539</v>
      </c>
      <c r="AD169" s="56" t="s">
        <v>2540</v>
      </c>
      <c r="AE169" s="56" t="s">
        <v>2556</v>
      </c>
      <c r="AF169" s="81"/>
      <c r="AG169" s="83" t="s">
        <v>45</v>
      </c>
      <c r="AH169" s="81"/>
      <c r="AI169" s="84"/>
      <c r="AJ169" s="85"/>
      <c r="AK169" s="86"/>
      <c r="AL169" s="42"/>
    </row>
    <row r="170" spans="1:38" ht="15" customHeight="1">
      <c r="A170" s="69">
        <v>46175</v>
      </c>
      <c r="B170" s="70" t="str">
        <f t="shared" si="7"/>
        <v>18 A 06</v>
      </c>
      <c r="C170" s="71" t="str">
        <f t="shared" si="8"/>
        <v>20:00 a 22:00</v>
      </c>
      <c r="D170" s="56" t="s">
        <v>2807</v>
      </c>
      <c r="E170" s="54">
        <v>4</v>
      </c>
      <c r="F170" s="77" t="s">
        <v>2808</v>
      </c>
      <c r="G170" s="77" t="s">
        <v>866</v>
      </c>
      <c r="H170" s="73">
        <v>343208</v>
      </c>
      <c r="I170" s="70">
        <v>48308067</v>
      </c>
      <c r="J170" s="56" t="s">
        <v>2544</v>
      </c>
      <c r="K170" s="79" t="s">
        <v>205</v>
      </c>
      <c r="L170" s="77"/>
      <c r="M170" s="77"/>
      <c r="N170" s="77"/>
      <c r="O170" s="77" t="s">
        <v>2851</v>
      </c>
      <c r="P170" s="78" t="s">
        <v>2571</v>
      </c>
      <c r="Q170" s="58">
        <v>0.86111111111111105</v>
      </c>
      <c r="R170" s="58">
        <v>0.89583333333333304</v>
      </c>
      <c r="S170" s="58">
        <v>0.86527777777777803</v>
      </c>
      <c r="T170" s="58">
        <v>0.86944444444444502</v>
      </c>
      <c r="U170" s="58" t="s">
        <v>2530</v>
      </c>
      <c r="V170" s="58" t="s">
        <v>2530</v>
      </c>
      <c r="W170" s="58" t="s">
        <v>2530</v>
      </c>
      <c r="X170" t="s">
        <v>3040</v>
      </c>
      <c r="Y170" s="57">
        <v>0</v>
      </c>
      <c r="Z170" s="57">
        <v>0</v>
      </c>
      <c r="AA170" s="57">
        <v>1</v>
      </c>
      <c r="AB170" s="54" t="s">
        <v>2572</v>
      </c>
      <c r="AC170" s="54" t="s">
        <v>2539</v>
      </c>
      <c r="AD170" s="56" t="s">
        <v>2594</v>
      </c>
      <c r="AE170" s="56"/>
      <c r="AF170" s="81" t="s">
        <v>2814</v>
      </c>
      <c r="AG170" s="83" t="s">
        <v>45</v>
      </c>
      <c r="AH170" s="81"/>
      <c r="AI170" s="84"/>
      <c r="AJ170" s="85"/>
      <c r="AK170" s="86"/>
      <c r="AL170" s="42"/>
    </row>
    <row r="171" spans="1:38" ht="15" customHeight="1">
      <c r="A171" s="69">
        <v>46175</v>
      </c>
      <c r="B171" s="70" t="str">
        <f t="shared" si="7"/>
        <v>18 A 06</v>
      </c>
      <c r="C171" s="71" t="str">
        <f t="shared" si="8"/>
        <v>20:00 a 22:00</v>
      </c>
      <c r="D171" s="56" t="s">
        <v>2807</v>
      </c>
      <c r="E171" s="54">
        <v>4</v>
      </c>
      <c r="F171" s="77" t="s">
        <v>2809</v>
      </c>
      <c r="G171" s="77" t="s">
        <v>2342</v>
      </c>
      <c r="H171" s="73">
        <v>343299</v>
      </c>
      <c r="I171" s="70">
        <v>48308136</v>
      </c>
      <c r="J171" s="56" t="s">
        <v>2538</v>
      </c>
      <c r="K171" s="79" t="s">
        <v>87</v>
      </c>
      <c r="L171" s="77" t="s">
        <v>126</v>
      </c>
      <c r="M171" s="77"/>
      <c r="N171" s="77"/>
      <c r="O171" s="77" t="s">
        <v>2852</v>
      </c>
      <c r="P171" s="78" t="s">
        <v>2560</v>
      </c>
      <c r="Q171" s="58">
        <v>0.86111111111111105</v>
      </c>
      <c r="R171" s="58">
        <v>0.88611111111111096</v>
      </c>
      <c r="S171" s="58">
        <v>0.86111111111111105</v>
      </c>
      <c r="T171" s="58" t="s">
        <v>2530</v>
      </c>
      <c r="U171" s="58" t="s">
        <v>2530</v>
      </c>
      <c r="V171" s="58" t="s">
        <v>2530</v>
      </c>
      <c r="W171" s="58" t="s">
        <v>2530</v>
      </c>
      <c r="X171" t="s">
        <v>3041</v>
      </c>
      <c r="Y171" s="57">
        <v>0</v>
      </c>
      <c r="Z171" s="57">
        <v>1</v>
      </c>
      <c r="AA171" s="57">
        <v>0</v>
      </c>
      <c r="AB171" s="54" t="s">
        <v>2587</v>
      </c>
      <c r="AC171" s="54" t="s">
        <v>2539</v>
      </c>
      <c r="AD171" s="56" t="s">
        <v>2540</v>
      </c>
      <c r="AE171" s="56"/>
      <c r="AF171" s="81" t="s">
        <v>2576</v>
      </c>
      <c r="AG171" s="83" t="s">
        <v>62</v>
      </c>
      <c r="AH171" s="81" t="s">
        <v>45</v>
      </c>
      <c r="AI171" s="84"/>
      <c r="AJ171" s="85"/>
      <c r="AK171" s="86"/>
      <c r="AL171" s="42"/>
    </row>
    <row r="172" spans="1:38" ht="15" customHeight="1">
      <c r="A172" s="69">
        <v>46175</v>
      </c>
      <c r="B172" s="70" t="str">
        <f t="shared" si="7"/>
        <v>18 A 06</v>
      </c>
      <c r="C172" s="71" t="str">
        <f t="shared" si="8"/>
        <v>20:00 a 22:00</v>
      </c>
      <c r="D172" s="56" t="s">
        <v>2807</v>
      </c>
      <c r="E172" s="54">
        <v>4</v>
      </c>
      <c r="F172" s="77" t="s">
        <v>314</v>
      </c>
      <c r="G172" s="77" t="s">
        <v>1325</v>
      </c>
      <c r="H172" s="73">
        <v>343349</v>
      </c>
      <c r="I172" s="70">
        <v>48308304</v>
      </c>
      <c r="J172" s="56" t="s">
        <v>2538</v>
      </c>
      <c r="K172" s="79" t="s">
        <v>87</v>
      </c>
      <c r="L172" s="77" t="s">
        <v>77</v>
      </c>
      <c r="M172" s="77"/>
      <c r="N172" s="77"/>
      <c r="O172" s="77" t="s">
        <v>2853</v>
      </c>
      <c r="P172" s="78" t="s">
        <v>2599</v>
      </c>
      <c r="Q172" s="58">
        <v>0.87013888888888902</v>
      </c>
      <c r="R172" s="58">
        <v>0.90833333333333299</v>
      </c>
      <c r="S172" s="58">
        <v>0.87222222222222201</v>
      </c>
      <c r="T172" s="58" t="s">
        <v>2530</v>
      </c>
      <c r="U172" s="58" t="s">
        <v>2530</v>
      </c>
      <c r="V172" s="58" t="s">
        <v>2530</v>
      </c>
      <c r="W172" s="58" t="s">
        <v>2530</v>
      </c>
      <c r="X172" t="s">
        <v>3042</v>
      </c>
      <c r="Y172" s="57">
        <v>0</v>
      </c>
      <c r="Z172" s="57">
        <v>1</v>
      </c>
      <c r="AA172" s="57">
        <v>0</v>
      </c>
      <c r="AB172" s="54" t="s">
        <v>2606</v>
      </c>
      <c r="AC172" s="54" t="s">
        <v>2539</v>
      </c>
      <c r="AD172" s="56" t="s">
        <v>2540</v>
      </c>
      <c r="AE172" s="56"/>
      <c r="AF172" s="81" t="s">
        <v>2878</v>
      </c>
      <c r="AG172" s="83" t="s">
        <v>62</v>
      </c>
      <c r="AH172" s="81"/>
      <c r="AI172" s="84"/>
      <c r="AJ172" s="85"/>
      <c r="AK172" s="86"/>
      <c r="AL172" s="42"/>
    </row>
    <row r="173" spans="1:38" ht="15" customHeight="1">
      <c r="A173" s="69">
        <v>46175</v>
      </c>
      <c r="B173" s="70" t="str">
        <f t="shared" si="7"/>
        <v>18 A 06</v>
      </c>
      <c r="C173" s="71" t="str">
        <f t="shared" si="8"/>
        <v>20:00 a 22:00</v>
      </c>
      <c r="D173" s="56" t="s">
        <v>2807</v>
      </c>
      <c r="E173" s="54">
        <v>4</v>
      </c>
      <c r="F173" s="77" t="s">
        <v>314</v>
      </c>
      <c r="G173" s="77" t="s">
        <v>1463</v>
      </c>
      <c r="H173" s="73">
        <v>343179</v>
      </c>
      <c r="I173" s="70">
        <v>48308285</v>
      </c>
      <c r="J173" s="56" t="s">
        <v>2538</v>
      </c>
      <c r="K173" s="79" t="s">
        <v>146</v>
      </c>
      <c r="L173" s="77"/>
      <c r="M173" s="77"/>
      <c r="N173" s="77"/>
      <c r="O173" s="77" t="s">
        <v>2854</v>
      </c>
      <c r="P173" s="78" t="s">
        <v>2590</v>
      </c>
      <c r="Q173" s="58">
        <v>0.87361111111111101</v>
      </c>
      <c r="R173" s="58">
        <v>0.87916666666666698</v>
      </c>
      <c r="S173" s="58">
        <v>0.87777777777777799</v>
      </c>
      <c r="T173" s="58" t="s">
        <v>2530</v>
      </c>
      <c r="U173" s="58" t="s">
        <v>2530</v>
      </c>
      <c r="V173" s="58" t="s">
        <v>2530</v>
      </c>
      <c r="W173" s="58" t="s">
        <v>2530</v>
      </c>
      <c r="X173" t="s">
        <v>3043</v>
      </c>
      <c r="Y173" s="57">
        <v>0</v>
      </c>
      <c r="Z173" s="57">
        <v>0</v>
      </c>
      <c r="AA173" s="57">
        <v>0</v>
      </c>
      <c r="AB173" s="54" t="s">
        <v>2591</v>
      </c>
      <c r="AC173" s="54" t="s">
        <v>2539</v>
      </c>
      <c r="AD173" s="56" t="s">
        <v>2540</v>
      </c>
      <c r="AE173" s="56"/>
      <c r="AF173" s="81"/>
      <c r="AG173" s="83" t="s">
        <v>45</v>
      </c>
      <c r="AH173" s="81"/>
      <c r="AI173" s="84"/>
      <c r="AJ173" s="85"/>
      <c r="AK173" s="86"/>
      <c r="AL173" s="42"/>
    </row>
    <row r="174" spans="1:38" ht="15" customHeight="1">
      <c r="A174" s="69">
        <v>46175</v>
      </c>
      <c r="B174" s="70" t="str">
        <f t="shared" si="7"/>
        <v>18 A 06</v>
      </c>
      <c r="C174" s="71" t="str">
        <f t="shared" si="8"/>
        <v>20:00 a 22:00</v>
      </c>
      <c r="D174" s="56" t="s">
        <v>2807</v>
      </c>
      <c r="E174" s="54">
        <v>4</v>
      </c>
      <c r="F174" s="77" t="s">
        <v>314</v>
      </c>
      <c r="G174" s="77" t="s">
        <v>674</v>
      </c>
      <c r="H174" s="73">
        <v>343185</v>
      </c>
      <c r="I174" s="70">
        <v>48308387</v>
      </c>
      <c r="J174" s="56" t="s">
        <v>2538</v>
      </c>
      <c r="K174" s="79" t="s">
        <v>2513</v>
      </c>
      <c r="L174" s="77"/>
      <c r="M174" s="77"/>
      <c r="N174" s="77"/>
      <c r="O174" s="77" t="s">
        <v>2855</v>
      </c>
      <c r="P174" s="78" t="s">
        <v>2562</v>
      </c>
      <c r="Q174" s="58">
        <v>0.88055555555555598</v>
      </c>
      <c r="R174" s="58">
        <v>0.88819444444444395</v>
      </c>
      <c r="S174" s="58">
        <v>0.88194444444444398</v>
      </c>
      <c r="T174" s="58" t="s">
        <v>2530</v>
      </c>
      <c r="U174" s="58" t="s">
        <v>2530</v>
      </c>
      <c r="V174" s="58" t="s">
        <v>2530</v>
      </c>
      <c r="W174" s="58" t="s">
        <v>2530</v>
      </c>
      <c r="X174" t="s">
        <v>3044</v>
      </c>
      <c r="Y174" s="57">
        <v>0</v>
      </c>
      <c r="Z174" s="57">
        <v>0</v>
      </c>
      <c r="AA174" s="57">
        <v>0</v>
      </c>
      <c r="AB174" s="54" t="s">
        <v>2563</v>
      </c>
      <c r="AC174" s="54" t="s">
        <v>2539</v>
      </c>
      <c r="AD174" s="56" t="s">
        <v>2564</v>
      </c>
      <c r="AE174" s="56"/>
      <c r="AF174" s="81"/>
      <c r="AG174" s="83" t="s">
        <v>45</v>
      </c>
      <c r="AH174" s="81"/>
      <c r="AI174" s="84"/>
      <c r="AJ174" s="85"/>
      <c r="AK174" s="86"/>
      <c r="AL174" s="42"/>
    </row>
    <row r="175" spans="1:38" ht="15" customHeight="1">
      <c r="A175" s="69">
        <v>46175</v>
      </c>
      <c r="B175" s="70" t="str">
        <f t="shared" si="7"/>
        <v>18 A 06</v>
      </c>
      <c r="C175" s="71" t="str">
        <f t="shared" si="8"/>
        <v>20:00 a 22:00</v>
      </c>
      <c r="D175" s="56" t="s">
        <v>2807</v>
      </c>
      <c r="E175" s="54">
        <v>4</v>
      </c>
      <c r="F175" s="77" t="s">
        <v>2809</v>
      </c>
      <c r="G175" s="77" t="s">
        <v>1344</v>
      </c>
      <c r="H175" s="73">
        <v>343315</v>
      </c>
      <c r="I175" s="70">
        <v>48308424</v>
      </c>
      <c r="J175" s="56" t="s">
        <v>2538</v>
      </c>
      <c r="K175" s="79" t="s">
        <v>87</v>
      </c>
      <c r="L175" s="77" t="s">
        <v>77</v>
      </c>
      <c r="M175" s="77" t="s">
        <v>131</v>
      </c>
      <c r="N175" s="77"/>
      <c r="O175" s="77" t="s">
        <v>2856</v>
      </c>
      <c r="P175" s="78" t="s">
        <v>2579</v>
      </c>
      <c r="Q175" s="58">
        <v>0.88263888888888897</v>
      </c>
      <c r="R175" s="58">
        <v>0.92430555555555605</v>
      </c>
      <c r="S175" s="58">
        <v>0.88472222222222197</v>
      </c>
      <c r="T175" s="58">
        <v>0.88680555555555596</v>
      </c>
      <c r="U175" s="58" t="s">
        <v>2530</v>
      </c>
      <c r="V175" s="58" t="s">
        <v>2530</v>
      </c>
      <c r="W175" s="58" t="s">
        <v>2530</v>
      </c>
      <c r="X175" t="s">
        <v>3045</v>
      </c>
      <c r="Y175" s="57">
        <v>0</v>
      </c>
      <c r="Z175" s="57">
        <v>1</v>
      </c>
      <c r="AA175" s="57">
        <v>0</v>
      </c>
      <c r="AB175" s="54" t="s">
        <v>2568</v>
      </c>
      <c r="AC175" s="54" t="s">
        <v>2539</v>
      </c>
      <c r="AD175" s="56" t="s">
        <v>2540</v>
      </c>
      <c r="AE175" s="56"/>
      <c r="AF175" s="81" t="s">
        <v>2803</v>
      </c>
      <c r="AG175" s="83" t="s">
        <v>62</v>
      </c>
      <c r="AH175" s="81"/>
      <c r="AI175" s="84" t="s">
        <v>2804</v>
      </c>
      <c r="AJ175" s="85"/>
      <c r="AK175" s="86"/>
      <c r="AL175" s="42"/>
    </row>
    <row r="176" spans="1:38" ht="15" customHeight="1">
      <c r="A176" s="69">
        <v>46175</v>
      </c>
      <c r="B176" s="70" t="str">
        <f t="shared" si="7"/>
        <v>18 A 06</v>
      </c>
      <c r="C176" s="71" t="str">
        <f t="shared" si="8"/>
        <v>20:00 a 22:00</v>
      </c>
      <c r="D176" s="56" t="s">
        <v>2807</v>
      </c>
      <c r="E176" s="54">
        <v>4</v>
      </c>
      <c r="F176" s="77" t="s">
        <v>2809</v>
      </c>
      <c r="G176" s="77" t="s">
        <v>1904</v>
      </c>
      <c r="H176" s="73">
        <v>343235</v>
      </c>
      <c r="I176" s="70">
        <v>48308517</v>
      </c>
      <c r="J176" s="56" t="s">
        <v>2538</v>
      </c>
      <c r="K176" s="79" t="s">
        <v>87</v>
      </c>
      <c r="L176" s="77" t="s">
        <v>137</v>
      </c>
      <c r="M176" s="77"/>
      <c r="N176" s="77"/>
      <c r="O176" s="77" t="s">
        <v>2857</v>
      </c>
      <c r="P176" s="78" t="s">
        <v>2622</v>
      </c>
      <c r="Q176" s="58">
        <v>0.89305555555555605</v>
      </c>
      <c r="R176" s="58">
        <v>0.90138888888888902</v>
      </c>
      <c r="S176" s="58">
        <v>0.89305555555555605</v>
      </c>
      <c r="T176" s="58" t="s">
        <v>2530</v>
      </c>
      <c r="U176" s="58" t="s">
        <v>2530</v>
      </c>
      <c r="V176" s="58" t="s">
        <v>2530</v>
      </c>
      <c r="W176" s="58" t="s">
        <v>2530</v>
      </c>
      <c r="X176" t="s">
        <v>3046</v>
      </c>
      <c r="Y176" s="57">
        <v>0</v>
      </c>
      <c r="Z176" s="57">
        <v>0</v>
      </c>
      <c r="AA176" s="57">
        <v>0</v>
      </c>
      <c r="AB176" s="54" t="s">
        <v>2623</v>
      </c>
      <c r="AC176" s="54" t="s">
        <v>2539</v>
      </c>
      <c r="AD176" s="56" t="s">
        <v>2540</v>
      </c>
      <c r="AE176" s="56"/>
      <c r="AF176" s="81"/>
      <c r="AG176" s="83" t="s">
        <v>45</v>
      </c>
      <c r="AH176" s="81"/>
      <c r="AI176" s="84"/>
      <c r="AJ176" s="85"/>
      <c r="AK176" s="86"/>
      <c r="AL176" s="42"/>
    </row>
    <row r="177" spans="1:38" ht="15" customHeight="1">
      <c r="A177" s="69">
        <v>46175</v>
      </c>
      <c r="B177" s="70" t="str">
        <f t="shared" si="7"/>
        <v>18 A 06</v>
      </c>
      <c r="C177" s="71" t="str">
        <f t="shared" si="8"/>
        <v>20:00 a 22:00</v>
      </c>
      <c r="D177" s="56" t="s">
        <v>2807</v>
      </c>
      <c r="E177" s="54">
        <v>4</v>
      </c>
      <c r="F177" s="77" t="s">
        <v>314</v>
      </c>
      <c r="G177" s="77" t="s">
        <v>442</v>
      </c>
      <c r="H177" s="73">
        <v>343513</v>
      </c>
      <c r="I177" s="70">
        <v>48308622</v>
      </c>
      <c r="J177" s="56" t="s">
        <v>2538</v>
      </c>
      <c r="K177" s="79" t="s">
        <v>87</v>
      </c>
      <c r="L177" s="77" t="s">
        <v>174</v>
      </c>
      <c r="M177" s="77"/>
      <c r="N177" s="77"/>
      <c r="O177" s="77" t="s">
        <v>2858</v>
      </c>
      <c r="P177" s="78" t="s">
        <v>2558</v>
      </c>
      <c r="Q177" s="58">
        <v>0.90486111111111101</v>
      </c>
      <c r="R177" s="58">
        <v>0.99652777777777801</v>
      </c>
      <c r="S177" s="58">
        <v>0.90763888888888899</v>
      </c>
      <c r="T177" s="58" t="s">
        <v>2530</v>
      </c>
      <c r="U177" s="58" t="s">
        <v>2530</v>
      </c>
      <c r="V177" s="58" t="s">
        <v>2530</v>
      </c>
      <c r="W177" s="58" t="s">
        <v>2530</v>
      </c>
      <c r="X177" t="s">
        <v>3047</v>
      </c>
      <c r="Y177" s="57">
        <v>0</v>
      </c>
      <c r="Z177" s="57">
        <v>1</v>
      </c>
      <c r="AA177" s="57">
        <v>0</v>
      </c>
      <c r="AB177" s="54" t="s">
        <v>2559</v>
      </c>
      <c r="AC177" s="54" t="s">
        <v>2539</v>
      </c>
      <c r="AD177" s="56" t="s">
        <v>2540</v>
      </c>
      <c r="AE177" s="56" t="s">
        <v>2556</v>
      </c>
      <c r="AF177" s="81" t="s">
        <v>2843</v>
      </c>
      <c r="AG177" s="83" t="s">
        <v>69</v>
      </c>
      <c r="AH177" s="81" t="s">
        <v>2881</v>
      </c>
      <c r="AI177" s="84"/>
      <c r="AJ177" s="85"/>
      <c r="AK177" s="86"/>
      <c r="AL177" s="42"/>
    </row>
    <row r="178" spans="1:38" ht="15" customHeight="1">
      <c r="A178" s="69">
        <v>46175</v>
      </c>
      <c r="B178" s="70" t="str">
        <f t="shared" si="7"/>
        <v>18 A 06</v>
      </c>
      <c r="C178" s="71" t="str">
        <f t="shared" si="8"/>
        <v>20:00 a 22:00</v>
      </c>
      <c r="D178" s="56" t="s">
        <v>2807</v>
      </c>
      <c r="E178" s="54">
        <v>4</v>
      </c>
      <c r="F178" s="77" t="s">
        <v>314</v>
      </c>
      <c r="G178" s="77" t="s">
        <v>576</v>
      </c>
      <c r="H178" s="73">
        <v>343282</v>
      </c>
      <c r="I178" s="70">
        <v>48307852</v>
      </c>
      <c r="J178" s="56" t="s">
        <v>2538</v>
      </c>
      <c r="K178" s="79" t="s">
        <v>87</v>
      </c>
      <c r="L178" s="77" t="s">
        <v>174</v>
      </c>
      <c r="M178" s="77"/>
      <c r="N178" s="77"/>
      <c r="O178" s="77" t="s">
        <v>2859</v>
      </c>
      <c r="P178" s="78" t="s">
        <v>2595</v>
      </c>
      <c r="Q178" s="58">
        <v>0.83888888888888902</v>
      </c>
      <c r="R178" s="58">
        <v>0.91666666666666696</v>
      </c>
      <c r="S178" s="58">
        <v>0.83888888888888902</v>
      </c>
      <c r="T178" s="58" t="s">
        <v>2530</v>
      </c>
      <c r="U178" s="58" t="s">
        <v>2530</v>
      </c>
      <c r="V178" s="58" t="s">
        <v>2530</v>
      </c>
      <c r="W178" s="58" t="s">
        <v>2530</v>
      </c>
      <c r="X178" t="s">
        <v>3048</v>
      </c>
      <c r="Y178" s="57">
        <v>0</v>
      </c>
      <c r="Z178" s="57">
        <v>1</v>
      </c>
      <c r="AA178" s="57">
        <v>0</v>
      </c>
      <c r="AB178" s="54" t="s">
        <v>2597</v>
      </c>
      <c r="AC178" s="54" t="s">
        <v>2539</v>
      </c>
      <c r="AD178" s="56" t="s">
        <v>2540</v>
      </c>
      <c r="AE178" s="56" t="s">
        <v>2556</v>
      </c>
      <c r="AF178" s="81" t="s">
        <v>2843</v>
      </c>
      <c r="AG178" s="83" t="s">
        <v>69</v>
      </c>
      <c r="AH178" s="81"/>
      <c r="AI178" s="84"/>
      <c r="AJ178" s="85"/>
      <c r="AK178" s="86"/>
      <c r="AL178" s="42"/>
    </row>
    <row r="179" spans="1:38" ht="15" customHeight="1">
      <c r="A179" s="69">
        <v>46175</v>
      </c>
      <c r="B179" s="70" t="str">
        <f t="shared" si="7"/>
        <v>18 A 06</v>
      </c>
      <c r="C179" s="71" t="str">
        <f t="shared" si="8"/>
        <v>20:00 a 22:00</v>
      </c>
      <c r="D179" s="56" t="s">
        <v>2807</v>
      </c>
      <c r="E179" s="54">
        <v>4</v>
      </c>
      <c r="F179" s="77" t="s">
        <v>314</v>
      </c>
      <c r="G179" s="77" t="s">
        <v>1268</v>
      </c>
      <c r="H179" s="73">
        <v>343295</v>
      </c>
      <c r="I179" s="70">
        <v>48308235</v>
      </c>
      <c r="J179" s="56" t="s">
        <v>2538</v>
      </c>
      <c r="K179" s="79" t="s">
        <v>87</v>
      </c>
      <c r="L179" s="77" t="s">
        <v>216</v>
      </c>
      <c r="M179" s="77"/>
      <c r="N179" s="77"/>
      <c r="O179" s="77" t="s">
        <v>2860</v>
      </c>
      <c r="P179" s="78" t="s">
        <v>2603</v>
      </c>
      <c r="Q179" s="58">
        <v>0.86666666666666703</v>
      </c>
      <c r="R179" s="58">
        <v>0.91249999999999998</v>
      </c>
      <c r="S179" s="58">
        <v>0.86666666666666703</v>
      </c>
      <c r="T179" s="58" t="s">
        <v>2530</v>
      </c>
      <c r="U179" s="58" t="s">
        <v>2530</v>
      </c>
      <c r="V179" s="58" t="s">
        <v>2530</v>
      </c>
      <c r="W179" s="58" t="s">
        <v>2530</v>
      </c>
      <c r="X179" t="s">
        <v>3049</v>
      </c>
      <c r="Y179" s="57">
        <v>0</v>
      </c>
      <c r="Z179" s="57">
        <v>0</v>
      </c>
      <c r="AA179" s="57">
        <v>0</v>
      </c>
      <c r="AB179" s="54" t="s">
        <v>2575</v>
      </c>
      <c r="AC179" s="54" t="s">
        <v>2539</v>
      </c>
      <c r="AD179" s="56" t="s">
        <v>2540</v>
      </c>
      <c r="AE179" s="56"/>
      <c r="AF179" s="81"/>
      <c r="AG179" s="83" t="s">
        <v>45</v>
      </c>
      <c r="AH179" s="81"/>
      <c r="AI179" s="84"/>
      <c r="AJ179" s="85"/>
      <c r="AK179" s="86"/>
      <c r="AL179" s="42"/>
    </row>
    <row r="180" spans="1:38" ht="15" customHeight="1">
      <c r="A180" s="69">
        <v>46175</v>
      </c>
      <c r="B180" s="70" t="str">
        <f t="shared" si="7"/>
        <v>18 A 06</v>
      </c>
      <c r="C180" s="71" t="str">
        <f t="shared" si="8"/>
        <v>20:00 a 22:00</v>
      </c>
      <c r="D180" s="56" t="s">
        <v>2807</v>
      </c>
      <c r="E180" s="54">
        <v>4</v>
      </c>
      <c r="F180" s="77" t="s">
        <v>314</v>
      </c>
      <c r="G180" s="77" t="s">
        <v>674</v>
      </c>
      <c r="H180" s="73">
        <v>343372</v>
      </c>
      <c r="I180" s="70">
        <v>48308602</v>
      </c>
      <c r="J180" s="56" t="s">
        <v>2538</v>
      </c>
      <c r="K180" s="79" t="s">
        <v>2513</v>
      </c>
      <c r="L180" s="77"/>
      <c r="M180" s="77"/>
      <c r="N180" s="77"/>
      <c r="O180" s="77" t="s">
        <v>2861</v>
      </c>
      <c r="P180" s="78" t="s">
        <v>2562</v>
      </c>
      <c r="Q180" s="58">
        <v>0.90208333333333302</v>
      </c>
      <c r="R180" s="58">
        <v>0.90972222222222199</v>
      </c>
      <c r="S180" s="58" t="s">
        <v>2530</v>
      </c>
      <c r="T180" s="58" t="s">
        <v>2530</v>
      </c>
      <c r="U180" s="58" t="s">
        <v>2530</v>
      </c>
      <c r="V180" s="58" t="s">
        <v>2530</v>
      </c>
      <c r="W180" s="58" t="s">
        <v>2530</v>
      </c>
      <c r="X180" t="s">
        <v>3050</v>
      </c>
      <c r="Y180" s="57">
        <v>0</v>
      </c>
      <c r="Z180" s="57">
        <v>0</v>
      </c>
      <c r="AA180" s="57">
        <v>0</v>
      </c>
      <c r="AB180" s="54" t="s">
        <v>2563</v>
      </c>
      <c r="AC180" s="54" t="s">
        <v>2539</v>
      </c>
      <c r="AD180" s="56" t="s">
        <v>2564</v>
      </c>
      <c r="AE180" s="56"/>
      <c r="AF180" s="81"/>
      <c r="AG180" s="83" t="s">
        <v>45</v>
      </c>
      <c r="AH180" s="81"/>
      <c r="AI180" s="84"/>
      <c r="AJ180" s="85"/>
      <c r="AK180" s="86"/>
      <c r="AL180" s="42"/>
    </row>
    <row r="181" spans="1:38" ht="15" customHeight="1">
      <c r="A181" s="69">
        <v>46175</v>
      </c>
      <c r="B181" s="70" t="str">
        <f t="shared" si="7"/>
        <v>18 A 06</v>
      </c>
      <c r="C181" s="71" t="str">
        <f t="shared" si="8"/>
        <v>22:00 a 00:00</v>
      </c>
      <c r="D181" s="56" t="s">
        <v>2807</v>
      </c>
      <c r="E181" s="54">
        <v>4</v>
      </c>
      <c r="F181" s="77" t="s">
        <v>2809</v>
      </c>
      <c r="G181" s="77" t="s">
        <v>785</v>
      </c>
      <c r="H181" s="73">
        <v>343484</v>
      </c>
      <c r="I181" s="70">
        <v>48308626</v>
      </c>
      <c r="J181" s="56" t="s">
        <v>2538</v>
      </c>
      <c r="K181" s="79" t="s">
        <v>87</v>
      </c>
      <c r="L181" s="77" t="s">
        <v>77</v>
      </c>
      <c r="M181" s="77"/>
      <c r="N181" s="77"/>
      <c r="O181" s="77" t="s">
        <v>2862</v>
      </c>
      <c r="P181" s="78" t="s">
        <v>2586</v>
      </c>
      <c r="Q181" s="58">
        <v>0.92847222222222203</v>
      </c>
      <c r="R181" s="58">
        <v>3.19444444444444E-2</v>
      </c>
      <c r="S181" s="58">
        <v>0.92847222222222203</v>
      </c>
      <c r="T181" s="58" t="s">
        <v>2530</v>
      </c>
      <c r="U181" s="58" t="s">
        <v>2530</v>
      </c>
      <c r="V181" s="58" t="s">
        <v>2530</v>
      </c>
      <c r="W181" s="58" t="s">
        <v>2530</v>
      </c>
      <c r="X181" t="s">
        <v>3051</v>
      </c>
      <c r="Y181" s="57">
        <v>0</v>
      </c>
      <c r="Z181" s="57">
        <v>1</v>
      </c>
      <c r="AA181" s="57">
        <v>0</v>
      </c>
      <c r="AB181" s="54" t="s">
        <v>2584</v>
      </c>
      <c r="AC181" s="54" t="s">
        <v>2539</v>
      </c>
      <c r="AD181" s="56" t="s">
        <v>2540</v>
      </c>
      <c r="AE181" s="56"/>
      <c r="AF181" s="81" t="s">
        <v>2803</v>
      </c>
      <c r="AG181" s="83" t="s">
        <v>62</v>
      </c>
      <c r="AH181" s="81"/>
      <c r="AI181" s="84"/>
      <c r="AJ181" s="85"/>
      <c r="AK181" s="86"/>
      <c r="AL181" s="42"/>
    </row>
    <row r="182" spans="1:38" ht="15" customHeight="1">
      <c r="A182" s="69">
        <v>46175</v>
      </c>
      <c r="B182" s="70" t="str">
        <f t="shared" si="7"/>
        <v>18 A 06</v>
      </c>
      <c r="C182" s="71" t="str">
        <f t="shared" si="8"/>
        <v>22:00 a 00:00</v>
      </c>
      <c r="D182" s="56" t="s">
        <v>2807</v>
      </c>
      <c r="E182" s="54">
        <v>4</v>
      </c>
      <c r="F182" s="77" t="s">
        <v>2809</v>
      </c>
      <c r="G182" s="77" t="s">
        <v>310</v>
      </c>
      <c r="H182" s="73">
        <v>343385</v>
      </c>
      <c r="I182" s="70">
        <v>48308927</v>
      </c>
      <c r="J182" s="56" t="s">
        <v>2538</v>
      </c>
      <c r="K182" s="79" t="s">
        <v>205</v>
      </c>
      <c r="L182" s="77"/>
      <c r="M182" s="77"/>
      <c r="N182" s="77"/>
      <c r="O182" s="77" t="s">
        <v>2863</v>
      </c>
      <c r="P182" s="78" t="s">
        <v>2567</v>
      </c>
      <c r="Q182" s="58">
        <v>0.94444444444444398</v>
      </c>
      <c r="R182" s="58">
        <v>0.96527777777777801</v>
      </c>
      <c r="S182" s="58">
        <v>0.94513888888888897</v>
      </c>
      <c r="T182" s="58">
        <v>0.95972222222222203</v>
      </c>
      <c r="U182" s="58" t="s">
        <v>2530</v>
      </c>
      <c r="V182" s="58" t="s">
        <v>2530</v>
      </c>
      <c r="W182" s="58" t="s">
        <v>2530</v>
      </c>
      <c r="X182" t="s">
        <v>3052</v>
      </c>
      <c r="Y182" s="57">
        <v>0</v>
      </c>
      <c r="Z182" s="57">
        <v>0</v>
      </c>
      <c r="AA182" s="57">
        <v>0</v>
      </c>
      <c r="AB182" s="54" t="s">
        <v>2568</v>
      </c>
      <c r="AC182" s="54" t="s">
        <v>2539</v>
      </c>
      <c r="AD182" s="56" t="s">
        <v>2540</v>
      </c>
      <c r="AE182" s="56"/>
      <c r="AF182" s="81"/>
      <c r="AG182" s="83" t="s">
        <v>45</v>
      </c>
      <c r="AH182" s="81"/>
      <c r="AI182" s="84"/>
      <c r="AJ182" s="85"/>
      <c r="AK182" s="86"/>
      <c r="AL182" s="42"/>
    </row>
    <row r="183" spans="1:38" ht="15" customHeight="1">
      <c r="A183" s="69">
        <v>46175</v>
      </c>
      <c r="B183" s="70" t="str">
        <f t="shared" si="7"/>
        <v>18 A 06</v>
      </c>
      <c r="C183" s="71" t="str">
        <f t="shared" si="8"/>
        <v>22:00 a 00:00</v>
      </c>
      <c r="D183" s="56" t="s">
        <v>2807</v>
      </c>
      <c r="E183" s="54">
        <v>4</v>
      </c>
      <c r="F183" s="77" t="s">
        <v>2809</v>
      </c>
      <c r="G183" s="77" t="s">
        <v>591</v>
      </c>
      <c r="H183" s="73">
        <v>343575</v>
      </c>
      <c r="I183" s="70">
        <v>48308997</v>
      </c>
      <c r="J183" s="56" t="s">
        <v>2538</v>
      </c>
      <c r="K183" s="79" t="s">
        <v>87</v>
      </c>
      <c r="L183" s="77" t="s">
        <v>19</v>
      </c>
      <c r="M183" s="77"/>
      <c r="N183" s="77"/>
      <c r="O183" s="77" t="s">
        <v>2864</v>
      </c>
      <c r="P183" s="78" t="s">
        <v>2612</v>
      </c>
      <c r="Q183" s="58">
        <v>0.95694444444444504</v>
      </c>
      <c r="R183" s="58">
        <v>0.99513888888888902</v>
      </c>
      <c r="S183" s="58">
        <v>0.95694444444444504</v>
      </c>
      <c r="T183" s="58" t="s">
        <v>2530</v>
      </c>
      <c r="U183" s="58" t="s">
        <v>2530</v>
      </c>
      <c r="V183" s="58" t="s">
        <v>2530</v>
      </c>
      <c r="W183" s="58" t="s">
        <v>2530</v>
      </c>
      <c r="X183" t="s">
        <v>3053</v>
      </c>
      <c r="Y183" s="57">
        <v>0</v>
      </c>
      <c r="Z183" s="57">
        <v>0</v>
      </c>
      <c r="AA183" s="57">
        <v>0</v>
      </c>
      <c r="AB183" s="54" t="s">
        <v>2629</v>
      </c>
      <c r="AC183" s="54" t="s">
        <v>2539</v>
      </c>
      <c r="AD183" s="56" t="s">
        <v>2540</v>
      </c>
      <c r="AE183" s="56"/>
      <c r="AF183" s="81"/>
      <c r="AG183" s="83" t="s">
        <v>45</v>
      </c>
      <c r="AH183" s="81"/>
      <c r="AI183" s="84"/>
      <c r="AJ183" s="85"/>
      <c r="AK183" s="86"/>
      <c r="AL183" s="42"/>
    </row>
    <row r="184" spans="1:38" ht="15" customHeight="1">
      <c r="A184" s="69">
        <v>46175</v>
      </c>
      <c r="B184" s="70" t="str">
        <f t="shared" si="7"/>
        <v>18 A 06</v>
      </c>
      <c r="C184" s="71" t="str">
        <f t="shared" si="8"/>
        <v>22:00 a 00:00</v>
      </c>
      <c r="D184" s="56" t="s">
        <v>2807</v>
      </c>
      <c r="E184" s="54">
        <v>4</v>
      </c>
      <c r="F184" s="77" t="s">
        <v>2809</v>
      </c>
      <c r="G184" s="77" t="s">
        <v>965</v>
      </c>
      <c r="H184" s="73">
        <v>343478</v>
      </c>
      <c r="I184" s="70">
        <v>48309023</v>
      </c>
      <c r="J184" s="56" t="s">
        <v>2538</v>
      </c>
      <c r="K184" s="79" t="s">
        <v>87</v>
      </c>
      <c r="L184" s="77" t="s">
        <v>200</v>
      </c>
      <c r="M184" s="77"/>
      <c r="N184" s="77"/>
      <c r="O184" s="77" t="s">
        <v>2865</v>
      </c>
      <c r="P184" s="78" t="s">
        <v>2567</v>
      </c>
      <c r="Q184" s="58">
        <v>0.96180555555555602</v>
      </c>
      <c r="R184" s="58">
        <v>0.97916666666666696</v>
      </c>
      <c r="S184" s="58">
        <v>0.96180555555555602</v>
      </c>
      <c r="T184" s="58" t="s">
        <v>2530</v>
      </c>
      <c r="U184" s="58" t="s">
        <v>2530</v>
      </c>
      <c r="V184" s="58" t="s">
        <v>2530</v>
      </c>
      <c r="W184" s="58" t="s">
        <v>2530</v>
      </c>
      <c r="X184" t="s">
        <v>3054</v>
      </c>
      <c r="Y184" s="57">
        <v>0</v>
      </c>
      <c r="Z184" s="57">
        <v>0</v>
      </c>
      <c r="AA184" s="57">
        <v>0</v>
      </c>
      <c r="AB184" s="54" t="s">
        <v>2568</v>
      </c>
      <c r="AC184" s="54" t="s">
        <v>2539</v>
      </c>
      <c r="AD184" s="56" t="s">
        <v>2540</v>
      </c>
      <c r="AE184" s="56"/>
      <c r="AF184" s="81"/>
      <c r="AG184" s="83" t="s">
        <v>45</v>
      </c>
      <c r="AH184" s="81"/>
      <c r="AI184" s="84"/>
      <c r="AJ184" s="85"/>
      <c r="AK184" s="86"/>
      <c r="AL184" s="42"/>
    </row>
    <row r="185" spans="1:38" ht="15" customHeight="1">
      <c r="A185" s="69">
        <v>46175</v>
      </c>
      <c r="B185" s="70" t="str">
        <f t="shared" si="7"/>
        <v>18 A 06</v>
      </c>
      <c r="C185" s="71" t="str">
        <f t="shared" si="8"/>
        <v>22:00 a 00:00</v>
      </c>
      <c r="D185" s="56" t="s">
        <v>2807</v>
      </c>
      <c r="E185" s="54">
        <v>4</v>
      </c>
      <c r="F185" s="77" t="s">
        <v>2809</v>
      </c>
      <c r="G185" s="77" t="s">
        <v>2812</v>
      </c>
      <c r="H185" s="73">
        <v>343468</v>
      </c>
      <c r="I185" s="70">
        <v>48309105</v>
      </c>
      <c r="J185" s="56" t="s">
        <v>2538</v>
      </c>
      <c r="K185" s="79" t="s">
        <v>87</v>
      </c>
      <c r="L185" s="77" t="s">
        <v>104</v>
      </c>
      <c r="M185" s="77"/>
      <c r="N185" s="77"/>
      <c r="O185" s="77" t="s">
        <v>2866</v>
      </c>
      <c r="P185" s="78" t="s">
        <v>2553</v>
      </c>
      <c r="Q185" s="58">
        <v>0.97222222222222199</v>
      </c>
      <c r="R185" s="58">
        <v>1.18055555555556E-2</v>
      </c>
      <c r="S185" s="58">
        <v>0.97222222222222199</v>
      </c>
      <c r="T185" s="58">
        <v>0.99583333333333302</v>
      </c>
      <c r="U185" s="58">
        <v>0.97222222222222199</v>
      </c>
      <c r="V185" s="58" t="s">
        <v>2530</v>
      </c>
      <c r="W185" s="58" t="s">
        <v>2530</v>
      </c>
      <c r="X185" t="s">
        <v>3055</v>
      </c>
      <c r="Y185" s="57">
        <v>0</v>
      </c>
      <c r="Z185" s="57">
        <v>0</v>
      </c>
      <c r="AA185" s="57">
        <v>0</v>
      </c>
      <c r="AB185" s="54" t="s">
        <v>2554</v>
      </c>
      <c r="AC185" s="54" t="s">
        <v>2539</v>
      </c>
      <c r="AD185" s="56" t="s">
        <v>2540</v>
      </c>
      <c r="AE185" s="56"/>
      <c r="AF185" s="81"/>
      <c r="AG185" s="83" t="s">
        <v>45</v>
      </c>
      <c r="AH185" s="81"/>
      <c r="AI185" s="84"/>
      <c r="AJ185" s="85"/>
      <c r="AK185" s="86"/>
      <c r="AL185" s="42"/>
    </row>
    <row r="186" spans="1:38" ht="15" customHeight="1">
      <c r="A186" s="69">
        <v>46175</v>
      </c>
      <c r="B186" s="70" t="str">
        <f t="shared" si="7"/>
        <v>18 A 06</v>
      </c>
      <c r="C186" s="71" t="str">
        <f t="shared" si="8"/>
        <v>22:00 a 00:00</v>
      </c>
      <c r="D186" s="56" t="s">
        <v>2807</v>
      </c>
      <c r="E186" s="54">
        <v>4</v>
      </c>
      <c r="F186" s="77" t="s">
        <v>2809</v>
      </c>
      <c r="G186" s="77" t="s">
        <v>965</v>
      </c>
      <c r="H186" s="73">
        <v>343574</v>
      </c>
      <c r="I186" s="70">
        <v>48309155</v>
      </c>
      <c r="J186" s="56" t="s">
        <v>2538</v>
      </c>
      <c r="K186" s="79" t="s">
        <v>146</v>
      </c>
      <c r="L186" s="77"/>
      <c r="M186" s="77"/>
      <c r="N186" s="77"/>
      <c r="O186" s="77" t="s">
        <v>2867</v>
      </c>
      <c r="P186" s="78" t="s">
        <v>2557</v>
      </c>
      <c r="Q186" s="58">
        <v>0.98124999999999996</v>
      </c>
      <c r="R186" s="58">
        <v>0.99375000000000002</v>
      </c>
      <c r="S186" s="58">
        <v>0.98750000000000004</v>
      </c>
      <c r="T186" s="58" t="s">
        <v>2530</v>
      </c>
      <c r="U186" s="58" t="s">
        <v>2530</v>
      </c>
      <c r="V186" s="58" t="s">
        <v>2530</v>
      </c>
      <c r="W186" s="58" t="s">
        <v>2530</v>
      </c>
      <c r="X186" t="s">
        <v>3056</v>
      </c>
      <c r="Y186" s="57">
        <v>0</v>
      </c>
      <c r="Z186" s="57">
        <v>0</v>
      </c>
      <c r="AA186" s="57">
        <v>0</v>
      </c>
      <c r="AB186" s="54" t="s">
        <v>2554</v>
      </c>
      <c r="AC186" s="54" t="s">
        <v>2539</v>
      </c>
      <c r="AD186" s="56" t="s">
        <v>2540</v>
      </c>
      <c r="AE186" s="56"/>
      <c r="AF186" s="81"/>
      <c r="AG186" s="83" t="s">
        <v>45</v>
      </c>
      <c r="AH186" s="81"/>
      <c r="AI186" s="84"/>
      <c r="AJ186" s="85"/>
      <c r="AK186" s="86"/>
      <c r="AL186" s="42"/>
    </row>
    <row r="187" spans="1:38" ht="15" customHeight="1">
      <c r="A187" s="69">
        <v>46175</v>
      </c>
      <c r="B187" s="70" t="str">
        <f t="shared" si="7"/>
        <v>18 A 06</v>
      </c>
      <c r="C187" s="71" t="str">
        <f t="shared" si="8"/>
        <v>22:00 a 00:00</v>
      </c>
      <c r="D187" s="56" t="s">
        <v>2807</v>
      </c>
      <c r="E187" s="54">
        <v>4</v>
      </c>
      <c r="F187" s="77" t="s">
        <v>2810</v>
      </c>
      <c r="G187" s="77" t="s">
        <v>1369</v>
      </c>
      <c r="H187" s="73">
        <v>343476</v>
      </c>
      <c r="I187" s="70">
        <v>48309197</v>
      </c>
      <c r="J187" s="56" t="s">
        <v>2543</v>
      </c>
      <c r="K187" s="79" t="s">
        <v>87</v>
      </c>
      <c r="L187" s="77" t="s">
        <v>126</v>
      </c>
      <c r="M187" s="77"/>
      <c r="N187" s="77"/>
      <c r="O187" s="77" t="s">
        <v>2868</v>
      </c>
      <c r="P187" s="78" t="s">
        <v>2655</v>
      </c>
      <c r="Q187" s="58">
        <v>0.99027777777777803</v>
      </c>
      <c r="R187" s="58">
        <v>3.4027777777777803E-2</v>
      </c>
      <c r="S187" s="58">
        <v>0.99027777777777803</v>
      </c>
      <c r="T187" s="58" t="s">
        <v>2530</v>
      </c>
      <c r="U187" s="58" t="s">
        <v>2530</v>
      </c>
      <c r="V187" s="58" t="s">
        <v>2530</v>
      </c>
      <c r="W187" s="58" t="s">
        <v>2530</v>
      </c>
      <c r="X187" t="s">
        <v>3057</v>
      </c>
      <c r="Y187" s="57">
        <v>0</v>
      </c>
      <c r="Z187" s="57">
        <v>0</v>
      </c>
      <c r="AA187" s="57">
        <v>0</v>
      </c>
      <c r="AB187" s="54" t="s">
        <v>2624</v>
      </c>
      <c r="AC187" s="54" t="s">
        <v>2539</v>
      </c>
      <c r="AD187" s="56" t="s">
        <v>2540</v>
      </c>
      <c r="AE187" s="56"/>
      <c r="AF187" s="81"/>
      <c r="AG187" s="83" t="s">
        <v>45</v>
      </c>
      <c r="AH187" s="81"/>
      <c r="AI187" s="84"/>
      <c r="AJ187" s="85"/>
      <c r="AK187" s="86"/>
      <c r="AL187" s="42"/>
    </row>
    <row r="188" spans="1:38" ht="15" customHeight="1">
      <c r="A188" s="69">
        <v>46175</v>
      </c>
      <c r="B188" s="70" t="str">
        <f t="shared" si="7"/>
        <v>18 A 06</v>
      </c>
      <c r="C188" s="71" t="str">
        <f t="shared" si="8"/>
        <v>22:00 a 00:00</v>
      </c>
      <c r="D188" s="56" t="s">
        <v>2807</v>
      </c>
      <c r="E188" s="54">
        <v>4</v>
      </c>
      <c r="F188" s="77" t="s">
        <v>314</v>
      </c>
      <c r="G188" s="77" t="s">
        <v>2047</v>
      </c>
      <c r="H188" s="73">
        <v>343511</v>
      </c>
      <c r="I188" s="70">
        <v>48308853</v>
      </c>
      <c r="J188" s="56" t="s">
        <v>2538</v>
      </c>
      <c r="K188" s="79" t="s">
        <v>87</v>
      </c>
      <c r="L188" s="77" t="s">
        <v>174</v>
      </c>
      <c r="M188" s="77"/>
      <c r="N188" s="77"/>
      <c r="O188" s="77" t="s">
        <v>2869</v>
      </c>
      <c r="P188" s="78" t="s">
        <v>2562</v>
      </c>
      <c r="Q188" s="58">
        <v>0.94097222222222199</v>
      </c>
      <c r="R188" s="58">
        <v>5.5555555555555601E-3</v>
      </c>
      <c r="S188" s="58">
        <v>0.94097222222222199</v>
      </c>
      <c r="T188" s="58" t="s">
        <v>2530</v>
      </c>
      <c r="U188" s="58" t="s">
        <v>2530</v>
      </c>
      <c r="V188" s="58" t="s">
        <v>2530</v>
      </c>
      <c r="W188" s="58" t="s">
        <v>2530</v>
      </c>
      <c r="X188" t="s">
        <v>3058</v>
      </c>
      <c r="Y188" s="57">
        <v>0</v>
      </c>
      <c r="Z188" s="57">
        <v>0</v>
      </c>
      <c r="AA188" s="57">
        <v>0</v>
      </c>
      <c r="AB188" s="54" t="s">
        <v>2580</v>
      </c>
      <c r="AC188" s="54" t="s">
        <v>2539</v>
      </c>
      <c r="AD188" s="56" t="s">
        <v>2540</v>
      </c>
      <c r="AE188" s="56"/>
      <c r="AF188" s="81"/>
      <c r="AG188" s="83" t="s">
        <v>45</v>
      </c>
      <c r="AH188" s="81"/>
      <c r="AI188" s="84"/>
      <c r="AJ188" s="85"/>
      <c r="AK188" s="86"/>
      <c r="AL188" s="42"/>
    </row>
    <row r="189" spans="1:38" ht="15" customHeight="1">
      <c r="A189" s="69">
        <v>46175</v>
      </c>
      <c r="B189" s="70" t="str">
        <f t="shared" si="7"/>
        <v>18 A 06</v>
      </c>
      <c r="C189" s="71" t="str">
        <f t="shared" si="8"/>
        <v>22:00 a 00:00</v>
      </c>
      <c r="D189" s="56" t="s">
        <v>2807</v>
      </c>
      <c r="E189" s="54">
        <v>4</v>
      </c>
      <c r="F189" s="77" t="s">
        <v>314</v>
      </c>
      <c r="G189" s="77" t="s">
        <v>611</v>
      </c>
      <c r="H189" s="73">
        <v>343489</v>
      </c>
      <c r="I189" s="70">
        <v>48308921</v>
      </c>
      <c r="J189" s="56" t="s">
        <v>2538</v>
      </c>
      <c r="K189" s="79" t="s">
        <v>174</v>
      </c>
      <c r="L189" s="77"/>
      <c r="M189" s="77"/>
      <c r="N189" s="77" t="s">
        <v>2524</v>
      </c>
      <c r="O189" s="77" t="s">
        <v>2870</v>
      </c>
      <c r="P189" s="78" t="s">
        <v>2621</v>
      </c>
      <c r="Q189" s="58">
        <v>0.94583333333333297</v>
      </c>
      <c r="R189" s="58">
        <v>0.98611111111111105</v>
      </c>
      <c r="S189" s="58">
        <v>0.94583333333333297</v>
      </c>
      <c r="T189" s="58" t="s">
        <v>2530</v>
      </c>
      <c r="U189" s="58" t="s">
        <v>2530</v>
      </c>
      <c r="V189" s="58" t="s">
        <v>2530</v>
      </c>
      <c r="W189" s="58" t="s">
        <v>2530</v>
      </c>
      <c r="X189" t="s">
        <v>3059</v>
      </c>
      <c r="Y189" s="57">
        <v>0</v>
      </c>
      <c r="Z189" s="57">
        <v>0</v>
      </c>
      <c r="AA189" s="57">
        <v>0</v>
      </c>
      <c r="AB189" s="54" t="s">
        <v>2591</v>
      </c>
      <c r="AC189" s="54" t="s">
        <v>2539</v>
      </c>
      <c r="AD189" s="56" t="s">
        <v>2540</v>
      </c>
      <c r="AE189" s="56" t="s">
        <v>2556</v>
      </c>
      <c r="AF189" s="81"/>
      <c r="AG189" s="83" t="s">
        <v>45</v>
      </c>
      <c r="AH189" s="81"/>
      <c r="AI189" s="84"/>
      <c r="AJ189" s="85"/>
      <c r="AK189" s="86"/>
      <c r="AL189" s="42"/>
    </row>
    <row r="190" spans="1:38" ht="15" customHeight="1">
      <c r="A190" s="69">
        <v>46175</v>
      </c>
      <c r="B190" s="70" t="str">
        <f t="shared" si="7"/>
        <v>18 A 06</v>
      </c>
      <c r="C190" s="71" t="str">
        <f t="shared" si="8"/>
        <v>22:00 a 00:00</v>
      </c>
      <c r="D190" s="56" t="s">
        <v>2807</v>
      </c>
      <c r="E190" s="54">
        <v>4</v>
      </c>
      <c r="F190" s="77" t="s">
        <v>2809</v>
      </c>
      <c r="G190" s="77" t="s">
        <v>2121</v>
      </c>
      <c r="H190" s="73">
        <v>343586</v>
      </c>
      <c r="I190" s="70">
        <v>48309208</v>
      </c>
      <c r="J190" s="56" t="s">
        <v>2538</v>
      </c>
      <c r="K190" s="79" t="s">
        <v>87</v>
      </c>
      <c r="L190" s="77" t="s">
        <v>104</v>
      </c>
      <c r="M190" s="77"/>
      <c r="N190" s="77"/>
      <c r="O190" s="77" t="s">
        <v>2871</v>
      </c>
      <c r="P190" s="78" t="s">
        <v>2872</v>
      </c>
      <c r="Q190" s="58">
        <v>0.99513888888888902</v>
      </c>
      <c r="R190" s="58">
        <v>3.05555555555556E-2</v>
      </c>
      <c r="S190" s="58">
        <v>0.99513888888888902</v>
      </c>
      <c r="T190" s="58">
        <v>0</v>
      </c>
      <c r="U190" s="58" t="s">
        <v>2530</v>
      </c>
      <c r="V190" s="58" t="s">
        <v>2530</v>
      </c>
      <c r="W190" s="58" t="s">
        <v>2530</v>
      </c>
      <c r="X190" t="s">
        <v>3060</v>
      </c>
      <c r="Y190" s="57">
        <v>0</v>
      </c>
      <c r="Z190" s="57">
        <v>0</v>
      </c>
      <c r="AA190" s="57">
        <v>0</v>
      </c>
      <c r="AB190" s="54" t="s">
        <v>2596</v>
      </c>
      <c r="AC190" s="54" t="s">
        <v>2539</v>
      </c>
      <c r="AD190" s="56" t="s">
        <v>2540</v>
      </c>
      <c r="AE190" s="56"/>
      <c r="AF190" s="81"/>
      <c r="AG190" s="83" t="s">
        <v>45</v>
      </c>
      <c r="AH190" s="81"/>
      <c r="AI190" s="84"/>
      <c r="AJ190" s="85"/>
      <c r="AK190" s="86"/>
      <c r="AL190" s="42"/>
    </row>
    <row r="191" spans="1:38" ht="15" customHeight="1">
      <c r="A191" s="69">
        <v>46175</v>
      </c>
      <c r="B191" s="70" t="str">
        <f t="shared" si="7"/>
        <v>18 A 06</v>
      </c>
      <c r="C191" s="71" t="str">
        <f t="shared" si="8"/>
        <v>22:00 a 00:00</v>
      </c>
      <c r="D191" s="56" t="s">
        <v>2807</v>
      </c>
      <c r="E191" s="54">
        <v>4</v>
      </c>
      <c r="F191" s="77" t="s">
        <v>2874</v>
      </c>
      <c r="G191" s="77" t="s">
        <v>1301</v>
      </c>
      <c r="H191" s="73">
        <v>343485</v>
      </c>
      <c r="I191" s="70">
        <v>48309218</v>
      </c>
      <c r="J191" s="56" t="s">
        <v>2538</v>
      </c>
      <c r="K191" s="79" t="s">
        <v>87</v>
      </c>
      <c r="L191" s="77" t="s">
        <v>200</v>
      </c>
      <c r="M191" s="77"/>
      <c r="N191" s="77"/>
      <c r="O191" s="77" t="s">
        <v>2873</v>
      </c>
      <c r="P191" s="78" t="s">
        <v>2577</v>
      </c>
      <c r="Q191" s="58">
        <v>0.99305555555555602</v>
      </c>
      <c r="R191" s="58">
        <v>3.19444444444444E-2</v>
      </c>
      <c r="S191" s="58">
        <v>2.0833333333333298E-3</v>
      </c>
      <c r="T191" s="58" t="s">
        <v>2530</v>
      </c>
      <c r="U191" s="58" t="s">
        <v>2530</v>
      </c>
      <c r="V191" s="58" t="s">
        <v>2530</v>
      </c>
      <c r="W191" s="58" t="s">
        <v>2530</v>
      </c>
      <c r="X191" t="s">
        <v>3061</v>
      </c>
      <c r="Y191" s="57">
        <v>0</v>
      </c>
      <c r="Z191" s="57">
        <v>0</v>
      </c>
      <c r="AA191" s="57">
        <v>0</v>
      </c>
      <c r="AB191" s="54" t="s">
        <v>2578</v>
      </c>
      <c r="AC191" s="54" t="s">
        <v>2539</v>
      </c>
      <c r="AD191" s="56" t="s">
        <v>2540</v>
      </c>
      <c r="AE191" s="56" t="s">
        <v>2556</v>
      </c>
      <c r="AF191" s="81"/>
      <c r="AG191" s="83" t="s">
        <v>45</v>
      </c>
      <c r="AH191" s="81"/>
      <c r="AI191" s="84"/>
      <c r="AJ191" s="85"/>
      <c r="AK191" s="86"/>
      <c r="AL191" s="42"/>
    </row>
    <row r="192" spans="1:38" ht="15" customHeight="1">
      <c r="A192" s="59"/>
      <c r="B192" s="54"/>
      <c r="C192" s="55"/>
      <c r="D192" s="56"/>
      <c r="E192" s="54"/>
      <c r="F192" s="77"/>
      <c r="G192" s="77"/>
      <c r="H192" s="73"/>
      <c r="I192" s="70"/>
      <c r="J192" s="56"/>
      <c r="K192" s="79"/>
      <c r="L192" s="77"/>
      <c r="M192" s="77"/>
      <c r="N192" s="77"/>
      <c r="O192" s="77"/>
      <c r="P192" s="78"/>
      <c r="Q192" s="58"/>
      <c r="R192" s="58"/>
      <c r="S192" s="58"/>
      <c r="T192" s="58"/>
      <c r="U192" s="58"/>
      <c r="V192" s="58"/>
      <c r="W192" s="58"/>
      <c r="X192" s="81"/>
      <c r="Y192" s="57"/>
      <c r="Z192" s="57"/>
      <c r="AA192" s="57"/>
      <c r="AB192" s="54"/>
      <c r="AC192" s="54"/>
      <c r="AD192" s="56"/>
      <c r="AE192" s="56"/>
      <c r="AF192" s="81"/>
      <c r="AG192" s="83"/>
      <c r="AH192" s="81"/>
      <c r="AI192" s="84"/>
      <c r="AJ192" s="85"/>
      <c r="AK192" s="86"/>
      <c r="AL192" s="42"/>
    </row>
    <row r="193" spans="1:38" ht="15" customHeight="1">
      <c r="A193" s="59"/>
      <c r="B193" s="54"/>
      <c r="C193" s="55"/>
      <c r="D193" s="56"/>
      <c r="E193" s="54"/>
      <c r="F193" s="77"/>
      <c r="G193" s="77"/>
      <c r="H193" s="73"/>
      <c r="I193" s="70"/>
      <c r="J193" s="56"/>
      <c r="K193" s="79"/>
      <c r="L193" s="77"/>
      <c r="M193" s="77"/>
      <c r="N193" s="77"/>
      <c r="O193" s="77"/>
      <c r="P193" s="78"/>
      <c r="Q193" s="58"/>
      <c r="R193" s="58"/>
      <c r="S193" s="58"/>
      <c r="T193" s="58"/>
      <c r="U193" s="58"/>
      <c r="V193" s="58"/>
      <c r="W193" s="58"/>
      <c r="X193" s="81"/>
      <c r="Y193" s="57"/>
      <c r="Z193" s="57"/>
      <c r="AA193" s="57"/>
      <c r="AB193" s="54"/>
      <c r="AC193" s="54"/>
      <c r="AD193" s="56"/>
      <c r="AE193" s="56"/>
      <c r="AF193" s="81"/>
      <c r="AG193" s="83"/>
      <c r="AH193" s="81"/>
      <c r="AI193" s="84"/>
      <c r="AJ193" s="85"/>
      <c r="AK193" s="86"/>
      <c r="AL193" s="42"/>
    </row>
    <row r="194" spans="1:38" ht="15" customHeight="1">
      <c r="A194" s="59"/>
      <c r="B194" s="54"/>
      <c r="C194" s="55"/>
      <c r="D194" s="56"/>
      <c r="E194" s="54"/>
      <c r="F194" s="77"/>
      <c r="G194" s="77"/>
      <c r="H194" s="73"/>
      <c r="I194" s="70"/>
      <c r="J194" s="56"/>
      <c r="K194" s="79"/>
      <c r="L194" s="77"/>
      <c r="M194" s="77"/>
      <c r="N194" s="77"/>
      <c r="O194" s="77"/>
      <c r="P194" s="78"/>
      <c r="Q194" s="58"/>
      <c r="R194" s="58"/>
      <c r="S194" s="58"/>
      <c r="T194" s="58"/>
      <c r="U194" s="58"/>
      <c r="V194" s="58"/>
      <c r="W194" s="58"/>
      <c r="X194" s="81"/>
      <c r="Y194" s="57"/>
      <c r="Z194" s="57"/>
      <c r="AA194" s="57"/>
      <c r="AB194" s="54"/>
      <c r="AC194" s="54"/>
      <c r="AD194" s="56"/>
      <c r="AE194" s="56"/>
      <c r="AF194" s="81"/>
      <c r="AG194" s="83"/>
      <c r="AH194" s="81"/>
      <c r="AI194" s="84"/>
      <c r="AJ194" s="85"/>
      <c r="AK194" s="86"/>
      <c r="AL194" s="42"/>
    </row>
    <row r="195" spans="1:38" ht="15" customHeight="1">
      <c r="A195" s="59"/>
      <c r="B195" s="54"/>
      <c r="C195" s="55"/>
      <c r="D195" s="56"/>
      <c r="E195" s="54"/>
      <c r="F195" s="77"/>
      <c r="G195" s="77"/>
      <c r="H195" s="73"/>
      <c r="I195" s="70"/>
      <c r="J195" s="56"/>
      <c r="K195" s="79"/>
      <c r="L195" s="77"/>
      <c r="M195" s="77"/>
      <c r="N195" s="77"/>
      <c r="O195" s="77"/>
      <c r="P195" s="78"/>
      <c r="Q195" s="58"/>
      <c r="R195" s="58"/>
      <c r="S195" s="58"/>
      <c r="T195" s="58"/>
      <c r="U195" s="58"/>
      <c r="V195" s="58"/>
      <c r="W195" s="58"/>
      <c r="X195" s="81"/>
      <c r="Y195" s="57"/>
      <c r="Z195" s="57"/>
      <c r="AA195" s="57"/>
      <c r="AB195" s="54"/>
      <c r="AC195" s="54"/>
      <c r="AD195" s="56"/>
      <c r="AE195" s="56"/>
      <c r="AF195" s="81"/>
      <c r="AG195" s="83"/>
      <c r="AH195" s="81"/>
      <c r="AI195" s="84"/>
      <c r="AJ195" s="85"/>
      <c r="AK195" s="86"/>
      <c r="AL195" s="42"/>
    </row>
    <row r="196" spans="1:38" ht="15" customHeight="1">
      <c r="A196" s="59"/>
      <c r="B196" s="54"/>
      <c r="C196" s="55"/>
      <c r="D196" s="56"/>
      <c r="E196" s="54"/>
      <c r="F196" s="77"/>
      <c r="G196" s="77"/>
      <c r="H196" s="73"/>
      <c r="I196" s="70"/>
      <c r="J196" s="56"/>
      <c r="K196" s="79"/>
      <c r="L196" s="77"/>
      <c r="M196" s="77"/>
      <c r="N196" s="77"/>
      <c r="O196" s="77"/>
      <c r="P196" s="78"/>
      <c r="Q196" s="58"/>
      <c r="R196" s="58"/>
      <c r="S196" s="58"/>
      <c r="T196" s="58"/>
      <c r="U196" s="58"/>
      <c r="V196" s="58"/>
      <c r="W196" s="58"/>
      <c r="X196" s="81"/>
      <c r="Y196" s="57"/>
      <c r="Z196" s="57"/>
      <c r="AA196" s="57"/>
      <c r="AB196" s="54"/>
      <c r="AC196" s="54"/>
      <c r="AD196" s="56"/>
      <c r="AE196" s="56"/>
      <c r="AF196" s="81"/>
      <c r="AG196" s="83"/>
      <c r="AH196" s="81"/>
      <c r="AI196" s="84"/>
      <c r="AJ196" s="85"/>
      <c r="AK196" s="86"/>
      <c r="AL196" s="42"/>
    </row>
    <row r="197" spans="1:38" ht="15" customHeight="1">
      <c r="A197" s="59"/>
      <c r="B197" s="54"/>
      <c r="C197" s="55"/>
      <c r="D197" s="56"/>
      <c r="E197" s="54"/>
      <c r="F197" s="77"/>
      <c r="G197" s="77"/>
      <c r="H197" s="73"/>
      <c r="I197" s="70"/>
      <c r="J197" s="56"/>
      <c r="K197" s="79"/>
      <c r="L197" s="77"/>
      <c r="M197" s="77"/>
      <c r="N197" s="77"/>
      <c r="O197" s="77"/>
      <c r="P197" s="78"/>
      <c r="Q197" s="58"/>
      <c r="R197" s="58"/>
      <c r="S197" s="58"/>
      <c r="T197" s="58"/>
      <c r="U197" s="58"/>
      <c r="V197" s="58"/>
      <c r="W197" s="58"/>
      <c r="X197" s="81"/>
      <c r="Y197" s="57"/>
      <c r="Z197" s="57"/>
      <c r="AA197" s="57"/>
      <c r="AB197" s="54"/>
      <c r="AC197" s="54"/>
      <c r="AD197" s="56"/>
      <c r="AE197" s="56"/>
      <c r="AF197" s="81"/>
      <c r="AG197" s="83"/>
      <c r="AH197" s="81"/>
      <c r="AI197" s="84"/>
      <c r="AJ197" s="85"/>
      <c r="AK197" s="86"/>
      <c r="AL197" s="42"/>
    </row>
    <row r="198" spans="1:38" ht="15" customHeight="1">
      <c r="A198" s="59"/>
      <c r="B198" s="54"/>
      <c r="C198" s="55"/>
      <c r="D198" s="56"/>
      <c r="E198" s="54"/>
      <c r="F198" s="77"/>
      <c r="G198" s="77"/>
      <c r="H198" s="73"/>
      <c r="I198" s="70"/>
      <c r="J198" s="56"/>
      <c r="K198" s="79"/>
      <c r="L198" s="77"/>
      <c r="M198" s="77"/>
      <c r="N198" s="77"/>
      <c r="O198" s="77"/>
      <c r="P198" s="78"/>
      <c r="Q198" s="58"/>
      <c r="R198" s="58"/>
      <c r="S198" s="58"/>
      <c r="T198" s="58"/>
      <c r="U198" s="58"/>
      <c r="V198" s="58"/>
      <c r="W198" s="58"/>
      <c r="X198" s="81"/>
      <c r="Y198" s="57"/>
      <c r="Z198" s="57"/>
      <c r="AA198" s="57"/>
      <c r="AB198" s="54"/>
      <c r="AC198" s="54"/>
      <c r="AD198" s="56"/>
      <c r="AE198" s="56"/>
      <c r="AF198" s="81"/>
      <c r="AG198" s="83"/>
      <c r="AH198" s="81"/>
      <c r="AI198" s="84"/>
      <c r="AJ198" s="85"/>
      <c r="AK198" s="86"/>
      <c r="AL198" s="42"/>
    </row>
    <row r="199" spans="1:38" ht="15" customHeight="1">
      <c r="A199" s="59"/>
      <c r="B199" s="54"/>
      <c r="C199" s="55"/>
      <c r="D199" s="56"/>
      <c r="E199" s="54"/>
      <c r="F199" s="77"/>
      <c r="G199" s="77"/>
      <c r="H199" s="73"/>
      <c r="I199" s="70"/>
      <c r="J199" s="56"/>
      <c r="K199" s="79"/>
      <c r="L199" s="77"/>
      <c r="M199" s="77"/>
      <c r="N199" s="77"/>
      <c r="O199" s="77"/>
      <c r="P199" s="78"/>
      <c r="Q199" s="58"/>
      <c r="R199" s="58"/>
      <c r="S199" s="58"/>
      <c r="T199" s="58"/>
      <c r="U199" s="58"/>
      <c r="V199" s="58"/>
      <c r="W199" s="58"/>
      <c r="X199" s="81"/>
      <c r="Y199" s="57"/>
      <c r="Z199" s="57"/>
      <c r="AA199" s="57"/>
      <c r="AB199" s="54"/>
      <c r="AC199" s="54"/>
      <c r="AD199" s="56"/>
      <c r="AE199" s="56"/>
      <c r="AF199" s="81"/>
      <c r="AG199" s="83"/>
      <c r="AH199" s="81"/>
      <c r="AI199" s="84"/>
      <c r="AJ199" s="85"/>
      <c r="AK199" s="86"/>
      <c r="AL199" s="42"/>
    </row>
    <row r="200" spans="1:38" ht="15" customHeight="1">
      <c r="A200" s="59"/>
      <c r="B200" s="54"/>
      <c r="C200" s="55"/>
      <c r="D200" s="56"/>
      <c r="E200" s="54"/>
      <c r="F200" s="77"/>
      <c r="G200" s="77"/>
      <c r="H200" s="73"/>
      <c r="I200" s="70"/>
      <c r="J200" s="56"/>
      <c r="K200" s="79"/>
      <c r="L200" s="77"/>
      <c r="M200" s="77"/>
      <c r="N200" s="77"/>
      <c r="O200" s="77"/>
      <c r="P200" s="78"/>
      <c r="Q200" s="58"/>
      <c r="R200" s="58"/>
      <c r="S200" s="58"/>
      <c r="T200" s="58"/>
      <c r="U200" s="58"/>
      <c r="V200" s="58"/>
      <c r="W200" s="58"/>
      <c r="X200" s="81"/>
      <c r="Y200" s="57"/>
      <c r="Z200" s="57"/>
      <c r="AA200" s="57"/>
      <c r="AB200" s="54"/>
      <c r="AC200" s="54"/>
      <c r="AD200" s="56"/>
      <c r="AE200" s="56"/>
      <c r="AF200" s="81"/>
      <c r="AG200" s="83"/>
      <c r="AH200" s="81"/>
      <c r="AI200" s="84"/>
      <c r="AJ200" s="85"/>
      <c r="AK200" s="86"/>
      <c r="AL200" s="42"/>
    </row>
    <row r="201" spans="1:38" ht="15" customHeight="1">
      <c r="A201" s="59"/>
      <c r="B201" s="54"/>
      <c r="C201" s="55"/>
      <c r="D201" s="56"/>
      <c r="E201" s="54"/>
      <c r="F201" s="77"/>
      <c r="G201" s="77"/>
      <c r="H201" s="73"/>
      <c r="I201" s="70"/>
      <c r="J201" s="56"/>
      <c r="K201" s="79"/>
      <c r="L201" s="77"/>
      <c r="M201" s="77"/>
      <c r="N201" s="77"/>
      <c r="O201" s="77"/>
      <c r="P201" s="78"/>
      <c r="Q201" s="58"/>
      <c r="R201" s="58"/>
      <c r="S201" s="58"/>
      <c r="T201" s="58"/>
      <c r="U201" s="58"/>
      <c r="V201" s="58"/>
      <c r="W201" s="58"/>
      <c r="X201" s="81"/>
      <c r="Y201" s="57"/>
      <c r="Z201" s="57"/>
      <c r="AA201" s="57"/>
      <c r="AB201" s="54"/>
      <c r="AC201" s="54"/>
      <c r="AD201" s="56"/>
      <c r="AE201" s="56"/>
      <c r="AF201" s="81"/>
      <c r="AG201" s="83"/>
      <c r="AH201" s="81"/>
      <c r="AI201" s="84"/>
      <c r="AJ201" s="85"/>
      <c r="AK201" s="86"/>
      <c r="AL201" s="42"/>
    </row>
    <row r="202" spans="1:38" ht="15" customHeight="1">
      <c r="A202" s="59"/>
      <c r="B202" s="54"/>
      <c r="C202" s="55"/>
      <c r="D202" s="56"/>
      <c r="E202" s="54"/>
      <c r="F202" s="77"/>
      <c r="G202" s="77"/>
      <c r="H202" s="73"/>
      <c r="I202" s="70"/>
      <c r="J202" s="56"/>
      <c r="K202" s="79"/>
      <c r="L202" s="77"/>
      <c r="M202" s="77"/>
      <c r="N202" s="77"/>
      <c r="O202" s="77"/>
      <c r="P202" s="78"/>
      <c r="Q202" s="58"/>
      <c r="R202" s="58"/>
      <c r="S202" s="58"/>
      <c r="T202" s="58"/>
      <c r="U202" s="58"/>
      <c r="V202" s="58"/>
      <c r="W202" s="58"/>
      <c r="X202" s="81"/>
      <c r="Y202" s="57"/>
      <c r="Z202" s="57"/>
      <c r="AA202" s="57"/>
      <c r="AB202" s="54"/>
      <c r="AC202" s="54"/>
      <c r="AD202" s="56"/>
      <c r="AE202" s="56"/>
      <c r="AF202" s="81"/>
      <c r="AG202" s="83"/>
      <c r="AH202" s="81"/>
      <c r="AI202" s="84"/>
      <c r="AJ202" s="85"/>
      <c r="AK202" s="86"/>
      <c r="AL202" s="42"/>
    </row>
    <row r="203" spans="1:38" ht="15" customHeight="1">
      <c r="A203" s="59"/>
      <c r="B203" s="54"/>
      <c r="C203" s="55"/>
      <c r="D203" s="56"/>
      <c r="E203" s="54"/>
      <c r="F203" s="77"/>
      <c r="G203" s="77"/>
      <c r="H203" s="73"/>
      <c r="I203" s="70"/>
      <c r="J203" s="56"/>
      <c r="K203" s="79"/>
      <c r="L203" s="77"/>
      <c r="M203" s="77"/>
      <c r="N203" s="77"/>
      <c r="O203" s="77"/>
      <c r="P203" s="78"/>
      <c r="Q203" s="58"/>
      <c r="R203" s="58"/>
      <c r="S203" s="58"/>
      <c r="T203" s="58"/>
      <c r="U203" s="58"/>
      <c r="V203" s="58"/>
      <c r="W203" s="58"/>
      <c r="X203" s="81"/>
      <c r="Y203" s="57"/>
      <c r="Z203" s="57"/>
      <c r="AA203" s="57"/>
      <c r="AB203" s="54"/>
      <c r="AC203" s="54"/>
      <c r="AD203" s="56"/>
      <c r="AE203" s="56"/>
      <c r="AF203" s="81"/>
      <c r="AG203" s="83"/>
      <c r="AH203" s="81"/>
      <c r="AI203" s="84"/>
      <c r="AJ203" s="85"/>
      <c r="AK203" s="86"/>
      <c r="AL203" s="42"/>
    </row>
    <row r="204" spans="1:38" ht="15" customHeight="1">
      <c r="A204" s="59"/>
      <c r="B204" s="54"/>
      <c r="C204" s="55"/>
      <c r="D204" s="56"/>
      <c r="E204" s="54"/>
      <c r="F204" s="77"/>
      <c r="G204" s="77"/>
      <c r="H204" s="73"/>
      <c r="I204" s="70"/>
      <c r="J204" s="56"/>
      <c r="K204" s="79"/>
      <c r="L204" s="77"/>
      <c r="M204" s="77"/>
      <c r="N204" s="77"/>
      <c r="O204" s="77"/>
      <c r="P204" s="78"/>
      <c r="Q204" s="58"/>
      <c r="R204" s="58"/>
      <c r="S204" s="58"/>
      <c r="T204" s="58"/>
      <c r="U204" s="58"/>
      <c r="V204" s="58"/>
      <c r="W204" s="58"/>
      <c r="X204" s="81"/>
      <c r="Y204" s="57"/>
      <c r="Z204" s="57"/>
      <c r="AA204" s="57"/>
      <c r="AB204" s="54"/>
      <c r="AC204" s="54"/>
      <c r="AD204" s="56"/>
      <c r="AE204" s="56"/>
      <c r="AF204" s="81"/>
      <c r="AG204" s="83"/>
      <c r="AH204" s="81"/>
      <c r="AI204" s="84"/>
      <c r="AJ204" s="85"/>
      <c r="AK204" s="86"/>
      <c r="AL204" s="42"/>
    </row>
    <row r="205" spans="1:38" ht="15" customHeight="1">
      <c r="A205" s="59"/>
      <c r="B205" s="54"/>
      <c r="C205" s="55"/>
      <c r="D205" s="56"/>
      <c r="E205" s="54"/>
      <c r="F205" s="77"/>
      <c r="G205" s="77"/>
      <c r="H205" s="73"/>
      <c r="I205" s="70"/>
      <c r="J205" s="56"/>
      <c r="K205" s="79"/>
      <c r="L205" s="77"/>
      <c r="M205" s="77"/>
      <c r="N205" s="77"/>
      <c r="O205" s="77"/>
      <c r="P205" s="78"/>
      <c r="Q205" s="58"/>
      <c r="R205" s="58"/>
      <c r="S205" s="58"/>
      <c r="T205" s="58"/>
      <c r="U205" s="58"/>
      <c r="V205" s="58"/>
      <c r="W205" s="58"/>
      <c r="X205" s="81"/>
      <c r="Y205" s="57"/>
      <c r="Z205" s="57"/>
      <c r="AA205" s="57"/>
      <c r="AB205" s="54"/>
      <c r="AC205" s="54"/>
      <c r="AD205" s="56"/>
      <c r="AE205" s="56"/>
      <c r="AF205" s="81"/>
      <c r="AG205" s="83"/>
      <c r="AH205" s="81"/>
      <c r="AI205" s="84"/>
      <c r="AJ205" s="85"/>
      <c r="AK205" s="86"/>
      <c r="AL205" s="42"/>
    </row>
    <row r="206" spans="1:38" ht="15" customHeight="1">
      <c r="A206" s="59"/>
      <c r="B206" s="54"/>
      <c r="C206" s="55"/>
      <c r="D206" s="56"/>
      <c r="E206" s="54"/>
      <c r="F206" s="77"/>
      <c r="G206" s="77"/>
      <c r="H206" s="73"/>
      <c r="I206" s="70"/>
      <c r="J206" s="56"/>
      <c r="K206" s="79"/>
      <c r="L206" s="77"/>
      <c r="M206" s="77"/>
      <c r="N206" s="77"/>
      <c r="O206" s="77"/>
      <c r="P206" s="78"/>
      <c r="Q206" s="58"/>
      <c r="R206" s="58"/>
      <c r="S206" s="58"/>
      <c r="T206" s="58"/>
      <c r="U206" s="58"/>
      <c r="V206" s="58"/>
      <c r="W206" s="58"/>
      <c r="X206" s="81"/>
      <c r="Y206" s="57"/>
      <c r="Z206" s="57"/>
      <c r="AA206" s="57"/>
      <c r="AB206" s="54"/>
      <c r="AC206" s="54"/>
      <c r="AD206" s="56"/>
      <c r="AE206" s="56"/>
      <c r="AF206" s="81"/>
      <c r="AG206" s="83"/>
      <c r="AH206" s="81"/>
      <c r="AI206" s="84"/>
      <c r="AJ206" s="85"/>
      <c r="AK206" s="86"/>
      <c r="AL206" s="42"/>
    </row>
    <row r="207" spans="1:38" ht="15" customHeight="1">
      <c r="A207" s="59"/>
      <c r="B207" s="54"/>
      <c r="C207" s="55"/>
      <c r="D207" s="56"/>
      <c r="E207" s="54"/>
      <c r="F207" s="77"/>
      <c r="G207" s="77"/>
      <c r="H207" s="73"/>
      <c r="I207" s="70"/>
      <c r="J207" s="56"/>
      <c r="K207" s="79"/>
      <c r="L207" s="77"/>
      <c r="M207" s="77"/>
      <c r="N207" s="77"/>
      <c r="O207" s="77"/>
      <c r="P207" s="78"/>
      <c r="Q207" s="58"/>
      <c r="R207" s="58"/>
      <c r="S207" s="58"/>
      <c r="T207" s="58"/>
      <c r="U207" s="58"/>
      <c r="V207" s="58"/>
      <c r="W207" s="58"/>
      <c r="X207" s="81"/>
      <c r="Y207" s="57"/>
      <c r="Z207" s="57"/>
      <c r="AA207" s="57"/>
      <c r="AB207" s="54"/>
      <c r="AC207" s="54"/>
      <c r="AD207" s="56"/>
      <c r="AE207" s="56"/>
      <c r="AF207" s="81"/>
      <c r="AG207" s="83"/>
      <c r="AH207" s="81"/>
      <c r="AI207" s="84"/>
      <c r="AJ207" s="85"/>
      <c r="AK207" s="86"/>
      <c r="AL207" s="42"/>
    </row>
    <row r="208" spans="1:38" ht="15" customHeight="1">
      <c r="A208" s="59"/>
      <c r="B208" s="54"/>
      <c r="C208" s="55"/>
      <c r="D208" s="56"/>
      <c r="E208" s="54"/>
      <c r="F208" s="77"/>
      <c r="G208" s="77"/>
      <c r="H208" s="73"/>
      <c r="I208" s="70"/>
      <c r="J208" s="56"/>
      <c r="K208" s="79"/>
      <c r="L208" s="77"/>
      <c r="M208" s="77"/>
      <c r="N208" s="77"/>
      <c r="O208" s="77"/>
      <c r="P208" s="78"/>
      <c r="Q208" s="58"/>
      <c r="R208" s="58"/>
      <c r="S208" s="58"/>
      <c r="T208" s="58"/>
      <c r="U208" s="58"/>
      <c r="V208" s="58"/>
      <c r="W208" s="58"/>
      <c r="X208" s="81"/>
      <c r="Y208" s="57"/>
      <c r="Z208" s="57"/>
      <c r="AA208" s="57"/>
      <c r="AB208" s="54"/>
      <c r="AC208" s="54"/>
      <c r="AD208" s="56"/>
      <c r="AE208" s="56"/>
      <c r="AF208" s="81"/>
      <c r="AG208" s="83"/>
      <c r="AH208" s="81"/>
      <c r="AI208" s="84"/>
      <c r="AJ208" s="85"/>
      <c r="AK208" s="86"/>
      <c r="AL208" s="42"/>
    </row>
    <row r="209" spans="1:38" ht="15" customHeight="1">
      <c r="A209" s="59"/>
      <c r="B209" s="54"/>
      <c r="C209" s="55"/>
      <c r="D209" s="56"/>
      <c r="E209" s="54"/>
      <c r="F209" s="77"/>
      <c r="G209" s="77"/>
      <c r="H209" s="73"/>
      <c r="I209" s="70"/>
      <c r="J209" s="56"/>
      <c r="K209" s="79"/>
      <c r="L209" s="77"/>
      <c r="M209" s="77"/>
      <c r="N209" s="77"/>
      <c r="O209" s="77"/>
      <c r="P209" s="78"/>
      <c r="Q209" s="58"/>
      <c r="R209" s="58"/>
      <c r="S209" s="58"/>
      <c r="T209" s="58"/>
      <c r="U209" s="58"/>
      <c r="V209" s="58"/>
      <c r="W209" s="58"/>
      <c r="X209" s="81"/>
      <c r="Y209" s="57"/>
      <c r="Z209" s="57"/>
      <c r="AA209" s="57"/>
      <c r="AB209" s="54"/>
      <c r="AC209" s="54"/>
      <c r="AD209" s="56"/>
      <c r="AE209" s="56"/>
      <c r="AF209" s="81"/>
      <c r="AG209" s="83"/>
      <c r="AH209" s="81"/>
      <c r="AI209" s="84"/>
      <c r="AJ209" s="85"/>
      <c r="AK209" s="86"/>
      <c r="AL209" s="42"/>
    </row>
    <row r="210" spans="1:38" ht="15" customHeight="1">
      <c r="A210" s="59"/>
      <c r="B210" s="54"/>
      <c r="C210" s="55"/>
      <c r="D210" s="56"/>
      <c r="E210" s="54"/>
      <c r="F210" s="77"/>
      <c r="G210" s="77"/>
      <c r="H210" s="73"/>
      <c r="I210" s="70"/>
      <c r="J210" s="56"/>
      <c r="K210" s="79"/>
      <c r="L210" s="77"/>
      <c r="M210" s="77"/>
      <c r="N210" s="77"/>
      <c r="O210" s="77"/>
      <c r="P210" s="78"/>
      <c r="Q210" s="58"/>
      <c r="R210" s="58"/>
      <c r="S210" s="58"/>
      <c r="T210" s="58"/>
      <c r="U210" s="58"/>
      <c r="V210" s="58"/>
      <c r="W210" s="58"/>
      <c r="X210" s="81"/>
      <c r="Y210" s="57"/>
      <c r="Z210" s="57"/>
      <c r="AA210" s="57"/>
      <c r="AB210" s="54"/>
      <c r="AC210" s="54"/>
      <c r="AD210" s="56"/>
      <c r="AE210" s="56"/>
      <c r="AF210" s="81"/>
      <c r="AG210" s="83"/>
      <c r="AH210" s="81"/>
      <c r="AI210" s="84"/>
      <c r="AJ210" s="85"/>
      <c r="AK210" s="86"/>
      <c r="AL210" s="42"/>
    </row>
    <row r="211" spans="1:38" ht="15" customHeight="1">
      <c r="A211" s="59"/>
      <c r="B211" s="54"/>
      <c r="C211" s="55"/>
      <c r="D211" s="56"/>
      <c r="E211" s="54"/>
      <c r="F211" s="77"/>
      <c r="G211" s="77"/>
      <c r="H211" s="73"/>
      <c r="I211" s="70"/>
      <c r="J211" s="56"/>
      <c r="K211" s="79"/>
      <c r="L211" s="77"/>
      <c r="M211" s="77"/>
      <c r="N211" s="77"/>
      <c r="O211" s="77"/>
      <c r="P211" s="78"/>
      <c r="Q211" s="58"/>
      <c r="R211" s="58"/>
      <c r="S211" s="58"/>
      <c r="T211" s="58"/>
      <c r="U211" s="58"/>
      <c r="V211" s="58"/>
      <c r="W211" s="58"/>
      <c r="X211" s="81"/>
      <c r="Y211" s="57"/>
      <c r="Z211" s="57"/>
      <c r="AA211" s="57"/>
      <c r="AB211" s="54"/>
      <c r="AC211" s="54"/>
      <c r="AD211" s="56"/>
      <c r="AE211" s="56"/>
      <c r="AF211" s="81"/>
      <c r="AG211" s="83"/>
      <c r="AH211" s="81"/>
      <c r="AI211" s="84"/>
      <c r="AJ211" s="85"/>
      <c r="AK211" s="86"/>
      <c r="AL211" s="42"/>
    </row>
    <row r="212" spans="1:38" ht="15" customHeight="1">
      <c r="A212" s="59"/>
      <c r="B212" s="54"/>
      <c r="C212" s="55"/>
      <c r="D212" s="56"/>
      <c r="E212" s="54"/>
      <c r="F212" s="77"/>
      <c r="G212" s="77"/>
      <c r="H212" s="73"/>
      <c r="I212" s="70"/>
      <c r="J212" s="56"/>
      <c r="K212" s="79"/>
      <c r="L212" s="77"/>
      <c r="M212" s="77"/>
      <c r="N212" s="77"/>
      <c r="O212" s="77"/>
      <c r="P212" s="78"/>
      <c r="Q212" s="58"/>
      <c r="R212" s="58"/>
      <c r="S212" s="58"/>
      <c r="T212" s="58"/>
      <c r="U212" s="58"/>
      <c r="V212" s="58"/>
      <c r="W212" s="58"/>
      <c r="X212" s="81"/>
      <c r="Y212" s="57"/>
      <c r="Z212" s="57"/>
      <c r="AA212" s="57"/>
      <c r="AB212" s="54"/>
      <c r="AC212" s="54"/>
      <c r="AD212" s="56"/>
      <c r="AE212" s="56"/>
      <c r="AF212" s="81"/>
      <c r="AG212" s="83"/>
      <c r="AH212" s="81"/>
      <c r="AI212" s="84"/>
      <c r="AJ212" s="85"/>
      <c r="AK212" s="86"/>
      <c r="AL212" s="42"/>
    </row>
    <row r="213" spans="1:38" ht="15" customHeight="1">
      <c r="A213" s="59"/>
      <c r="B213" s="54"/>
      <c r="C213" s="55"/>
      <c r="D213" s="56"/>
      <c r="E213" s="54"/>
      <c r="F213" s="77"/>
      <c r="G213" s="77"/>
      <c r="H213" s="73"/>
      <c r="I213" s="70"/>
      <c r="J213" s="56"/>
      <c r="K213" s="79"/>
      <c r="L213" s="77"/>
      <c r="M213" s="77"/>
      <c r="N213" s="77"/>
      <c r="O213" s="77"/>
      <c r="P213" s="78"/>
      <c r="Q213" s="58"/>
      <c r="R213" s="58"/>
      <c r="S213" s="58"/>
      <c r="T213" s="58"/>
      <c r="U213" s="58"/>
      <c r="V213" s="58"/>
      <c r="W213" s="58"/>
      <c r="X213" s="81"/>
      <c r="Y213" s="57"/>
      <c r="Z213" s="57"/>
      <c r="AA213" s="57"/>
      <c r="AB213" s="54"/>
      <c r="AC213" s="54"/>
      <c r="AD213" s="56"/>
      <c r="AE213" s="56"/>
      <c r="AF213" s="81"/>
      <c r="AG213" s="83"/>
      <c r="AH213" s="81"/>
      <c r="AI213" s="84"/>
      <c r="AJ213" s="85"/>
      <c r="AK213" s="86"/>
      <c r="AL213" s="42"/>
    </row>
    <row r="214" spans="1:38" ht="15" customHeight="1">
      <c r="A214" s="59"/>
      <c r="B214" s="54"/>
      <c r="C214" s="55"/>
      <c r="D214" s="56"/>
      <c r="E214" s="54"/>
      <c r="F214" s="77"/>
      <c r="G214" s="77"/>
      <c r="H214" s="73"/>
      <c r="I214" s="70"/>
      <c r="J214" s="56"/>
      <c r="K214" s="79"/>
      <c r="L214" s="77"/>
      <c r="M214" s="77"/>
      <c r="N214" s="77"/>
      <c r="O214" s="77"/>
      <c r="P214" s="78"/>
      <c r="Q214" s="58"/>
      <c r="R214" s="58"/>
      <c r="S214" s="58"/>
      <c r="T214" s="58"/>
      <c r="U214" s="58"/>
      <c r="V214" s="58"/>
      <c r="W214" s="58"/>
      <c r="X214" s="81"/>
      <c r="Y214" s="57"/>
      <c r="Z214" s="57"/>
      <c r="AA214" s="57"/>
      <c r="AB214" s="54"/>
      <c r="AC214" s="54"/>
      <c r="AD214" s="56"/>
      <c r="AE214" s="56"/>
      <c r="AF214" s="81"/>
      <c r="AG214" s="83"/>
      <c r="AH214" s="81"/>
      <c r="AI214" s="84"/>
      <c r="AJ214" s="85"/>
      <c r="AK214" s="86"/>
      <c r="AL214" s="42"/>
    </row>
    <row r="215" spans="1:38" ht="15" customHeight="1">
      <c r="A215" s="59"/>
      <c r="B215" s="54"/>
      <c r="C215" s="55"/>
      <c r="D215" s="56"/>
      <c r="E215" s="54"/>
      <c r="F215" s="77"/>
      <c r="G215" s="77"/>
      <c r="H215" s="73"/>
      <c r="I215" s="70"/>
      <c r="J215" s="56"/>
      <c r="K215" s="79"/>
      <c r="L215" s="77"/>
      <c r="M215" s="77"/>
      <c r="N215" s="77"/>
      <c r="O215" s="77"/>
      <c r="P215" s="78"/>
      <c r="Q215" s="58"/>
      <c r="R215" s="58"/>
      <c r="S215" s="58"/>
      <c r="T215" s="58"/>
      <c r="U215" s="58"/>
      <c r="V215" s="58"/>
      <c r="W215" s="58"/>
      <c r="X215" s="81"/>
      <c r="Y215" s="57"/>
      <c r="Z215" s="57"/>
      <c r="AA215" s="57"/>
      <c r="AB215" s="54"/>
      <c r="AC215" s="54"/>
      <c r="AD215" s="56"/>
      <c r="AE215" s="56"/>
      <c r="AF215" s="81"/>
      <c r="AG215" s="83"/>
      <c r="AH215" s="81"/>
      <c r="AI215" s="84"/>
      <c r="AJ215" s="85"/>
      <c r="AK215" s="86"/>
      <c r="AL215" s="42"/>
    </row>
    <row r="216" spans="1:38" ht="15" customHeight="1">
      <c r="A216" s="59"/>
      <c r="B216" s="54"/>
      <c r="C216" s="55"/>
      <c r="D216" s="56"/>
      <c r="E216" s="54"/>
      <c r="F216" s="77"/>
      <c r="G216" s="77"/>
      <c r="H216" s="73"/>
      <c r="I216" s="70"/>
      <c r="J216" s="56"/>
      <c r="K216" s="79"/>
      <c r="L216" s="77"/>
      <c r="M216" s="77"/>
      <c r="N216" s="77"/>
      <c r="O216" s="77"/>
      <c r="P216" s="78"/>
      <c r="Q216" s="58"/>
      <c r="R216" s="58"/>
      <c r="S216" s="58"/>
      <c r="T216" s="58"/>
      <c r="U216" s="58"/>
      <c r="V216" s="58"/>
      <c r="W216" s="58"/>
      <c r="X216" s="81"/>
      <c r="Y216" s="57"/>
      <c r="Z216" s="57"/>
      <c r="AA216" s="57"/>
      <c r="AB216" s="54"/>
      <c r="AC216" s="54"/>
      <c r="AD216" s="56"/>
      <c r="AE216" s="56"/>
      <c r="AF216" s="81"/>
      <c r="AG216" s="83"/>
      <c r="AH216" s="81"/>
      <c r="AI216" s="84"/>
      <c r="AJ216" s="85"/>
      <c r="AK216" s="86"/>
      <c r="AL216" s="42"/>
    </row>
    <row r="217" spans="1:38" ht="15" customHeight="1">
      <c r="A217" s="59"/>
      <c r="B217" s="54"/>
      <c r="C217" s="55"/>
      <c r="D217" s="56"/>
      <c r="E217" s="54"/>
      <c r="F217" s="77"/>
      <c r="G217" s="77"/>
      <c r="H217" s="73"/>
      <c r="I217" s="70"/>
      <c r="J217" s="56"/>
      <c r="K217" s="79"/>
      <c r="L217" s="77"/>
      <c r="M217" s="77"/>
      <c r="N217" s="77"/>
      <c r="O217" s="77"/>
      <c r="P217" s="78"/>
      <c r="Q217" s="58"/>
      <c r="R217" s="58"/>
      <c r="S217" s="58"/>
      <c r="T217" s="58"/>
      <c r="U217" s="58"/>
      <c r="V217" s="58"/>
      <c r="W217" s="58"/>
      <c r="X217" s="81"/>
      <c r="Y217" s="57"/>
      <c r="Z217" s="57"/>
      <c r="AA217" s="57"/>
      <c r="AB217" s="54"/>
      <c r="AC217" s="54"/>
      <c r="AD217" s="56"/>
      <c r="AE217" s="56"/>
      <c r="AF217" s="81"/>
      <c r="AG217" s="83"/>
      <c r="AH217" s="81"/>
      <c r="AI217" s="84"/>
      <c r="AJ217" s="85"/>
      <c r="AK217" s="86"/>
      <c r="AL217" s="42"/>
    </row>
    <row r="218" spans="1:38" ht="15" customHeight="1">
      <c r="A218" s="59"/>
      <c r="B218" s="54"/>
      <c r="C218" s="55"/>
      <c r="D218" s="56"/>
      <c r="E218" s="54"/>
      <c r="F218" s="77"/>
      <c r="G218" s="77"/>
      <c r="H218" s="73"/>
      <c r="I218" s="70"/>
      <c r="J218" s="56"/>
      <c r="K218" s="79"/>
      <c r="L218" s="77"/>
      <c r="M218" s="77"/>
      <c r="N218" s="77"/>
      <c r="O218" s="77"/>
      <c r="P218" s="78"/>
      <c r="Q218" s="58"/>
      <c r="R218" s="58"/>
      <c r="S218" s="58"/>
      <c r="T218" s="58"/>
      <c r="U218" s="58"/>
      <c r="V218" s="58"/>
      <c r="W218" s="58"/>
      <c r="X218" s="81"/>
      <c r="Y218" s="57"/>
      <c r="Z218" s="57"/>
      <c r="AA218" s="57"/>
      <c r="AB218" s="54"/>
      <c r="AC218" s="54"/>
      <c r="AD218" s="56"/>
      <c r="AE218" s="56"/>
      <c r="AF218" s="81"/>
      <c r="AG218" s="83"/>
      <c r="AH218" s="81"/>
      <c r="AI218" s="84"/>
      <c r="AJ218" s="85"/>
      <c r="AK218" s="86"/>
      <c r="AL218" s="42"/>
    </row>
    <row r="219" spans="1:38" ht="15" customHeight="1">
      <c r="A219" s="59"/>
      <c r="B219" s="54"/>
      <c r="C219" s="55"/>
      <c r="D219" s="56"/>
      <c r="E219" s="54"/>
      <c r="F219" s="77"/>
      <c r="G219" s="77"/>
      <c r="H219" s="73"/>
      <c r="I219" s="70"/>
      <c r="J219" s="56"/>
      <c r="K219" s="79"/>
      <c r="L219" s="77"/>
      <c r="M219" s="77"/>
      <c r="N219" s="77"/>
      <c r="O219" s="77"/>
      <c r="P219" s="78"/>
      <c r="Q219" s="58"/>
      <c r="R219" s="58"/>
      <c r="S219" s="58"/>
      <c r="T219" s="58"/>
      <c r="U219" s="58"/>
      <c r="V219" s="58"/>
      <c r="W219" s="58"/>
      <c r="X219" s="81"/>
      <c r="Y219" s="57"/>
      <c r="Z219" s="57"/>
      <c r="AA219" s="57"/>
      <c r="AB219" s="54"/>
      <c r="AC219" s="54"/>
      <c r="AD219" s="56"/>
      <c r="AE219" s="56"/>
      <c r="AF219" s="81"/>
      <c r="AG219" s="83"/>
      <c r="AH219" s="81"/>
      <c r="AI219" s="84"/>
      <c r="AJ219" s="85"/>
      <c r="AK219" s="86"/>
      <c r="AL219" s="42"/>
    </row>
    <row r="220" spans="1:38" ht="15" customHeight="1">
      <c r="A220" s="59"/>
      <c r="B220" s="54"/>
      <c r="C220" s="55"/>
      <c r="D220" s="56"/>
      <c r="E220" s="54"/>
      <c r="F220" s="77"/>
      <c r="G220" s="77"/>
      <c r="H220" s="73"/>
      <c r="I220" s="70"/>
      <c r="J220" s="56"/>
      <c r="K220" s="79"/>
      <c r="L220" s="77"/>
      <c r="M220" s="77"/>
      <c r="N220" s="77"/>
      <c r="O220" s="77"/>
      <c r="P220" s="78"/>
      <c r="Q220" s="58"/>
      <c r="R220" s="58"/>
      <c r="S220" s="58"/>
      <c r="T220" s="58"/>
      <c r="U220" s="58"/>
      <c r="V220" s="58"/>
      <c r="W220" s="58"/>
      <c r="X220" s="81"/>
      <c r="Y220" s="57"/>
      <c r="Z220" s="57"/>
      <c r="AA220" s="57"/>
      <c r="AB220" s="54"/>
      <c r="AC220" s="54"/>
      <c r="AD220" s="56"/>
      <c r="AE220" s="56"/>
      <c r="AF220" s="81"/>
      <c r="AG220" s="83"/>
      <c r="AH220" s="81"/>
      <c r="AI220" s="84"/>
      <c r="AJ220" s="85"/>
      <c r="AK220" s="86"/>
      <c r="AL220" s="42"/>
    </row>
    <row r="221" spans="1:38" ht="15" customHeight="1">
      <c r="A221" s="59"/>
      <c r="B221" s="54"/>
      <c r="C221" s="55"/>
      <c r="D221" s="56"/>
      <c r="E221" s="54"/>
      <c r="F221" s="77"/>
      <c r="G221" s="77"/>
      <c r="H221" s="73"/>
      <c r="I221" s="70"/>
      <c r="J221" s="56"/>
      <c r="K221" s="79"/>
      <c r="L221" s="77"/>
      <c r="M221" s="77"/>
      <c r="N221" s="77"/>
      <c r="O221" s="77"/>
      <c r="P221" s="78"/>
      <c r="Q221" s="58"/>
      <c r="R221" s="58"/>
      <c r="S221" s="58"/>
      <c r="T221" s="58"/>
      <c r="U221" s="58"/>
      <c r="V221" s="58"/>
      <c r="W221" s="58"/>
      <c r="X221" s="81"/>
      <c r="Y221" s="57"/>
      <c r="Z221" s="57"/>
      <c r="AA221" s="57"/>
      <c r="AB221" s="54"/>
      <c r="AC221" s="54"/>
      <c r="AD221" s="56"/>
      <c r="AE221" s="56"/>
      <c r="AF221" s="81"/>
      <c r="AG221" s="83"/>
      <c r="AH221" s="81"/>
      <c r="AI221" s="84"/>
      <c r="AJ221" s="85"/>
      <c r="AK221" s="86"/>
      <c r="AL221" s="42"/>
    </row>
    <row r="222" spans="1:38" ht="15" customHeight="1">
      <c r="A222" s="59"/>
      <c r="B222" s="54"/>
      <c r="C222" s="55"/>
      <c r="D222" s="56"/>
      <c r="E222" s="54"/>
      <c r="F222" s="77"/>
      <c r="G222" s="77"/>
      <c r="H222" s="73"/>
      <c r="I222" s="70"/>
      <c r="J222" s="56"/>
      <c r="K222" s="79"/>
      <c r="L222" s="77"/>
      <c r="M222" s="77"/>
      <c r="N222" s="77"/>
      <c r="O222" s="77"/>
      <c r="P222" s="78"/>
      <c r="Q222" s="58"/>
      <c r="R222" s="58"/>
      <c r="S222" s="58"/>
      <c r="T222" s="58"/>
      <c r="U222" s="58"/>
      <c r="V222" s="58"/>
      <c r="W222" s="58"/>
      <c r="X222" s="81"/>
      <c r="Y222" s="57"/>
      <c r="Z222" s="57"/>
      <c r="AA222" s="57"/>
      <c r="AB222" s="54"/>
      <c r="AC222" s="54"/>
      <c r="AD222" s="56"/>
      <c r="AE222" s="56"/>
      <c r="AF222" s="81"/>
      <c r="AG222" s="83"/>
      <c r="AH222" s="81"/>
      <c r="AI222" s="84"/>
      <c r="AJ222" s="85"/>
      <c r="AK222" s="86"/>
      <c r="AL222" s="42"/>
    </row>
    <row r="223" spans="1:38" ht="15" customHeight="1">
      <c r="A223" s="59"/>
      <c r="B223" s="54"/>
      <c r="C223" s="55"/>
      <c r="D223" s="56"/>
      <c r="E223" s="54"/>
      <c r="F223" s="77"/>
      <c r="G223" s="77"/>
      <c r="H223" s="73"/>
      <c r="I223" s="70"/>
      <c r="J223" s="56"/>
      <c r="K223" s="79"/>
      <c r="L223" s="77"/>
      <c r="M223" s="77"/>
      <c r="N223" s="77"/>
      <c r="O223" s="77"/>
      <c r="P223" s="78"/>
      <c r="Q223" s="58"/>
      <c r="R223" s="58"/>
      <c r="S223" s="58"/>
      <c r="T223" s="58"/>
      <c r="U223" s="58"/>
      <c r="V223" s="58"/>
      <c r="W223" s="58"/>
      <c r="X223" s="81"/>
      <c r="Y223" s="57"/>
      <c r="Z223" s="57"/>
      <c r="AA223" s="57"/>
      <c r="AB223" s="54"/>
      <c r="AC223" s="54"/>
      <c r="AD223" s="56"/>
      <c r="AE223" s="56"/>
      <c r="AF223" s="81"/>
      <c r="AG223" s="83"/>
      <c r="AH223" s="81"/>
      <c r="AI223" s="84"/>
      <c r="AJ223" s="85"/>
      <c r="AK223" s="86"/>
      <c r="AL223" s="42"/>
    </row>
    <row r="224" spans="1:38" ht="15" customHeight="1">
      <c r="A224" s="59"/>
      <c r="B224" s="54"/>
      <c r="C224" s="55"/>
      <c r="D224" s="56"/>
      <c r="E224" s="54"/>
      <c r="F224" s="77"/>
      <c r="G224" s="77"/>
      <c r="H224" s="73"/>
      <c r="I224" s="70"/>
      <c r="J224" s="56"/>
      <c r="K224" s="79"/>
      <c r="L224" s="77"/>
      <c r="M224" s="77"/>
      <c r="N224" s="77"/>
      <c r="O224" s="77"/>
      <c r="P224" s="78"/>
      <c r="Q224" s="58"/>
      <c r="R224" s="58"/>
      <c r="S224" s="58"/>
      <c r="T224" s="58"/>
      <c r="U224" s="58"/>
      <c r="V224" s="58"/>
      <c r="W224" s="58"/>
      <c r="X224" s="81"/>
      <c r="Y224" s="57"/>
      <c r="Z224" s="57"/>
      <c r="AA224" s="57"/>
      <c r="AB224" s="54"/>
      <c r="AC224" s="54"/>
      <c r="AD224" s="56"/>
      <c r="AE224" s="56"/>
      <c r="AF224" s="81"/>
      <c r="AG224" s="83"/>
      <c r="AH224" s="81"/>
      <c r="AI224" s="84"/>
      <c r="AJ224" s="85"/>
      <c r="AK224" s="86"/>
      <c r="AL224" s="42"/>
    </row>
    <row r="225" spans="1:38" ht="15" customHeight="1">
      <c r="A225" s="59"/>
      <c r="B225" s="54"/>
      <c r="C225" s="55"/>
      <c r="D225" s="56"/>
      <c r="E225" s="54"/>
      <c r="F225" s="77"/>
      <c r="G225" s="77"/>
      <c r="H225" s="73"/>
      <c r="I225" s="70"/>
      <c r="J225" s="56"/>
      <c r="K225" s="79"/>
      <c r="L225" s="77"/>
      <c r="M225" s="77"/>
      <c r="N225" s="77"/>
      <c r="O225" s="77"/>
      <c r="P225" s="78"/>
      <c r="Q225" s="58"/>
      <c r="R225" s="58"/>
      <c r="S225" s="58"/>
      <c r="T225" s="58"/>
      <c r="U225" s="58"/>
      <c r="V225" s="58"/>
      <c r="W225" s="58"/>
      <c r="X225" s="81"/>
      <c r="Y225" s="57"/>
      <c r="Z225" s="57"/>
      <c r="AA225" s="57"/>
      <c r="AB225" s="54"/>
      <c r="AC225" s="54"/>
      <c r="AD225" s="56"/>
      <c r="AE225" s="56"/>
      <c r="AF225" s="81"/>
      <c r="AG225" s="83"/>
      <c r="AH225" s="81"/>
      <c r="AI225" s="84"/>
      <c r="AJ225" s="85"/>
      <c r="AK225" s="86"/>
      <c r="AL225" s="42"/>
    </row>
    <row r="226" spans="1:38" ht="15" customHeight="1">
      <c r="A226" s="59"/>
      <c r="B226" s="54"/>
      <c r="C226" s="55"/>
      <c r="D226" s="56"/>
      <c r="E226" s="54"/>
      <c r="F226" s="77"/>
      <c r="G226" s="77"/>
      <c r="H226" s="73"/>
      <c r="I226" s="70"/>
      <c r="J226" s="56"/>
      <c r="K226" s="79"/>
      <c r="L226" s="77"/>
      <c r="M226" s="77"/>
      <c r="N226" s="77"/>
      <c r="O226" s="77"/>
      <c r="P226" s="78"/>
      <c r="Q226" s="58"/>
      <c r="R226" s="58"/>
      <c r="S226" s="58"/>
      <c r="T226" s="58"/>
      <c r="U226" s="58"/>
      <c r="V226" s="58"/>
      <c r="W226" s="58"/>
      <c r="X226" s="81"/>
      <c r="Y226" s="57"/>
      <c r="Z226" s="57"/>
      <c r="AA226" s="57"/>
      <c r="AB226" s="54"/>
      <c r="AC226" s="54"/>
      <c r="AD226" s="56"/>
      <c r="AE226" s="56"/>
      <c r="AF226" s="81"/>
      <c r="AG226" s="83"/>
      <c r="AH226" s="81"/>
      <c r="AI226" s="84"/>
      <c r="AJ226" s="85"/>
      <c r="AK226" s="86"/>
      <c r="AL226" s="42"/>
    </row>
    <row r="227" spans="1:38" ht="15" customHeight="1">
      <c r="A227" s="59"/>
      <c r="B227" s="54"/>
      <c r="C227" s="55"/>
      <c r="D227" s="56"/>
      <c r="E227" s="54"/>
      <c r="F227" s="77"/>
      <c r="G227" s="77"/>
      <c r="H227" s="73"/>
      <c r="I227" s="70"/>
      <c r="J227" s="56"/>
      <c r="K227" s="79"/>
      <c r="L227" s="77"/>
      <c r="M227" s="77"/>
      <c r="N227" s="77"/>
      <c r="O227" s="77"/>
      <c r="P227" s="78"/>
      <c r="Q227" s="58"/>
      <c r="R227" s="58"/>
      <c r="S227" s="58"/>
      <c r="T227" s="58"/>
      <c r="U227" s="58"/>
      <c r="V227" s="58"/>
      <c r="W227" s="58"/>
      <c r="X227" s="81"/>
      <c r="Y227" s="57"/>
      <c r="Z227" s="57"/>
      <c r="AA227" s="57"/>
      <c r="AB227" s="54"/>
      <c r="AC227" s="54"/>
      <c r="AD227" s="56"/>
      <c r="AE227" s="56"/>
      <c r="AF227" s="81"/>
      <c r="AG227" s="83"/>
      <c r="AH227" s="81"/>
      <c r="AI227" s="84"/>
      <c r="AJ227" s="85"/>
      <c r="AK227" s="86"/>
      <c r="AL227" s="42"/>
    </row>
    <row r="228" spans="1:38" ht="15" customHeight="1">
      <c r="A228" s="59"/>
      <c r="B228" s="54"/>
      <c r="C228" s="55"/>
      <c r="D228" s="56"/>
      <c r="E228" s="54"/>
      <c r="F228" s="77"/>
      <c r="G228" s="77"/>
      <c r="H228" s="73"/>
      <c r="I228" s="70"/>
      <c r="J228" s="56"/>
      <c r="K228" s="79"/>
      <c r="L228" s="77"/>
      <c r="M228" s="77"/>
      <c r="N228" s="77"/>
      <c r="O228" s="77"/>
      <c r="P228" s="78"/>
      <c r="Q228" s="58"/>
      <c r="R228" s="58"/>
      <c r="S228" s="58"/>
      <c r="T228" s="58"/>
      <c r="U228" s="58"/>
      <c r="V228" s="58"/>
      <c r="W228" s="58"/>
      <c r="X228" s="81"/>
      <c r="Y228" s="57"/>
      <c r="Z228" s="57"/>
      <c r="AA228" s="57"/>
      <c r="AB228" s="54"/>
      <c r="AC228" s="54"/>
      <c r="AD228" s="56"/>
      <c r="AE228" s="56"/>
      <c r="AF228" s="81"/>
      <c r="AG228" s="83"/>
      <c r="AH228" s="81"/>
      <c r="AI228" s="84"/>
      <c r="AJ228" s="85"/>
      <c r="AK228" s="86"/>
      <c r="AL228" s="42"/>
    </row>
    <row r="229" spans="1:38" ht="15" customHeight="1">
      <c r="A229" s="59"/>
      <c r="B229" s="54"/>
      <c r="C229" s="55"/>
      <c r="D229" s="56"/>
      <c r="E229" s="54"/>
      <c r="F229" s="77"/>
      <c r="G229" s="77"/>
      <c r="H229" s="73"/>
      <c r="I229" s="70"/>
      <c r="J229" s="56"/>
      <c r="K229" s="79"/>
      <c r="L229" s="77"/>
      <c r="M229" s="77"/>
      <c r="N229" s="77"/>
      <c r="O229" s="77"/>
      <c r="P229" s="78"/>
      <c r="Q229" s="58"/>
      <c r="R229" s="58"/>
      <c r="S229" s="58"/>
      <c r="T229" s="58"/>
      <c r="U229" s="58"/>
      <c r="V229" s="58"/>
      <c r="W229" s="58"/>
      <c r="X229" s="81"/>
      <c r="Y229" s="57"/>
      <c r="Z229" s="57"/>
      <c r="AA229" s="57"/>
      <c r="AB229" s="54"/>
      <c r="AC229" s="54"/>
      <c r="AD229" s="56"/>
      <c r="AE229" s="56"/>
      <c r="AF229" s="81"/>
      <c r="AG229" s="83"/>
      <c r="AH229" s="81"/>
      <c r="AI229" s="84"/>
      <c r="AJ229" s="85"/>
      <c r="AK229" s="86"/>
      <c r="AL229" s="42"/>
    </row>
    <row r="230" spans="1:38" ht="15" customHeight="1">
      <c r="A230" s="59"/>
      <c r="B230" s="54"/>
      <c r="C230" s="55"/>
      <c r="D230" s="56"/>
      <c r="E230" s="54"/>
      <c r="F230" s="77"/>
      <c r="G230" s="77"/>
      <c r="H230" s="73"/>
      <c r="I230" s="70"/>
      <c r="J230" s="56"/>
      <c r="K230" s="79"/>
      <c r="L230" s="77"/>
      <c r="M230" s="77"/>
      <c r="N230" s="77"/>
      <c r="O230" s="77"/>
      <c r="P230" s="78"/>
      <c r="Q230" s="58"/>
      <c r="R230" s="58"/>
      <c r="S230" s="58"/>
      <c r="T230" s="58"/>
      <c r="U230" s="58"/>
      <c r="V230" s="58"/>
      <c r="W230" s="58"/>
      <c r="X230" s="81"/>
      <c r="Y230" s="57"/>
      <c r="Z230" s="57"/>
      <c r="AA230" s="57"/>
      <c r="AB230" s="54"/>
      <c r="AC230" s="54"/>
      <c r="AD230" s="56"/>
      <c r="AE230" s="56"/>
      <c r="AF230" s="81"/>
      <c r="AG230" s="83"/>
      <c r="AH230" s="81"/>
      <c r="AI230" s="84"/>
      <c r="AJ230" s="85"/>
      <c r="AK230" s="86"/>
      <c r="AL230" s="42"/>
    </row>
    <row r="231" spans="1:38" ht="15" customHeight="1">
      <c r="A231" s="59"/>
      <c r="B231" s="54"/>
      <c r="C231" s="55"/>
      <c r="D231" s="56"/>
      <c r="E231" s="54"/>
      <c r="F231" s="77"/>
      <c r="G231" s="77"/>
      <c r="H231" s="73"/>
      <c r="I231" s="70"/>
      <c r="J231" s="56"/>
      <c r="K231" s="79"/>
      <c r="L231" s="77"/>
      <c r="M231" s="77"/>
      <c r="N231" s="77"/>
      <c r="O231" s="77"/>
      <c r="P231" s="78"/>
      <c r="Q231" s="58"/>
      <c r="R231" s="58"/>
      <c r="S231" s="58"/>
      <c r="T231" s="58"/>
      <c r="U231" s="58"/>
      <c r="V231" s="58"/>
      <c r="W231" s="58"/>
      <c r="X231" s="81"/>
      <c r="Y231" s="57"/>
      <c r="Z231" s="57"/>
      <c r="AA231" s="57"/>
      <c r="AB231" s="54"/>
      <c r="AC231" s="54"/>
      <c r="AD231" s="56"/>
      <c r="AE231" s="56"/>
      <c r="AF231" s="81"/>
      <c r="AG231" s="83"/>
      <c r="AH231" s="81"/>
      <c r="AI231" s="84"/>
      <c r="AJ231" s="85"/>
      <c r="AK231" s="86"/>
      <c r="AL231" s="42"/>
    </row>
    <row r="232" spans="1:38" ht="15" customHeight="1">
      <c r="A232" s="59"/>
      <c r="B232" s="54"/>
      <c r="C232" s="55"/>
      <c r="D232" s="56"/>
      <c r="E232" s="54"/>
      <c r="F232" s="77"/>
      <c r="G232" s="77"/>
      <c r="H232" s="73"/>
      <c r="I232" s="70"/>
      <c r="J232" s="56"/>
      <c r="K232" s="79"/>
      <c r="L232" s="77"/>
      <c r="M232" s="77"/>
      <c r="N232" s="77"/>
      <c r="O232" s="77"/>
      <c r="P232" s="78"/>
      <c r="Q232" s="58"/>
      <c r="R232" s="58"/>
      <c r="S232" s="58"/>
      <c r="T232" s="58"/>
      <c r="U232" s="58"/>
      <c r="V232" s="58"/>
      <c r="W232" s="58"/>
      <c r="X232" s="81"/>
      <c r="Y232" s="57"/>
      <c r="Z232" s="57"/>
      <c r="AA232" s="57"/>
      <c r="AB232" s="54"/>
      <c r="AC232" s="54"/>
      <c r="AD232" s="56"/>
      <c r="AE232" s="56"/>
      <c r="AF232" s="81"/>
      <c r="AG232" s="83"/>
      <c r="AH232" s="81"/>
      <c r="AI232" s="84"/>
      <c r="AJ232" s="85"/>
      <c r="AK232" s="86"/>
      <c r="AL232" s="42"/>
    </row>
    <row r="233" spans="1:38" ht="15" customHeight="1">
      <c r="A233" s="59"/>
      <c r="B233" s="54"/>
      <c r="C233" s="55"/>
      <c r="D233" s="56"/>
      <c r="E233" s="54"/>
      <c r="F233" s="77"/>
      <c r="G233" s="77"/>
      <c r="H233" s="73"/>
      <c r="I233" s="70"/>
      <c r="J233" s="56"/>
      <c r="K233" s="79"/>
      <c r="L233" s="77"/>
      <c r="M233" s="77"/>
      <c r="N233" s="77"/>
      <c r="O233" s="77"/>
      <c r="P233" s="78"/>
      <c r="Q233" s="58"/>
      <c r="R233" s="58"/>
      <c r="S233" s="58"/>
      <c r="T233" s="58"/>
      <c r="U233" s="58"/>
      <c r="V233" s="58"/>
      <c r="W233" s="58"/>
      <c r="X233" s="81"/>
      <c r="Y233" s="57"/>
      <c r="Z233" s="57"/>
      <c r="AA233" s="57"/>
      <c r="AB233" s="54"/>
      <c r="AC233" s="54"/>
      <c r="AD233" s="56"/>
      <c r="AE233" s="56"/>
      <c r="AF233" s="81"/>
      <c r="AG233" s="83"/>
      <c r="AH233" s="81"/>
      <c r="AI233" s="84"/>
      <c r="AJ233" s="85"/>
      <c r="AK233" s="86"/>
      <c r="AL233" s="42"/>
    </row>
    <row r="234" spans="1:38" ht="15" customHeight="1">
      <c r="A234" s="59"/>
      <c r="B234" s="54"/>
      <c r="C234" s="55"/>
      <c r="D234" s="56"/>
      <c r="E234" s="54"/>
      <c r="F234" s="77"/>
      <c r="G234" s="77"/>
      <c r="H234" s="73"/>
      <c r="I234" s="70"/>
      <c r="J234" s="56"/>
      <c r="K234" s="79"/>
      <c r="L234" s="77"/>
      <c r="M234" s="77"/>
      <c r="N234" s="77"/>
      <c r="O234" s="77"/>
      <c r="P234" s="78"/>
      <c r="Q234" s="58"/>
      <c r="R234" s="58"/>
      <c r="S234" s="58"/>
      <c r="T234" s="58"/>
      <c r="U234" s="58"/>
      <c r="V234" s="58"/>
      <c r="W234" s="58"/>
      <c r="X234" s="81"/>
      <c r="Y234" s="57"/>
      <c r="Z234" s="57"/>
      <c r="AA234" s="57"/>
      <c r="AB234" s="54"/>
      <c r="AC234" s="54"/>
      <c r="AD234" s="56"/>
      <c r="AE234" s="56"/>
      <c r="AF234" s="81"/>
      <c r="AG234" s="83"/>
      <c r="AH234" s="81"/>
      <c r="AI234" s="84"/>
      <c r="AJ234" s="85"/>
      <c r="AK234" s="86"/>
      <c r="AL234" s="42"/>
    </row>
    <row r="235" spans="1:38" ht="15" customHeight="1">
      <c r="A235" s="59"/>
      <c r="B235" s="54"/>
      <c r="C235" s="55"/>
      <c r="D235" s="56"/>
      <c r="E235" s="54"/>
      <c r="F235" s="77"/>
      <c r="G235" s="77"/>
      <c r="H235" s="73"/>
      <c r="I235" s="70"/>
      <c r="J235" s="56"/>
      <c r="K235" s="79"/>
      <c r="L235" s="77"/>
      <c r="M235" s="77"/>
      <c r="N235" s="77"/>
      <c r="O235" s="77"/>
      <c r="P235" s="78"/>
      <c r="Q235" s="58"/>
      <c r="R235" s="58"/>
      <c r="S235" s="58"/>
      <c r="T235" s="58"/>
      <c r="U235" s="58"/>
      <c r="V235" s="58"/>
      <c r="W235" s="58"/>
      <c r="X235" s="81"/>
      <c r="Y235" s="57"/>
      <c r="Z235" s="57"/>
      <c r="AA235" s="57"/>
      <c r="AB235" s="54"/>
      <c r="AC235" s="54"/>
      <c r="AD235" s="56"/>
      <c r="AE235" s="56"/>
      <c r="AF235" s="81"/>
      <c r="AG235" s="83"/>
      <c r="AH235" s="81"/>
      <c r="AI235" s="84"/>
      <c r="AJ235" s="85"/>
      <c r="AK235" s="86"/>
      <c r="AL235" s="42"/>
    </row>
    <row r="236" spans="1:38" ht="15" customHeight="1">
      <c r="A236" s="59"/>
      <c r="B236" s="54"/>
      <c r="C236" s="55"/>
      <c r="D236" s="56"/>
      <c r="E236" s="54"/>
      <c r="F236" s="77"/>
      <c r="G236" s="77"/>
      <c r="H236" s="73"/>
      <c r="I236" s="70"/>
      <c r="J236" s="56"/>
      <c r="K236" s="79"/>
      <c r="L236" s="77"/>
      <c r="M236" s="77"/>
      <c r="N236" s="77"/>
      <c r="O236" s="77"/>
      <c r="P236" s="78"/>
      <c r="Q236" s="58"/>
      <c r="R236" s="58"/>
      <c r="S236" s="58"/>
      <c r="T236" s="58"/>
      <c r="U236" s="58"/>
      <c r="V236" s="58"/>
      <c r="W236" s="58"/>
      <c r="X236" s="81"/>
      <c r="Y236" s="57"/>
      <c r="Z236" s="57"/>
      <c r="AA236" s="57"/>
      <c r="AB236" s="54"/>
      <c r="AC236" s="54"/>
      <c r="AD236" s="56"/>
      <c r="AE236" s="56"/>
      <c r="AF236" s="81"/>
      <c r="AG236" s="83"/>
      <c r="AH236" s="81"/>
      <c r="AI236" s="84"/>
      <c r="AJ236" s="85"/>
      <c r="AK236" s="86"/>
      <c r="AL236" s="42"/>
    </row>
    <row r="237" spans="1:38" ht="15" customHeight="1">
      <c r="A237" s="59"/>
      <c r="B237" s="54"/>
      <c r="C237" s="55"/>
      <c r="D237" s="56"/>
      <c r="E237" s="54"/>
      <c r="F237" s="77"/>
      <c r="G237" s="77"/>
      <c r="H237" s="73"/>
      <c r="I237" s="70"/>
      <c r="J237" s="56"/>
      <c r="K237" s="79"/>
      <c r="L237" s="77"/>
      <c r="M237" s="77"/>
      <c r="N237" s="77"/>
      <c r="O237" s="77"/>
      <c r="P237" s="78"/>
      <c r="Q237" s="58"/>
      <c r="R237" s="58"/>
      <c r="S237" s="58"/>
      <c r="T237" s="58"/>
      <c r="U237" s="58"/>
      <c r="V237" s="58"/>
      <c r="W237" s="58"/>
      <c r="X237" s="81"/>
      <c r="Y237" s="57"/>
      <c r="Z237" s="57"/>
      <c r="AA237" s="57"/>
      <c r="AB237" s="54"/>
      <c r="AC237" s="54"/>
      <c r="AD237" s="56"/>
      <c r="AE237" s="56"/>
      <c r="AF237" s="81"/>
      <c r="AG237" s="83"/>
      <c r="AH237" s="81"/>
      <c r="AI237" s="84"/>
      <c r="AJ237" s="85"/>
      <c r="AK237" s="86"/>
      <c r="AL237" s="42"/>
    </row>
    <row r="238" spans="1:38" ht="15" customHeight="1">
      <c r="A238" s="59"/>
      <c r="B238" s="54"/>
      <c r="C238" s="55"/>
      <c r="D238" s="56"/>
      <c r="E238" s="54"/>
      <c r="F238" s="77"/>
      <c r="G238" s="77"/>
      <c r="H238" s="73"/>
      <c r="I238" s="70"/>
      <c r="J238" s="56"/>
      <c r="K238" s="79"/>
      <c r="L238" s="77"/>
      <c r="M238" s="77"/>
      <c r="N238" s="77"/>
      <c r="O238" s="77"/>
      <c r="P238" s="78"/>
      <c r="Q238" s="58"/>
      <c r="R238" s="58"/>
      <c r="S238" s="58"/>
      <c r="T238" s="58"/>
      <c r="U238" s="58"/>
      <c r="V238" s="58"/>
      <c r="W238" s="58"/>
      <c r="X238" s="81"/>
      <c r="Y238" s="57"/>
      <c r="Z238" s="57"/>
      <c r="AA238" s="57"/>
      <c r="AB238" s="54"/>
      <c r="AC238" s="54"/>
      <c r="AD238" s="56"/>
      <c r="AE238" s="56"/>
      <c r="AF238" s="81"/>
      <c r="AG238" s="83"/>
      <c r="AH238" s="81"/>
      <c r="AI238" s="84"/>
      <c r="AJ238" s="85"/>
      <c r="AK238" s="86"/>
      <c r="AL238" s="42"/>
    </row>
    <row r="239" spans="1:38" ht="15" customHeight="1">
      <c r="A239" s="59"/>
      <c r="B239" s="54"/>
      <c r="C239" s="55"/>
      <c r="D239" s="56"/>
      <c r="E239" s="54"/>
      <c r="F239" s="77"/>
      <c r="G239" s="77"/>
      <c r="H239" s="73"/>
      <c r="I239" s="70"/>
      <c r="J239" s="56"/>
      <c r="K239" s="79"/>
      <c r="L239" s="77"/>
      <c r="M239" s="77"/>
      <c r="N239" s="77"/>
      <c r="O239" s="77"/>
      <c r="P239" s="78"/>
      <c r="Q239" s="58"/>
      <c r="R239" s="58"/>
      <c r="S239" s="58"/>
      <c r="T239" s="58"/>
      <c r="U239" s="58"/>
      <c r="V239" s="58"/>
      <c r="W239" s="58"/>
      <c r="X239" s="81"/>
      <c r="Y239" s="57"/>
      <c r="Z239" s="57"/>
      <c r="AA239" s="57"/>
      <c r="AB239" s="54"/>
      <c r="AC239" s="54"/>
      <c r="AD239" s="56"/>
      <c r="AE239" s="56"/>
      <c r="AF239" s="81"/>
      <c r="AG239" s="83"/>
      <c r="AH239" s="81"/>
      <c r="AI239" s="84"/>
      <c r="AJ239" s="85"/>
      <c r="AK239" s="86"/>
      <c r="AL239" s="42"/>
    </row>
    <row r="240" spans="1:38" ht="15" customHeight="1">
      <c r="A240" s="59"/>
      <c r="B240" s="54"/>
      <c r="C240" s="55"/>
      <c r="D240" s="56"/>
      <c r="E240" s="54"/>
      <c r="F240" s="77"/>
      <c r="G240" s="77"/>
      <c r="H240" s="73"/>
      <c r="I240" s="70"/>
      <c r="J240" s="56"/>
      <c r="K240" s="79"/>
      <c r="L240" s="77"/>
      <c r="M240" s="77"/>
      <c r="N240" s="77"/>
      <c r="O240" s="77"/>
      <c r="P240" s="78"/>
      <c r="Q240" s="58"/>
      <c r="R240" s="58"/>
      <c r="S240" s="58"/>
      <c r="T240" s="58"/>
      <c r="U240" s="58"/>
      <c r="V240" s="58"/>
      <c r="W240" s="58"/>
      <c r="X240" s="81"/>
      <c r="Y240" s="57"/>
      <c r="Z240" s="57"/>
      <c r="AA240" s="57"/>
      <c r="AB240" s="54"/>
      <c r="AC240" s="54"/>
      <c r="AD240" s="56"/>
      <c r="AE240" s="56"/>
      <c r="AF240" s="81"/>
      <c r="AG240" s="83"/>
      <c r="AH240" s="81"/>
      <c r="AI240" s="84"/>
      <c r="AJ240" s="85"/>
      <c r="AK240" s="86"/>
      <c r="AL240" s="42"/>
    </row>
    <row r="241" spans="1:38" ht="15" customHeight="1">
      <c r="A241" s="59"/>
      <c r="B241" s="54"/>
      <c r="C241" s="55"/>
      <c r="D241" s="56"/>
      <c r="E241" s="54"/>
      <c r="F241" s="77"/>
      <c r="G241" s="77"/>
      <c r="H241" s="73"/>
      <c r="I241" s="70"/>
      <c r="J241" s="56"/>
      <c r="K241" s="79"/>
      <c r="L241" s="77"/>
      <c r="M241" s="77"/>
      <c r="N241" s="77"/>
      <c r="O241" s="77"/>
      <c r="P241" s="78"/>
      <c r="Q241" s="58"/>
      <c r="R241" s="58"/>
      <c r="S241" s="58"/>
      <c r="T241" s="58"/>
      <c r="U241" s="58"/>
      <c r="V241" s="58"/>
      <c r="W241" s="58"/>
      <c r="X241" s="81"/>
      <c r="Y241" s="57"/>
      <c r="Z241" s="57"/>
      <c r="AA241" s="57"/>
      <c r="AB241" s="54"/>
      <c r="AC241" s="54"/>
      <c r="AD241" s="56"/>
      <c r="AE241" s="56"/>
      <c r="AF241" s="81"/>
      <c r="AG241" s="83"/>
      <c r="AH241" s="81"/>
      <c r="AI241" s="84"/>
      <c r="AJ241" s="85"/>
      <c r="AK241" s="86"/>
      <c r="AL241" s="42"/>
    </row>
    <row r="242" spans="1:38" ht="15" customHeight="1">
      <c r="A242" s="59"/>
      <c r="B242" s="54"/>
      <c r="C242" s="55"/>
      <c r="D242" s="56"/>
      <c r="E242" s="54"/>
      <c r="F242" s="77"/>
      <c r="G242" s="77"/>
      <c r="H242" s="73"/>
      <c r="I242" s="70"/>
      <c r="J242" s="56"/>
      <c r="K242" s="79"/>
      <c r="L242" s="77"/>
      <c r="M242" s="77"/>
      <c r="N242" s="77"/>
      <c r="O242" s="77"/>
      <c r="P242" s="78"/>
      <c r="Q242" s="58"/>
      <c r="R242" s="58"/>
      <c r="S242" s="58"/>
      <c r="T242" s="58"/>
      <c r="U242" s="58"/>
      <c r="V242" s="58"/>
      <c r="W242" s="58"/>
      <c r="X242" s="81"/>
      <c r="Y242" s="57"/>
      <c r="Z242" s="57"/>
      <c r="AA242" s="57"/>
      <c r="AB242" s="54"/>
      <c r="AC242" s="54"/>
      <c r="AD242" s="56"/>
      <c r="AE242" s="56"/>
      <c r="AF242" s="81"/>
      <c r="AG242" s="83"/>
      <c r="AH242" s="81"/>
      <c r="AI242" s="84"/>
      <c r="AJ242" s="85"/>
      <c r="AK242" s="86"/>
      <c r="AL242" s="42"/>
    </row>
    <row r="243" spans="1:38" ht="15" customHeight="1">
      <c r="A243" s="59"/>
      <c r="B243" s="54"/>
      <c r="C243" s="55"/>
      <c r="D243" s="56"/>
      <c r="E243" s="54"/>
      <c r="F243" s="77"/>
      <c r="G243" s="77"/>
      <c r="H243" s="73"/>
      <c r="I243" s="70"/>
      <c r="J243" s="56"/>
      <c r="K243" s="79"/>
      <c r="L243" s="77"/>
      <c r="M243" s="77"/>
      <c r="N243" s="77"/>
      <c r="O243" s="77"/>
      <c r="P243" s="78"/>
      <c r="Q243" s="58"/>
      <c r="R243" s="58"/>
      <c r="S243" s="58"/>
      <c r="T243" s="58"/>
      <c r="U243" s="58"/>
      <c r="V243" s="58"/>
      <c r="W243" s="58"/>
      <c r="X243" s="81"/>
      <c r="Y243" s="57"/>
      <c r="Z243" s="57"/>
      <c r="AA243" s="57"/>
      <c r="AB243" s="54"/>
      <c r="AC243" s="54"/>
      <c r="AD243" s="56"/>
      <c r="AE243" s="56"/>
      <c r="AF243" s="81"/>
      <c r="AG243" s="83"/>
      <c r="AH243" s="81"/>
      <c r="AI243" s="84"/>
      <c r="AJ243" s="85"/>
      <c r="AK243" s="86"/>
      <c r="AL243" s="42"/>
    </row>
    <row r="244" spans="1:38" ht="15" customHeight="1">
      <c r="A244" s="59"/>
      <c r="B244" s="54"/>
      <c r="C244" s="55"/>
      <c r="D244" s="56"/>
      <c r="E244" s="54"/>
      <c r="F244" s="77"/>
      <c r="G244" s="77"/>
      <c r="H244" s="73"/>
      <c r="I244" s="70"/>
      <c r="J244" s="56"/>
      <c r="K244" s="79"/>
      <c r="L244" s="77"/>
      <c r="M244" s="77"/>
      <c r="N244" s="77"/>
      <c r="O244" s="77"/>
      <c r="P244" s="78"/>
      <c r="Q244" s="58"/>
      <c r="R244" s="58"/>
      <c r="S244" s="58"/>
      <c r="T244" s="58"/>
      <c r="U244" s="58"/>
      <c r="V244" s="58"/>
      <c r="W244" s="58"/>
      <c r="X244" s="81"/>
      <c r="Y244" s="57"/>
      <c r="Z244" s="57"/>
      <c r="AA244" s="57"/>
      <c r="AB244" s="54"/>
      <c r="AC244" s="54"/>
      <c r="AD244" s="56"/>
      <c r="AE244" s="56"/>
      <c r="AF244" s="81"/>
      <c r="AG244" s="83"/>
      <c r="AH244" s="81"/>
      <c r="AI244" s="84"/>
      <c r="AJ244" s="85"/>
      <c r="AK244" s="86"/>
      <c r="AL244" s="42"/>
    </row>
    <row r="245" spans="1:38" ht="15" customHeight="1">
      <c r="A245" s="59"/>
      <c r="B245" s="54"/>
      <c r="C245" s="55"/>
      <c r="D245" s="56"/>
      <c r="E245" s="54"/>
      <c r="F245" s="77"/>
      <c r="G245" s="77"/>
      <c r="H245" s="73"/>
      <c r="I245" s="70"/>
      <c r="J245" s="56"/>
      <c r="K245" s="79"/>
      <c r="L245" s="77"/>
      <c r="M245" s="77"/>
      <c r="N245" s="77"/>
      <c r="O245" s="77"/>
      <c r="P245" s="78"/>
      <c r="Q245" s="58"/>
      <c r="R245" s="58"/>
      <c r="S245" s="58"/>
      <c r="T245" s="58"/>
      <c r="U245" s="58"/>
      <c r="V245" s="58"/>
      <c r="W245" s="58"/>
      <c r="X245" s="81"/>
      <c r="Y245" s="57"/>
      <c r="Z245" s="57"/>
      <c r="AA245" s="57"/>
      <c r="AB245" s="54"/>
      <c r="AC245" s="54"/>
      <c r="AD245" s="56"/>
      <c r="AE245" s="56"/>
      <c r="AF245" s="81"/>
      <c r="AG245" s="83"/>
      <c r="AH245" s="81"/>
      <c r="AI245" s="84"/>
      <c r="AJ245" s="85"/>
      <c r="AK245" s="86"/>
      <c r="AL245" s="42"/>
    </row>
    <row r="246" spans="1:38" ht="15" customHeight="1">
      <c r="A246" s="59"/>
      <c r="B246" s="54"/>
      <c r="C246" s="55"/>
      <c r="D246" s="56"/>
      <c r="E246" s="54"/>
      <c r="F246" s="77"/>
      <c r="G246" s="77"/>
      <c r="H246" s="73"/>
      <c r="I246" s="70"/>
      <c r="J246" s="56"/>
      <c r="K246" s="79"/>
      <c r="L246" s="77"/>
      <c r="M246" s="77"/>
      <c r="N246" s="77"/>
      <c r="O246" s="77"/>
      <c r="P246" s="78"/>
      <c r="Q246" s="58"/>
      <c r="R246" s="58"/>
      <c r="S246" s="58"/>
      <c r="T246" s="58"/>
      <c r="U246" s="58"/>
      <c r="V246" s="58"/>
      <c r="W246" s="58"/>
      <c r="X246" s="81"/>
      <c r="Y246" s="57"/>
      <c r="Z246" s="57"/>
      <c r="AA246" s="57"/>
      <c r="AB246" s="54"/>
      <c r="AC246" s="54"/>
      <c r="AD246" s="56"/>
      <c r="AE246" s="56"/>
      <c r="AF246" s="81"/>
      <c r="AG246" s="83"/>
      <c r="AH246" s="81"/>
      <c r="AI246" s="84"/>
      <c r="AJ246" s="85"/>
      <c r="AK246" s="86"/>
      <c r="AL246" s="42"/>
    </row>
    <row r="247" spans="1:38" ht="15" customHeight="1">
      <c r="A247" s="59"/>
      <c r="B247" s="54"/>
      <c r="C247" s="55"/>
      <c r="D247" s="56"/>
      <c r="E247" s="54"/>
      <c r="F247" s="77"/>
      <c r="G247" s="77"/>
      <c r="H247" s="73"/>
      <c r="I247" s="70"/>
      <c r="J247" s="56"/>
      <c r="K247" s="79"/>
      <c r="L247" s="77"/>
      <c r="M247" s="77"/>
      <c r="N247" s="77"/>
      <c r="O247" s="77"/>
      <c r="P247" s="78"/>
      <c r="Q247" s="58"/>
      <c r="R247" s="58"/>
      <c r="S247" s="58"/>
      <c r="T247" s="58"/>
      <c r="U247" s="58"/>
      <c r="V247" s="58"/>
      <c r="W247" s="58"/>
      <c r="X247" s="81"/>
      <c r="Y247" s="57"/>
      <c r="Z247" s="57"/>
      <c r="AA247" s="57"/>
      <c r="AB247" s="54"/>
      <c r="AC247" s="54"/>
      <c r="AD247" s="56"/>
      <c r="AE247" s="56"/>
      <c r="AF247" s="81"/>
      <c r="AG247" s="83"/>
      <c r="AH247" s="81"/>
      <c r="AI247" s="84"/>
      <c r="AJ247" s="85"/>
      <c r="AK247" s="86"/>
      <c r="AL247" s="42"/>
    </row>
    <row r="248" spans="1:38" ht="15" customHeight="1">
      <c r="A248" s="59"/>
      <c r="B248" s="54"/>
      <c r="C248" s="55"/>
      <c r="D248" s="56"/>
      <c r="E248" s="54"/>
      <c r="F248" s="77"/>
      <c r="G248" s="77"/>
      <c r="H248" s="73"/>
      <c r="I248" s="70"/>
      <c r="J248" s="56"/>
      <c r="K248" s="79"/>
      <c r="L248" s="77"/>
      <c r="M248" s="77"/>
      <c r="N248" s="77"/>
      <c r="O248" s="77"/>
      <c r="P248" s="78"/>
      <c r="Q248" s="58"/>
      <c r="R248" s="58"/>
      <c r="S248" s="58"/>
      <c r="T248" s="58"/>
      <c r="U248" s="58"/>
      <c r="V248" s="58"/>
      <c r="W248" s="58"/>
      <c r="X248" s="81"/>
      <c r="Y248" s="57"/>
      <c r="Z248" s="57"/>
      <c r="AA248" s="57"/>
      <c r="AB248" s="54"/>
      <c r="AC248" s="54"/>
      <c r="AD248" s="56"/>
      <c r="AE248" s="56"/>
      <c r="AF248" s="81"/>
      <c r="AG248" s="83"/>
      <c r="AH248" s="81"/>
      <c r="AI248" s="84"/>
      <c r="AJ248" s="85"/>
      <c r="AK248" s="86"/>
      <c r="AL248" s="42"/>
    </row>
    <row r="249" spans="1:38" ht="15" customHeight="1">
      <c r="A249" s="59"/>
      <c r="B249" s="54"/>
      <c r="C249" s="55"/>
      <c r="D249" s="56"/>
      <c r="E249" s="54"/>
      <c r="F249" s="77"/>
      <c r="G249" s="77"/>
      <c r="H249" s="73"/>
      <c r="I249" s="70"/>
      <c r="J249" s="56"/>
      <c r="K249" s="79"/>
      <c r="L249" s="77"/>
      <c r="M249" s="77"/>
      <c r="N249" s="77"/>
      <c r="O249" s="77"/>
      <c r="P249" s="78"/>
      <c r="Q249" s="58"/>
      <c r="R249" s="58"/>
      <c r="S249" s="58"/>
      <c r="T249" s="58"/>
      <c r="U249" s="58"/>
      <c r="V249" s="58"/>
      <c r="W249" s="58"/>
      <c r="X249" s="81"/>
      <c r="Y249" s="57"/>
      <c r="Z249" s="57"/>
      <c r="AA249" s="57"/>
      <c r="AB249" s="54"/>
      <c r="AC249" s="54"/>
      <c r="AD249" s="56"/>
      <c r="AE249" s="56"/>
      <c r="AF249" s="81"/>
      <c r="AG249" s="83"/>
      <c r="AH249" s="81"/>
      <c r="AI249" s="84"/>
      <c r="AJ249" s="85"/>
      <c r="AK249" s="86"/>
      <c r="AL249" s="42"/>
    </row>
    <row r="250" spans="1:38" ht="15" customHeight="1">
      <c r="A250" s="59"/>
      <c r="B250" s="54"/>
      <c r="C250" s="55"/>
      <c r="D250" s="56"/>
      <c r="E250" s="54"/>
      <c r="F250" s="77"/>
      <c r="G250" s="77"/>
      <c r="H250" s="73"/>
      <c r="I250" s="70"/>
      <c r="J250" s="56"/>
      <c r="K250" s="79"/>
      <c r="L250" s="77"/>
      <c r="M250" s="77"/>
      <c r="N250" s="77"/>
      <c r="O250" s="77"/>
      <c r="P250" s="78"/>
      <c r="Q250" s="58"/>
      <c r="R250" s="58"/>
      <c r="S250" s="58"/>
      <c r="T250" s="58"/>
      <c r="U250" s="58"/>
      <c r="V250" s="58"/>
      <c r="W250" s="58"/>
      <c r="X250" s="81"/>
      <c r="Y250" s="57"/>
      <c r="Z250" s="57"/>
      <c r="AA250" s="57"/>
      <c r="AB250" s="54"/>
      <c r="AC250" s="54"/>
      <c r="AD250" s="56"/>
      <c r="AE250" s="56"/>
      <c r="AF250" s="81"/>
      <c r="AG250" s="83"/>
      <c r="AH250" s="81"/>
      <c r="AI250" s="84"/>
      <c r="AJ250" s="85"/>
      <c r="AK250" s="86"/>
      <c r="AL250" s="42"/>
    </row>
  </sheetData>
  <sortState xmlns:xlrd2="http://schemas.microsoft.com/office/spreadsheetml/2017/richdata2" ref="A2:AM90">
    <sortCondition ref="Q2"/>
  </sortState>
  <conditionalFormatting sqref="B1:B1048576">
    <cfRule type="containsErrors" dxfId="20" priority="106">
      <formula>ISERROR(B1)</formula>
    </cfRule>
  </conditionalFormatting>
  <conditionalFormatting sqref="K2:K250">
    <cfRule type="expression" dxfId="19" priority="12">
      <formula>AND(AG2="COLABORACION CON IMPUTADO/S",K2&lt;&gt;"COLABORACION")</formula>
    </cfRule>
    <cfRule type="expression" dxfId="18" priority="16">
      <formula>AND(AG2="COLABORACION CON INTERVENCION DIRECTA CON IMPUTADO/S",K2&lt;&gt;"COLABORACION")</formula>
    </cfRule>
  </conditionalFormatting>
  <conditionalFormatting sqref="L2:L250">
    <cfRule type="expression" dxfId="17" priority="10">
      <formula>AND(K2="TOTEM",ISBLANK(L2))</formula>
    </cfRule>
    <cfRule type="expression" dxfId="16" priority="24">
      <formula>AND(K2="COLABORACION",ISBLANK(L2))</formula>
    </cfRule>
  </conditionalFormatting>
  <conditionalFormatting sqref="M2:M250">
    <cfRule type="expression" dxfId="15" priority="546">
      <formula>AN2="FALTO"</formula>
    </cfRule>
  </conditionalFormatting>
  <conditionalFormatting sqref="O1:O250">
    <cfRule type="containsText" dxfId="14" priority="94" operator="containsText" text="LINEA">
      <formula>NOT(ISERROR(SEARCH("LINEA",O1)))</formula>
    </cfRule>
  </conditionalFormatting>
  <conditionalFormatting sqref="P1:P250">
    <cfRule type="cellIs" dxfId="13" priority="93" operator="equal">
      <formula>"SUBTE"</formula>
    </cfRule>
  </conditionalFormatting>
  <conditionalFormatting sqref="AG2:AG250">
    <cfRule type="expression" dxfId="12" priority="44">
      <formula>ISBLANK(AG2)</formula>
    </cfRule>
  </conditionalFormatting>
  <conditionalFormatting sqref="C1:D1048576">
    <cfRule type="containsErrors" dxfId="11" priority="107">
      <formula>ISERROR(C1)</formula>
    </cfRule>
    <cfRule type="containsText" dxfId="10" priority="108" operator="containsText" text="NO CORRESPONDE">
      <formula>NOT(ISERROR(SEARCH("NO CORRESPONDE",C1)))</formula>
    </cfRule>
  </conditionalFormatting>
  <conditionalFormatting sqref="N2:N250">
    <cfRule type="expression" dxfId="9" priority="3">
      <formula>AND(K2="ROBO/HURTO",ISBLANK(N2))</formula>
    </cfRule>
  </conditionalFormatting>
  <conditionalFormatting sqref="K42 K39:K40 K27 K24 K20:K21 K18 K15 K11:K12 K4 K30:K33 K6:K9">
    <cfRule type="expression" dxfId="8" priority="1">
      <formula>AND(#REF!="TOTEM",ISBLANK(K4))</formula>
    </cfRule>
    <cfRule type="expression" dxfId="7" priority="2">
      <formula>AND(#REF!="COLABORACION",ISBLANK(K4))</formula>
    </cfRule>
  </conditionalFormatting>
  <conditionalFormatting sqref="I2:I250">
    <cfRule type="duplicateValues" dxfId="6" priority="961"/>
  </conditionalFormatting>
  <conditionalFormatting sqref="Y2:Z250">
    <cfRule type="colorScale" priority="963">
      <colorScale>
        <cfvo type="num" val="1"/>
        <cfvo type="percentile" val="50"/>
        <cfvo type="max"/>
        <color theme="9" tint="0.79970702230903046"/>
        <color rgb="FFFFEB84"/>
        <color theme="9" tint="-0.249977111117893"/>
      </colorScale>
    </cfRule>
  </conditionalFormatting>
  <dataValidations count="2">
    <dataValidation type="time" allowBlank="1" showInputMessage="1" showErrorMessage="1" sqref="W1:W1048576" xr:uid="{00000000-0002-0000-0000-000000000000}">
      <formula1>0</formula1>
      <formula2>0.999305555555556</formula2>
    </dataValidation>
    <dataValidation type="whole" allowBlank="1" showInputMessage="1" showErrorMessage="1" sqref="Y1:AA1048576" xr:uid="{00000000-0002-0000-0000-000001000000}">
      <formula1>0</formula1>
      <formula2>10</formula2>
    </dataValidation>
  </dataValidations>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574" id="{B45869B0-7296-44A9-8755-36820311192B}">
            <xm:f>ISERROR(MATCH(F2,VALIDACIONES!$I$2:$I$33,0))</xm:f>
            <x14:dxf>
              <font>
                <strike val="0"/>
              </font>
              <fill>
                <patternFill patternType="darkTrellis">
                  <fgColor theme="0"/>
                  <bgColor rgb="FFC00000"/>
                </patternFill>
              </fill>
            </x14:dxf>
          </x14:cfRule>
          <xm:sqref>F2:F250</xm:sqref>
        </x14:conditionalFormatting>
        <x14:conditionalFormatting xmlns:xm="http://schemas.microsoft.com/office/excel/2006/main">
          <x14:cfRule type="expression" priority="49" id="{29B5532A-C82D-44E2-AB12-43E18068CA6A}">
            <xm:f>ISERROR(MATCH(G2,VALIDACIONES!$N$1:$N$365,0))</xm:f>
            <x14:dxf>
              <font>
                <strike val="0"/>
              </font>
              <fill>
                <patternFill patternType="darkTrellis">
                  <fgColor theme="0"/>
                  <bgColor rgb="FFC00000"/>
                </patternFill>
              </fill>
            </x14:dxf>
          </x14:cfRule>
          <xm:sqref>G2:G250</xm:sqref>
        </x14:conditionalFormatting>
        <x14:conditionalFormatting xmlns:xm="http://schemas.microsoft.com/office/excel/2006/main">
          <x14:cfRule type="containsText" priority="75" operator="containsText" id="{70F9DDFF-E12C-4CA6-94AA-62F91D248D0D}">
            <xm:f>NOT(ISERROR(SEARCH(VALIDACIONES!$E$5,AG1)))</xm:f>
            <xm:f>VALIDACIONES!$E$5</xm:f>
            <x14:dxf>
              <fill>
                <patternFill patternType="solid">
                  <bgColor theme="7" tint="0.59996337778862885"/>
                </patternFill>
              </fill>
            </x14:dxf>
          </x14:cfRule>
          <x14:cfRule type="containsText" priority="76" operator="containsText" id="{5CAB1FF6-3BDC-48D5-A42A-38EFC0FDD5A8}">
            <xm:f>NOT(ISERROR(SEARCH(VALIDACIONES!$E$3,AG1)))</xm:f>
            <xm:f>VALIDACIONES!$E$3</xm:f>
            <x14:dxf>
              <fill>
                <patternFill patternType="solid">
                  <bgColor theme="9" tint="0.59996337778862885"/>
                </patternFill>
              </fill>
            </x14:dxf>
          </x14:cfRule>
          <xm:sqref>AG1:AG1048576</xm:sqref>
        </x14:conditionalFormatting>
        <x14:conditionalFormatting xmlns:xm="http://schemas.microsoft.com/office/excel/2006/main">
          <x14:cfRule type="expression" priority="751" id="{54651536-FB16-4B84-AA4F-EBA862DCCA44}">
            <xm:f>ISERROR(MATCH(K2,VALIDACIONES!$S$2:$S$49,0))</xm:f>
            <x14:dxf>
              <font>
                <strike/>
              </font>
              <fill>
                <patternFill patternType="darkTrellis">
                  <fgColor theme="0"/>
                  <bgColor rgb="FFC00000"/>
                </patternFill>
              </fill>
            </x14:dxf>
          </x14:cfRule>
          <xm:sqref>K2:K250</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4000000}">
          <x14:formula1>
            <xm:f>IF(OR(#REF!="COLABORACION",#REF!="TOTEM"),VALIDACIONES!$G$2:$G$37,VALIDACIONES!$E$10)</xm:f>
          </x14:formula1>
          <xm:sqref>K4 K42 K11:K12 K39 K18 K20:K21 K27 K7:K9</xm:sqref>
        </x14:dataValidation>
        <x14:dataValidation type="list" allowBlank="1" showInputMessage="1" showErrorMessage="1" xr:uid="{00000000-0002-0000-0000-000003000000}">
          <x14:formula1>
            <xm:f>IF(OR(K2="COLABORACION",K2="TOTEM"),VALIDACIONES!$G$2:$G$37,VALIDACIONES!$E$10)</xm:f>
          </x14:formula1>
          <xm:sqref>L2:L250</xm:sqref>
        </x14:dataValidation>
        <x14:dataValidation type="list" allowBlank="1" showInputMessage="1" showErrorMessage="1" xr:uid="{00000000-0002-0000-0000-000005000000}">
          <x14:formula1>
            <xm:f>VALIDACIONES!$I$2:$I$76</xm:f>
          </x14:formula1>
          <xm:sqref>F2:F250</xm:sqref>
        </x14:dataValidation>
        <x14:dataValidation type="list" allowBlank="1" showInputMessage="1" showErrorMessage="1" xr:uid="{00000000-0002-0000-0000-000006000000}">
          <x14:formula1>
            <xm:f>IF(AND(Y2&gt;=1,Z2&gt;=1),VALIDACIONES!$C$2:$C$43,IF(Y2&gt;=1,VALIDACIONES!$C$30:$C$43,IF(Z2&gt;=1,VALIDACIONES!$C$2:$C$29,VALIDACIONES!$E$8)))</xm:f>
          </x14:formula1>
          <xm:sqref>M2:M250</xm:sqref>
        </x14:dataValidation>
        <x14:dataValidation type="list" allowBlank="1" showInputMessage="1" showErrorMessage="1" xr:uid="{00000000-0002-0000-0000-000007000000}">
          <x14:formula1>
            <xm:f>IF(AND(K2&lt;&gt;"COLABORACION",OR(Y2&gt;=1,Z2&gt;=1)),VALIDACIONES!$E$3,IF(AND(K2="COLABORACION",OR(Y2&gt;=1,Z2&gt;=1)),VALIDACIONES!$E$4:$E$5,VALIDACIONES!$E$2))</xm:f>
          </x14:formula1>
          <xm:sqref>AG2:AG250</xm:sqref>
        </x14:dataValidation>
        <x14:dataValidation type="list" allowBlank="1" showInputMessage="1" showErrorMessage="1" xr:uid="{00000000-0002-0000-0000-000008000000}">
          <x14:formula1>
            <xm:f>VALIDACIONES!$S$2:$S$49</xm:f>
          </x14:formula1>
          <xm:sqref>K2:K250</xm:sqref>
        </x14:dataValidation>
        <x14:dataValidation type="list" allowBlank="1" showInputMessage="1" showErrorMessage="1" xr:uid="{00000000-0002-0000-0000-000009000000}">
          <x14:formula1>
            <xm:f>IF(K2="ROBO/HURTO",VALIDACIONES!$U$2:$U$18,VALIDACIONES!$W$2)</xm:f>
          </x14:formula1>
          <xm:sqref>N2:N250</xm:sqref>
        </x14:dataValidation>
        <x14:dataValidation type="list" allowBlank="1" showInputMessage="1" showErrorMessage="1" xr:uid="{00000000-0002-0000-0000-00000A000000}">
          <x14:formula1>
            <xm:f>VALIDACIONES!$P:$P</xm:f>
          </x14:formula1>
          <xm:sqref>G2:G250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E9"/>
  <sheetViews>
    <sheetView showGridLines="0" workbookViewId="0">
      <selection activeCell="G30" sqref="G30"/>
    </sheetView>
  </sheetViews>
  <sheetFormatPr baseColWidth="10" defaultRowHeight="15"/>
  <cols>
    <col min="1" max="1" width="19.83203125" customWidth="1"/>
    <col min="2" max="2" width="13.1640625" style="63" bestFit="1" customWidth="1"/>
    <col min="3" max="3" width="9.5" style="63" bestFit="1" customWidth="1"/>
    <col min="5" max="5" width="15.5" customWidth="1"/>
  </cols>
  <sheetData>
    <row r="1" spans="1:5">
      <c r="C1" s="62"/>
      <c r="D1" s="60"/>
    </row>
    <row r="2" spans="1:5">
      <c r="C2" s="62"/>
    </row>
    <row r="3" spans="1:5">
      <c r="C3" s="62"/>
    </row>
    <row r="4" spans="1:5">
      <c r="A4" s="20"/>
      <c r="C4" s="62"/>
    </row>
    <row r="5" spans="1:5">
      <c r="E5" s="56" t="s">
        <v>2517</v>
      </c>
    </row>
    <row r="6" spans="1:5">
      <c r="E6" s="64">
        <f>SUBTOTAL(103,Hoja1!K2:K90)</f>
        <v>89</v>
      </c>
    </row>
    <row r="8" spans="1:5">
      <c r="E8" s="56" t="s">
        <v>2516</v>
      </c>
    </row>
    <row r="9" spans="1:5">
      <c r="E9" s="64" cm="1">
        <f t="array" aca="1" ref="E9" ca="1">SUMPRODUCT(SUBTOTAL(103, OFFSET(Hoja1!S2:S90, ROW(Hoja1!S2:S90)-ROW(Hoja1!S2), 0, 1)), --ISNUMBER(Hoja1!S2:S90))</f>
        <v>76</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3" r:id="rId4" name="Button 5">
              <controlPr defaultSize="0" print="0" autoFill="0" autoPict="0" macro="[0]!MostrarTodo">
                <anchor moveWithCells="1" sizeWithCells="1">
                  <from>
                    <xdr:col>0</xdr:col>
                    <xdr:colOff>2374900</xdr:colOff>
                    <xdr:row>13</xdr:row>
                    <xdr:rowOff>139700</xdr:rowOff>
                  </from>
                  <to>
                    <xdr:col>5</xdr:col>
                    <xdr:colOff>12700</xdr:colOff>
                    <xdr:row>15</xdr:row>
                    <xdr:rowOff>63500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W2261"/>
  <sheetViews>
    <sheetView workbookViewId="0">
      <selection activeCell="A2" sqref="A2"/>
    </sheetView>
  </sheetViews>
  <sheetFormatPr baseColWidth="10" defaultColWidth="11" defaultRowHeight="15"/>
  <cols>
    <col min="1" max="1" width="16.5" customWidth="1"/>
    <col min="2" max="2" width="1.83203125" customWidth="1"/>
    <col min="3" max="3" width="43.6640625" customWidth="1"/>
    <col min="4" max="4" width="1.5" customWidth="1"/>
    <col min="5" max="5" width="59.1640625" customWidth="1"/>
    <col min="6" max="6" width="1.6640625" customWidth="1"/>
    <col min="7" max="7" width="29.33203125" customWidth="1"/>
    <col min="8" max="8" width="1.6640625" customWidth="1"/>
    <col min="9" max="9" width="29.6640625" customWidth="1"/>
    <col min="10" max="10" width="6.1640625" customWidth="1"/>
    <col min="11" max="11" width="6.5" customWidth="1"/>
    <col min="12" max="12" width="17.6640625" customWidth="1"/>
    <col min="13" max="13" width="1.83203125" customWidth="1"/>
    <col min="14" max="14" width="46.1640625" customWidth="1"/>
    <col min="15" max="15" width="1.83203125" customWidth="1"/>
    <col min="16" max="16" width="30.1640625" customWidth="1"/>
    <col min="17" max="17" width="9" customWidth="1"/>
    <col min="18" max="18" width="2.1640625" customWidth="1"/>
    <col min="19" max="19" width="34.5" customWidth="1"/>
    <col min="20" max="20" width="2.5" customWidth="1"/>
    <col min="21" max="21" width="25.5" bestFit="1" customWidth="1"/>
  </cols>
  <sheetData>
    <row r="1" spans="1:23">
      <c r="A1" s="1" t="s">
        <v>2</v>
      </c>
      <c r="C1" s="2" t="s">
        <v>38</v>
      </c>
      <c r="D1" s="3"/>
      <c r="E1" s="4" t="s">
        <v>30</v>
      </c>
      <c r="G1" s="4" t="s">
        <v>10</v>
      </c>
      <c r="I1" s="4" t="s">
        <v>39</v>
      </c>
      <c r="J1" s="4" t="s">
        <v>40</v>
      </c>
      <c r="L1" s="5" t="s">
        <v>3</v>
      </c>
      <c r="N1" t="s">
        <v>41</v>
      </c>
      <c r="P1" s="6" t="s">
        <v>42</v>
      </c>
      <c r="Q1" s="7" t="s">
        <v>35</v>
      </c>
      <c r="S1" s="4" t="s">
        <v>9</v>
      </c>
      <c r="U1" s="1" t="s">
        <v>2518</v>
      </c>
    </row>
    <row r="2" spans="1:23" ht="16">
      <c r="A2" s="8" t="s">
        <v>43</v>
      </c>
      <c r="B2" s="3"/>
      <c r="C2" s="3" t="s">
        <v>44</v>
      </c>
      <c r="D2" s="3"/>
      <c r="E2" s="3" t="s">
        <v>45</v>
      </c>
      <c r="G2" s="9" t="s">
        <v>46</v>
      </c>
      <c r="I2" s="10" t="s">
        <v>47</v>
      </c>
      <c r="J2" s="11">
        <v>1</v>
      </c>
      <c r="L2" s="112" t="s">
        <v>48</v>
      </c>
      <c r="N2" t="s">
        <v>49</v>
      </c>
      <c r="P2" t="s">
        <v>50</v>
      </c>
      <c r="Q2" s="12">
        <v>36405101</v>
      </c>
      <c r="S2" s="13" t="s">
        <v>51</v>
      </c>
      <c r="U2" s="65" t="s">
        <v>2520</v>
      </c>
      <c r="W2" s="66" t="s">
        <v>2530</v>
      </c>
    </row>
    <row r="3" spans="1:23" ht="16">
      <c r="A3" s="8" t="s">
        <v>52</v>
      </c>
      <c r="B3" s="3"/>
      <c r="C3" s="3" t="s">
        <v>53</v>
      </c>
      <c r="D3" s="3"/>
      <c r="E3" s="14" t="s">
        <v>54</v>
      </c>
      <c r="G3" s="9" t="s">
        <v>55</v>
      </c>
      <c r="I3" s="15" t="s">
        <v>56</v>
      </c>
      <c r="J3" s="16">
        <v>1</v>
      </c>
      <c r="K3" s="17"/>
      <c r="L3" s="113"/>
      <c r="N3" t="s">
        <v>57</v>
      </c>
      <c r="P3" s="12" t="s">
        <v>58</v>
      </c>
      <c r="Q3" s="12">
        <v>44729351</v>
      </c>
      <c r="S3" s="13" t="s">
        <v>59</v>
      </c>
      <c r="U3" s="65" t="s">
        <v>2526</v>
      </c>
    </row>
    <row r="4" spans="1:23" ht="16">
      <c r="A4" s="8" t="s">
        <v>60</v>
      </c>
      <c r="B4" s="3"/>
      <c r="C4" s="3" t="s">
        <v>61</v>
      </c>
      <c r="D4" s="3"/>
      <c r="E4" s="3" t="s">
        <v>62</v>
      </c>
      <c r="G4" s="9" t="s">
        <v>2531</v>
      </c>
      <c r="I4" s="15" t="s">
        <v>63</v>
      </c>
      <c r="J4" s="16">
        <v>1</v>
      </c>
      <c r="L4" s="113"/>
      <c r="N4" t="s">
        <v>64</v>
      </c>
      <c r="P4" s="12" t="s">
        <v>65</v>
      </c>
      <c r="Q4" s="12">
        <v>44209464</v>
      </c>
      <c r="S4" s="13" t="s">
        <v>66</v>
      </c>
      <c r="U4" s="65" t="s">
        <v>2523</v>
      </c>
    </row>
    <row r="5" spans="1:23" ht="16">
      <c r="A5" s="8" t="s">
        <v>67</v>
      </c>
      <c r="B5" s="3"/>
      <c r="C5" s="3" t="s">
        <v>68</v>
      </c>
      <c r="D5" s="3"/>
      <c r="E5" s="18" t="s">
        <v>69</v>
      </c>
      <c r="G5" s="9" t="s">
        <v>70</v>
      </c>
      <c r="I5" s="15" t="s">
        <v>71</v>
      </c>
      <c r="J5" s="16">
        <v>1</v>
      </c>
      <c r="L5" s="113"/>
      <c r="N5" t="s">
        <v>72</v>
      </c>
      <c r="P5" s="12" t="s">
        <v>73</v>
      </c>
      <c r="Q5" s="12">
        <v>44209464</v>
      </c>
      <c r="S5" s="13" t="s">
        <v>74</v>
      </c>
      <c r="U5" s="65" t="s">
        <v>2535</v>
      </c>
    </row>
    <row r="6" spans="1:23" ht="16">
      <c r="A6" s="19" t="s">
        <v>75</v>
      </c>
      <c r="B6" s="3"/>
      <c r="C6" s="3" t="s">
        <v>76</v>
      </c>
      <c r="D6" s="3"/>
      <c r="G6" s="9" t="s">
        <v>77</v>
      </c>
      <c r="I6" s="15" t="s">
        <v>78</v>
      </c>
      <c r="J6" s="16">
        <v>1</v>
      </c>
      <c r="K6" s="17" t="s">
        <v>79</v>
      </c>
      <c r="L6" s="113"/>
      <c r="N6" t="s">
        <v>80</v>
      </c>
      <c r="P6" s="12" t="s">
        <v>81</v>
      </c>
      <c r="Q6" s="12">
        <v>44209464</v>
      </c>
      <c r="S6" s="13" t="s">
        <v>77</v>
      </c>
      <c r="U6" s="65" t="s">
        <v>2528</v>
      </c>
    </row>
    <row r="7" spans="1:23" ht="16">
      <c r="A7" s="8" t="s">
        <v>82</v>
      </c>
      <c r="B7" s="3"/>
      <c r="C7" s="3" t="s">
        <v>83</v>
      </c>
      <c r="D7" s="3"/>
      <c r="G7" s="9" t="s">
        <v>84</v>
      </c>
      <c r="I7" s="15" t="s">
        <v>85</v>
      </c>
      <c r="J7" s="16">
        <v>1</v>
      </c>
      <c r="L7" s="113"/>
      <c r="N7" t="s">
        <v>86</v>
      </c>
      <c r="P7" s="12" t="s">
        <v>41</v>
      </c>
      <c r="Q7" s="12">
        <v>42147513</v>
      </c>
      <c r="R7" s="13"/>
      <c r="S7" s="13" t="s">
        <v>87</v>
      </c>
      <c r="U7" s="65" t="s">
        <v>2521</v>
      </c>
    </row>
    <row r="8" spans="1:23" ht="16">
      <c r="A8" s="8" t="s">
        <v>88</v>
      </c>
      <c r="B8" s="3"/>
      <c r="C8" s="3" t="s">
        <v>89</v>
      </c>
      <c r="D8" s="3"/>
      <c r="G8" s="20" t="s">
        <v>90</v>
      </c>
      <c r="I8" s="15" t="s">
        <v>91</v>
      </c>
      <c r="J8" s="16">
        <v>1</v>
      </c>
      <c r="K8" s="17"/>
      <c r="L8" s="113"/>
      <c r="N8" t="s">
        <v>92</v>
      </c>
      <c r="P8" s="12" t="s">
        <v>93</v>
      </c>
      <c r="Q8" s="12">
        <v>43407871</v>
      </c>
      <c r="S8" s="13" t="s">
        <v>94</v>
      </c>
      <c r="U8" s="65" t="s">
        <v>2537</v>
      </c>
    </row>
    <row r="9" spans="1:23" ht="16">
      <c r="A9" s="8" t="s">
        <v>95</v>
      </c>
      <c r="B9" s="3"/>
      <c r="C9" s="3" t="s">
        <v>96</v>
      </c>
      <c r="D9" s="3"/>
      <c r="G9" s="9" t="s">
        <v>97</v>
      </c>
      <c r="I9" s="15" t="s">
        <v>98</v>
      </c>
      <c r="J9" s="16">
        <v>1</v>
      </c>
      <c r="L9" s="113"/>
      <c r="N9" t="s">
        <v>99</v>
      </c>
      <c r="P9" s="12" t="s">
        <v>100</v>
      </c>
      <c r="Q9" s="12">
        <v>44209464</v>
      </c>
      <c r="S9" s="13" t="s">
        <v>101</v>
      </c>
      <c r="U9" s="65" t="s">
        <v>2527</v>
      </c>
    </row>
    <row r="10" spans="1:23" ht="16">
      <c r="A10" s="8" t="s">
        <v>102</v>
      </c>
      <c r="B10" s="3"/>
      <c r="C10" s="3" t="s">
        <v>103</v>
      </c>
      <c r="D10" s="3"/>
      <c r="G10" s="9" t="s">
        <v>104</v>
      </c>
      <c r="I10" s="15" t="s">
        <v>105</v>
      </c>
      <c r="J10" s="16">
        <v>1</v>
      </c>
      <c r="L10" s="113"/>
      <c r="N10" t="s">
        <v>106</v>
      </c>
      <c r="P10" s="12" t="s">
        <v>49</v>
      </c>
      <c r="Q10" s="12">
        <v>44209464</v>
      </c>
      <c r="S10" s="13" t="s">
        <v>107</v>
      </c>
      <c r="U10" s="65" t="s">
        <v>103</v>
      </c>
    </row>
    <row r="11" spans="1:23" ht="16">
      <c r="A11" s="8" t="s">
        <v>108</v>
      </c>
      <c r="B11" s="3"/>
      <c r="C11" s="3" t="s">
        <v>109</v>
      </c>
      <c r="D11" s="3"/>
      <c r="G11" s="20" t="s">
        <v>110</v>
      </c>
      <c r="I11" s="15" t="s">
        <v>111</v>
      </c>
      <c r="J11" s="16">
        <v>1</v>
      </c>
      <c r="L11" s="113"/>
      <c r="N11" t="s">
        <v>112</v>
      </c>
      <c r="P11" s="12" t="s">
        <v>57</v>
      </c>
      <c r="Q11" s="12">
        <v>44729351</v>
      </c>
      <c r="S11" s="13" t="s">
        <v>83</v>
      </c>
      <c r="U11" s="65" t="s">
        <v>142</v>
      </c>
    </row>
    <row r="12" spans="1:23" ht="16">
      <c r="A12" s="8" t="s">
        <v>113</v>
      </c>
      <c r="B12" s="3"/>
      <c r="C12" s="3" t="s">
        <v>114</v>
      </c>
      <c r="D12" s="3"/>
      <c r="G12" s="9" t="s">
        <v>115</v>
      </c>
      <c r="I12" s="15" t="s">
        <v>116</v>
      </c>
      <c r="J12" s="16">
        <v>1</v>
      </c>
      <c r="K12" s="17"/>
      <c r="L12" s="113"/>
      <c r="N12" t="s">
        <v>117</v>
      </c>
      <c r="P12" s="12" t="s">
        <v>118</v>
      </c>
      <c r="Q12" s="12">
        <v>35087618</v>
      </c>
      <c r="S12" s="13" t="s">
        <v>119</v>
      </c>
      <c r="U12" s="65" t="s">
        <v>2524</v>
      </c>
    </row>
    <row r="13" spans="1:23" ht="15" customHeight="1">
      <c r="A13" s="8" t="s">
        <v>120</v>
      </c>
      <c r="B13" s="3"/>
      <c r="C13" s="3" t="s">
        <v>121</v>
      </c>
      <c r="D13" s="3"/>
      <c r="E13" s="3"/>
      <c r="G13" s="9" t="s">
        <v>122</v>
      </c>
      <c r="I13" s="21" t="s">
        <v>123</v>
      </c>
      <c r="J13" s="22">
        <v>1</v>
      </c>
      <c r="L13" s="113"/>
      <c r="N13" t="s">
        <v>124</v>
      </c>
      <c r="P13" s="12" t="s">
        <v>64</v>
      </c>
      <c r="Q13" s="12">
        <v>35087618</v>
      </c>
      <c r="S13" s="13" t="s">
        <v>109</v>
      </c>
      <c r="U13" s="65" t="s">
        <v>2522</v>
      </c>
    </row>
    <row r="14" spans="1:23" ht="16">
      <c r="A14" s="3"/>
      <c r="B14" s="3"/>
      <c r="C14" s="3" t="s">
        <v>125</v>
      </c>
      <c r="D14" s="3"/>
      <c r="E14" s="3"/>
      <c r="G14" s="9" t="s">
        <v>126</v>
      </c>
      <c r="I14" s="15" t="s">
        <v>127</v>
      </c>
      <c r="J14" s="16">
        <v>1</v>
      </c>
      <c r="L14" s="113"/>
      <c r="N14" t="s">
        <v>128</v>
      </c>
      <c r="P14" s="12" t="s">
        <v>129</v>
      </c>
      <c r="Q14" s="12">
        <v>42434727</v>
      </c>
      <c r="S14" s="13" t="s">
        <v>130</v>
      </c>
      <c r="U14" s="65" t="s">
        <v>2519</v>
      </c>
    </row>
    <row r="15" spans="1:23" ht="16">
      <c r="A15" s="3"/>
      <c r="B15" s="3"/>
      <c r="C15" s="3" t="s">
        <v>131</v>
      </c>
      <c r="D15" s="3"/>
      <c r="E15" s="3"/>
      <c r="G15" s="9" t="s">
        <v>132</v>
      </c>
      <c r="I15" s="21" t="s">
        <v>133</v>
      </c>
      <c r="J15" s="22">
        <v>1</v>
      </c>
      <c r="K15" s="17" t="s">
        <v>79</v>
      </c>
      <c r="L15" s="113"/>
      <c r="N15" t="s">
        <v>134</v>
      </c>
      <c r="P15" s="12" t="s">
        <v>135</v>
      </c>
      <c r="Q15" s="12">
        <v>42434727</v>
      </c>
      <c r="S15" s="13" t="s">
        <v>104</v>
      </c>
      <c r="U15" s="65" t="s">
        <v>2529</v>
      </c>
    </row>
    <row r="16" spans="1:23" ht="16">
      <c r="A16" s="3"/>
      <c r="B16" s="3"/>
      <c r="C16" s="3" t="s">
        <v>136</v>
      </c>
      <c r="D16" s="3"/>
      <c r="E16" s="3"/>
      <c r="G16" s="9" t="s">
        <v>137</v>
      </c>
      <c r="I16" s="23" t="s">
        <v>138</v>
      </c>
      <c r="J16" s="24">
        <v>1</v>
      </c>
      <c r="L16" s="113"/>
      <c r="N16" t="s">
        <v>139</v>
      </c>
      <c r="P16" s="12" t="s">
        <v>140</v>
      </c>
      <c r="Q16" s="12">
        <v>42434727</v>
      </c>
      <c r="S16" s="13" t="s">
        <v>141</v>
      </c>
      <c r="U16" s="65" t="s">
        <v>2525</v>
      </c>
    </row>
    <row r="17" spans="1:21" ht="16">
      <c r="A17" s="3"/>
      <c r="B17" s="3"/>
      <c r="C17" s="3" t="s">
        <v>148</v>
      </c>
      <c r="D17" s="3"/>
      <c r="E17" s="3"/>
      <c r="G17" s="9" t="s">
        <v>142</v>
      </c>
      <c r="I17" s="25" t="s">
        <v>143</v>
      </c>
      <c r="J17" s="26" t="s">
        <v>144</v>
      </c>
      <c r="L17" s="27" t="s">
        <v>144</v>
      </c>
      <c r="N17" t="s">
        <v>145</v>
      </c>
      <c r="P17" s="12" t="s">
        <v>72</v>
      </c>
      <c r="Q17" s="12">
        <v>42434727</v>
      </c>
      <c r="S17" s="13" t="s">
        <v>146</v>
      </c>
      <c r="U17" s="65" t="s">
        <v>2536</v>
      </c>
    </row>
    <row r="18" spans="1:21" ht="16">
      <c r="A18" s="3"/>
      <c r="B18" s="3"/>
      <c r="C18" s="3" t="s">
        <v>147</v>
      </c>
      <c r="D18" s="3"/>
      <c r="E18" s="3"/>
      <c r="G18" s="9" t="s">
        <v>148</v>
      </c>
      <c r="I18" s="10" t="s">
        <v>149</v>
      </c>
      <c r="J18" s="11">
        <v>2</v>
      </c>
      <c r="L18" s="112" t="s">
        <v>150</v>
      </c>
      <c r="N18" t="s">
        <v>151</v>
      </c>
      <c r="P18" s="12" t="s">
        <v>152</v>
      </c>
      <c r="Q18" s="12">
        <v>40094790</v>
      </c>
      <c r="S18" s="13" t="s">
        <v>2532</v>
      </c>
      <c r="U18" s="65" t="s">
        <v>2534</v>
      </c>
    </row>
    <row r="19" spans="1:21" ht="16">
      <c r="A19" s="3"/>
      <c r="B19" s="3"/>
      <c r="C19" t="s">
        <v>154</v>
      </c>
      <c r="D19" s="3"/>
      <c r="E19" s="3"/>
      <c r="G19" s="9" t="s">
        <v>155</v>
      </c>
      <c r="I19" s="23" t="s">
        <v>156</v>
      </c>
      <c r="J19" s="24">
        <v>2</v>
      </c>
      <c r="K19" s="17"/>
      <c r="L19" s="113"/>
      <c r="N19" t="s">
        <v>157</v>
      </c>
      <c r="P19" s="12" t="s">
        <v>80</v>
      </c>
      <c r="Q19" s="12">
        <v>40094790</v>
      </c>
      <c r="S19" s="13" t="s">
        <v>153</v>
      </c>
    </row>
    <row r="20" spans="1:21" ht="16">
      <c r="A20" s="3"/>
      <c r="B20" s="3"/>
      <c r="C20" s="3" t="s">
        <v>158</v>
      </c>
      <c r="D20" s="3"/>
      <c r="E20" s="3"/>
      <c r="G20" s="9" t="s">
        <v>159</v>
      </c>
      <c r="I20" s="15" t="s">
        <v>160</v>
      </c>
      <c r="J20" s="16">
        <v>2</v>
      </c>
      <c r="K20" s="28"/>
      <c r="L20" s="113"/>
      <c r="N20" t="s">
        <v>161</v>
      </c>
      <c r="P20" s="12" t="s">
        <v>162</v>
      </c>
      <c r="Q20" s="12">
        <v>42214308</v>
      </c>
      <c r="S20" s="13" t="s">
        <v>148</v>
      </c>
    </row>
    <row r="21" spans="1:21" ht="16">
      <c r="A21" s="3"/>
      <c r="B21" s="3"/>
      <c r="C21" s="3" t="s">
        <v>163</v>
      </c>
      <c r="D21" s="3"/>
      <c r="G21" s="9" t="s">
        <v>19</v>
      </c>
      <c r="I21" s="15" t="s">
        <v>164</v>
      </c>
      <c r="J21" s="16">
        <v>2</v>
      </c>
      <c r="L21" s="113"/>
      <c r="N21" t="s">
        <v>165</v>
      </c>
      <c r="P21" s="12" t="s">
        <v>166</v>
      </c>
      <c r="Q21" s="12">
        <v>38513849</v>
      </c>
      <c r="S21" s="13" t="s">
        <v>147</v>
      </c>
    </row>
    <row r="22" spans="1:21" ht="16">
      <c r="C22" s="3" t="s">
        <v>168</v>
      </c>
      <c r="G22" s="3" t="s">
        <v>169</v>
      </c>
      <c r="I22" s="15" t="s">
        <v>170</v>
      </c>
      <c r="J22" s="16">
        <v>2</v>
      </c>
      <c r="L22" s="113"/>
      <c r="N22" t="s">
        <v>171</v>
      </c>
      <c r="P22" s="12" t="s">
        <v>172</v>
      </c>
      <c r="Q22" s="12">
        <v>42586602</v>
      </c>
      <c r="S22" s="13" t="s">
        <v>167</v>
      </c>
    </row>
    <row r="23" spans="1:21" ht="16">
      <c r="C23" s="3" t="s">
        <v>174</v>
      </c>
      <c r="G23" s="9" t="s">
        <v>175</v>
      </c>
      <c r="I23" s="15" t="s">
        <v>176</v>
      </c>
      <c r="J23" s="16">
        <v>2</v>
      </c>
      <c r="K23" s="17" t="s">
        <v>79</v>
      </c>
      <c r="L23" s="113"/>
      <c r="N23" t="s">
        <v>177</v>
      </c>
      <c r="P23" s="12" t="s">
        <v>178</v>
      </c>
      <c r="Q23" s="12">
        <v>44394604</v>
      </c>
      <c r="S23" s="13" t="s">
        <v>173</v>
      </c>
    </row>
    <row r="24" spans="1:21" ht="16">
      <c r="C24" t="s">
        <v>179</v>
      </c>
      <c r="G24" s="20" t="s">
        <v>180</v>
      </c>
      <c r="I24" s="15" t="s">
        <v>181</v>
      </c>
      <c r="J24" s="16">
        <v>2</v>
      </c>
      <c r="K24" s="17"/>
      <c r="L24" s="113"/>
      <c r="N24" t="s">
        <v>182</v>
      </c>
      <c r="P24" s="12" t="s">
        <v>183</v>
      </c>
      <c r="Q24" s="12">
        <v>44394604</v>
      </c>
      <c r="S24" s="13" t="s">
        <v>155</v>
      </c>
    </row>
    <row r="25" spans="1:21" ht="16">
      <c r="C25" s="3" t="s">
        <v>185</v>
      </c>
      <c r="G25" s="9" t="s">
        <v>186</v>
      </c>
      <c r="I25" s="21" t="s">
        <v>187</v>
      </c>
      <c r="J25" s="22">
        <v>2</v>
      </c>
      <c r="L25" s="113"/>
      <c r="N25" t="s">
        <v>188</v>
      </c>
      <c r="P25" s="12" t="s">
        <v>189</v>
      </c>
      <c r="Q25" s="12">
        <v>44394604</v>
      </c>
      <c r="S25" s="13" t="s">
        <v>184</v>
      </c>
    </row>
    <row r="26" spans="1:21" ht="16">
      <c r="C26" s="3" t="s">
        <v>191</v>
      </c>
      <c r="G26" s="9" t="s">
        <v>192</v>
      </c>
      <c r="I26" s="21" t="s">
        <v>193</v>
      </c>
      <c r="J26" s="22">
        <v>2</v>
      </c>
      <c r="K26" s="17"/>
      <c r="L26" s="113"/>
      <c r="N26" t="s">
        <v>194</v>
      </c>
      <c r="P26" s="12" t="s">
        <v>86</v>
      </c>
      <c r="Q26" s="12">
        <v>44394604</v>
      </c>
      <c r="S26" s="13" t="s">
        <v>190</v>
      </c>
    </row>
    <row r="27" spans="1:21" ht="16">
      <c r="C27" s="3" t="s">
        <v>195</v>
      </c>
      <c r="G27" s="9" t="s">
        <v>196</v>
      </c>
      <c r="I27" s="21" t="s">
        <v>197</v>
      </c>
      <c r="J27" s="22">
        <v>2</v>
      </c>
      <c r="L27" s="113"/>
      <c r="N27" t="s">
        <v>198</v>
      </c>
      <c r="P27" s="12" t="s">
        <v>199</v>
      </c>
      <c r="Q27" s="12">
        <v>12587</v>
      </c>
      <c r="S27" s="13" t="s">
        <v>19</v>
      </c>
    </row>
    <row r="28" spans="1:21" ht="16">
      <c r="C28" s="3" t="s">
        <v>200</v>
      </c>
      <c r="G28" s="9" t="s">
        <v>201</v>
      </c>
      <c r="I28" s="15" t="s">
        <v>202</v>
      </c>
      <c r="J28" s="16">
        <v>2</v>
      </c>
      <c r="L28" s="113"/>
      <c r="N28" t="s">
        <v>203</v>
      </c>
      <c r="P28" s="12" t="s">
        <v>204</v>
      </c>
      <c r="Q28" s="12">
        <v>45077518</v>
      </c>
      <c r="S28" s="13" t="s">
        <v>175</v>
      </c>
    </row>
    <row r="29" spans="1:21" ht="15.75" customHeight="1">
      <c r="C29" s="3" t="s">
        <v>206</v>
      </c>
      <c r="G29" s="9" t="s">
        <v>207</v>
      </c>
      <c r="I29" s="15" t="s">
        <v>208</v>
      </c>
      <c r="J29" s="16">
        <v>2</v>
      </c>
      <c r="L29" s="113"/>
      <c r="N29" t="s">
        <v>209</v>
      </c>
      <c r="P29" s="12" t="s">
        <v>92</v>
      </c>
      <c r="Q29" s="12">
        <v>45077518</v>
      </c>
      <c r="S29" s="13" t="s">
        <v>205</v>
      </c>
    </row>
    <row r="30" spans="1:21" ht="15.75" customHeight="1">
      <c r="C30" s="3" t="s">
        <v>211</v>
      </c>
      <c r="G30" s="9" t="s">
        <v>174</v>
      </c>
      <c r="I30" s="15" t="s">
        <v>212</v>
      </c>
      <c r="J30" s="16">
        <v>2</v>
      </c>
      <c r="L30" s="113"/>
      <c r="N30" t="s">
        <v>213</v>
      </c>
      <c r="P30" s="12" t="s">
        <v>214</v>
      </c>
      <c r="Q30" s="12">
        <v>41639380</v>
      </c>
      <c r="S30" s="13" t="s">
        <v>210</v>
      </c>
    </row>
    <row r="31" spans="1:21" ht="15" customHeight="1">
      <c r="C31" s="3" t="s">
        <v>215</v>
      </c>
      <c r="G31" s="9" t="s">
        <v>2513</v>
      </c>
      <c r="I31" s="15" t="s">
        <v>217</v>
      </c>
      <c r="J31" s="16">
        <v>2</v>
      </c>
      <c r="K31" s="17" t="s">
        <v>79</v>
      </c>
      <c r="L31" s="113"/>
      <c r="N31" t="s">
        <v>218</v>
      </c>
      <c r="P31" s="12" t="s">
        <v>219</v>
      </c>
      <c r="Q31" s="12">
        <v>41639380</v>
      </c>
      <c r="S31" s="13" t="s">
        <v>192</v>
      </c>
    </row>
    <row r="32" spans="1:21" ht="16">
      <c r="C32" s="3" t="s">
        <v>220</v>
      </c>
      <c r="G32" s="9" t="s">
        <v>216</v>
      </c>
      <c r="I32" s="15" t="s">
        <v>221</v>
      </c>
      <c r="J32" s="16">
        <v>2</v>
      </c>
      <c r="L32" s="113"/>
      <c r="N32" t="s">
        <v>222</v>
      </c>
      <c r="P32" s="12" t="s">
        <v>99</v>
      </c>
      <c r="Q32" s="12">
        <v>42099755</v>
      </c>
      <c r="S32" s="13" t="s">
        <v>196</v>
      </c>
    </row>
    <row r="33" spans="3:19" ht="16">
      <c r="C33" t="s">
        <v>224</v>
      </c>
      <c r="G33" s="9" t="s">
        <v>2533</v>
      </c>
      <c r="I33" s="15" t="s">
        <v>225</v>
      </c>
      <c r="J33" s="16">
        <v>2</v>
      </c>
      <c r="L33" s="113"/>
      <c r="N33" t="s">
        <v>226</v>
      </c>
      <c r="P33" s="12" t="s">
        <v>227</v>
      </c>
      <c r="Q33" s="12">
        <v>41546124</v>
      </c>
      <c r="S33" s="13" t="s">
        <v>223</v>
      </c>
    </row>
    <row r="34" spans="3:19" ht="16">
      <c r="C34" s="3" t="s">
        <v>229</v>
      </c>
      <c r="G34" s="9" t="s">
        <v>191</v>
      </c>
      <c r="I34" s="15" t="s">
        <v>230</v>
      </c>
      <c r="J34" s="16">
        <v>2</v>
      </c>
      <c r="K34" s="17"/>
      <c r="L34" s="113"/>
      <c r="N34" t="s">
        <v>231</v>
      </c>
      <c r="P34" s="12" t="s">
        <v>232</v>
      </c>
      <c r="Q34" s="12">
        <v>35342428</v>
      </c>
      <c r="S34" s="13" t="s">
        <v>228</v>
      </c>
    </row>
    <row r="35" spans="3:19" ht="16">
      <c r="C35" t="s">
        <v>234</v>
      </c>
      <c r="G35" s="29" t="s">
        <v>195</v>
      </c>
      <c r="I35" s="28" t="s">
        <v>236</v>
      </c>
      <c r="J35" s="24">
        <v>2</v>
      </c>
      <c r="L35" s="113"/>
      <c r="N35" t="s">
        <v>237</v>
      </c>
      <c r="P35" s="12" t="s">
        <v>106</v>
      </c>
      <c r="Q35" s="12">
        <v>41546124</v>
      </c>
      <c r="S35" s="13" t="s">
        <v>233</v>
      </c>
    </row>
    <row r="36" spans="3:19" ht="16">
      <c r="C36" s="3" t="s">
        <v>239</v>
      </c>
      <c r="G36" s="9" t="s">
        <v>200</v>
      </c>
      <c r="I36" s="30" t="s">
        <v>240</v>
      </c>
      <c r="J36" s="31">
        <v>2</v>
      </c>
      <c r="L36" s="114"/>
      <c r="M36" s="32"/>
      <c r="N36" s="32" t="s">
        <v>241</v>
      </c>
      <c r="O36" s="32"/>
      <c r="P36" s="12" t="s">
        <v>112</v>
      </c>
      <c r="Q36" s="12">
        <v>37292120</v>
      </c>
      <c r="S36" s="13" t="s">
        <v>238</v>
      </c>
    </row>
    <row r="37" spans="3:19" ht="16">
      <c r="C37" t="s">
        <v>243</v>
      </c>
      <c r="G37" s="9" t="s">
        <v>235</v>
      </c>
      <c r="I37" s="33" t="s">
        <v>244</v>
      </c>
      <c r="J37" s="11">
        <v>3</v>
      </c>
      <c r="L37" s="112" t="s">
        <v>245</v>
      </c>
      <c r="N37" t="s">
        <v>246</v>
      </c>
      <c r="P37" s="12" t="s">
        <v>117</v>
      </c>
      <c r="Q37" s="12">
        <v>13782</v>
      </c>
      <c r="S37" s="13" t="s">
        <v>242</v>
      </c>
    </row>
    <row r="38" spans="3:19" ht="16">
      <c r="C38" t="s">
        <v>247</v>
      </c>
      <c r="I38" s="34" t="s">
        <v>248</v>
      </c>
      <c r="J38" s="22">
        <v>3</v>
      </c>
      <c r="L38" s="113"/>
      <c r="N38" t="s">
        <v>249</v>
      </c>
      <c r="P38" s="12" t="s">
        <v>250</v>
      </c>
      <c r="Q38" s="12">
        <v>13782</v>
      </c>
      <c r="S38" s="13" t="s">
        <v>174</v>
      </c>
    </row>
    <row r="39" spans="3:19" ht="16">
      <c r="C39" s="3" t="s">
        <v>251</v>
      </c>
      <c r="I39" s="36" t="s">
        <v>252</v>
      </c>
      <c r="J39" s="16">
        <v>3</v>
      </c>
      <c r="K39" s="17" t="s">
        <v>79</v>
      </c>
      <c r="L39" s="113"/>
      <c r="N39" t="s">
        <v>253</v>
      </c>
      <c r="P39" s="12" t="s">
        <v>254</v>
      </c>
      <c r="Q39" s="12">
        <v>13782</v>
      </c>
      <c r="S39" s="35" t="s">
        <v>179</v>
      </c>
    </row>
    <row r="40" spans="3:19" ht="16">
      <c r="C40" s="3" t="s">
        <v>256</v>
      </c>
      <c r="I40" s="21" t="s">
        <v>257</v>
      </c>
      <c r="J40" s="16">
        <v>3</v>
      </c>
      <c r="L40" s="113"/>
      <c r="N40" t="s">
        <v>258</v>
      </c>
      <c r="P40" s="12" t="s">
        <v>259</v>
      </c>
      <c r="Q40" s="12">
        <v>13782</v>
      </c>
      <c r="S40" s="35" t="s">
        <v>255</v>
      </c>
    </row>
    <row r="41" spans="3:19" ht="16">
      <c r="C41" s="3" t="s">
        <v>260</v>
      </c>
      <c r="I41" s="36" t="s">
        <v>261</v>
      </c>
      <c r="J41" s="16">
        <v>3</v>
      </c>
      <c r="L41" s="113"/>
      <c r="N41" t="s">
        <v>262</v>
      </c>
      <c r="P41" s="12" t="s">
        <v>263</v>
      </c>
      <c r="Q41" s="12">
        <v>70702</v>
      </c>
      <c r="S41" s="13" t="s">
        <v>2513</v>
      </c>
    </row>
    <row r="42" spans="3:19" ht="16">
      <c r="C42" t="s">
        <v>265</v>
      </c>
      <c r="I42" s="36" t="s">
        <v>266</v>
      </c>
      <c r="J42" s="16">
        <v>3</v>
      </c>
      <c r="L42" s="113"/>
      <c r="N42" t="s">
        <v>267</v>
      </c>
      <c r="P42" s="12" t="s">
        <v>268</v>
      </c>
      <c r="Q42" s="12">
        <v>70702</v>
      </c>
      <c r="S42" s="13" t="s">
        <v>264</v>
      </c>
    </row>
    <row r="43" spans="3:19" ht="16">
      <c r="C43" s="3" t="s">
        <v>206</v>
      </c>
      <c r="I43" s="36" t="s">
        <v>270</v>
      </c>
      <c r="J43" s="16">
        <v>3</v>
      </c>
      <c r="L43" s="113"/>
      <c r="N43" t="s">
        <v>271</v>
      </c>
      <c r="P43" t="s">
        <v>272</v>
      </c>
      <c r="Q43" s="12">
        <v>70702</v>
      </c>
      <c r="S43" s="13" t="s">
        <v>269</v>
      </c>
    </row>
    <row r="44" spans="3:19" ht="16">
      <c r="I44" s="36" t="s">
        <v>274</v>
      </c>
      <c r="J44" s="16">
        <v>3</v>
      </c>
      <c r="L44" s="113"/>
      <c r="N44" t="s">
        <v>275</v>
      </c>
      <c r="P44" s="12" t="s">
        <v>276</v>
      </c>
      <c r="Q44" s="12">
        <v>41803371</v>
      </c>
      <c r="S44" s="13" t="s">
        <v>273</v>
      </c>
    </row>
    <row r="45" spans="3:19" ht="16">
      <c r="I45" s="15" t="s">
        <v>278</v>
      </c>
      <c r="J45" s="16">
        <v>3</v>
      </c>
      <c r="L45" s="113"/>
      <c r="N45" t="s">
        <v>279</v>
      </c>
      <c r="P45" s="12" t="s">
        <v>280</v>
      </c>
      <c r="Q45" s="12">
        <v>41803371</v>
      </c>
      <c r="S45" s="13" t="s">
        <v>277</v>
      </c>
    </row>
    <row r="46" spans="3:19" ht="16">
      <c r="I46" s="37" t="s">
        <v>282</v>
      </c>
      <c r="J46" s="38">
        <v>3</v>
      </c>
      <c r="L46" s="114"/>
      <c r="N46" t="s">
        <v>283</v>
      </c>
      <c r="P46" t="s">
        <v>284</v>
      </c>
      <c r="Q46" s="12">
        <v>41803371</v>
      </c>
      <c r="S46" s="13" t="s">
        <v>281</v>
      </c>
    </row>
    <row r="47" spans="3:19" ht="16">
      <c r="I47" s="33" t="s">
        <v>286</v>
      </c>
      <c r="J47" s="11">
        <v>4</v>
      </c>
      <c r="L47" s="113" t="s">
        <v>287</v>
      </c>
      <c r="N47" t="s">
        <v>288</v>
      </c>
      <c r="P47" s="12" t="s">
        <v>124</v>
      </c>
      <c r="Q47" s="12">
        <v>41803371</v>
      </c>
      <c r="S47" s="13" t="s">
        <v>285</v>
      </c>
    </row>
    <row r="48" spans="3:19" ht="16">
      <c r="I48" s="36" t="s">
        <v>289</v>
      </c>
      <c r="J48" s="16">
        <v>4</v>
      </c>
      <c r="L48" s="113"/>
      <c r="N48" t="s">
        <v>290</v>
      </c>
      <c r="P48" s="12" t="s">
        <v>291</v>
      </c>
      <c r="Q48" s="12">
        <v>41803371</v>
      </c>
      <c r="S48" s="13" t="s">
        <v>195</v>
      </c>
    </row>
    <row r="49" spans="9:19" ht="16">
      <c r="I49" s="15" t="s">
        <v>292</v>
      </c>
      <c r="J49" s="16">
        <v>4</v>
      </c>
      <c r="L49" s="113"/>
      <c r="N49" t="s">
        <v>293</v>
      </c>
      <c r="P49" s="12" t="s">
        <v>294</v>
      </c>
      <c r="Q49" s="12">
        <v>41803371</v>
      </c>
      <c r="S49" s="13" t="s">
        <v>200</v>
      </c>
    </row>
    <row r="50" spans="9:19">
      <c r="I50" s="36" t="s">
        <v>295</v>
      </c>
      <c r="J50" s="16">
        <v>4</v>
      </c>
      <c r="L50" s="113"/>
      <c r="N50" t="s">
        <v>296</v>
      </c>
      <c r="P50" s="12" t="s">
        <v>128</v>
      </c>
      <c r="Q50" s="12">
        <v>40948404</v>
      </c>
    </row>
    <row r="51" spans="9:19">
      <c r="I51" s="15" t="s">
        <v>297</v>
      </c>
      <c r="J51" s="22">
        <v>4</v>
      </c>
      <c r="L51" s="113"/>
      <c r="N51" t="s">
        <v>298</v>
      </c>
      <c r="P51" t="s">
        <v>299</v>
      </c>
      <c r="Q51">
        <v>41546490</v>
      </c>
    </row>
    <row r="52" spans="9:19">
      <c r="I52" s="15" t="s">
        <v>300</v>
      </c>
      <c r="J52" s="22">
        <v>4</v>
      </c>
      <c r="L52" s="113"/>
      <c r="N52" t="s">
        <v>301</v>
      </c>
      <c r="P52" s="12" t="s">
        <v>302</v>
      </c>
      <c r="Q52" s="12">
        <v>44161458</v>
      </c>
    </row>
    <row r="53" spans="9:19">
      <c r="I53" s="36" t="s">
        <v>303</v>
      </c>
      <c r="J53" s="22">
        <v>4</v>
      </c>
      <c r="L53" s="113"/>
      <c r="N53" t="s">
        <v>304</v>
      </c>
      <c r="P53" t="s">
        <v>305</v>
      </c>
      <c r="Q53" s="12">
        <v>44161458</v>
      </c>
    </row>
    <row r="54" spans="9:19">
      <c r="I54" s="15" t="s">
        <v>306</v>
      </c>
      <c r="J54" s="22">
        <v>4</v>
      </c>
      <c r="L54" s="113"/>
      <c r="N54" t="s">
        <v>307</v>
      </c>
      <c r="P54" t="s">
        <v>308</v>
      </c>
      <c r="Q54" s="12">
        <v>92854523</v>
      </c>
    </row>
    <row r="55" spans="9:19">
      <c r="I55" s="36" t="s">
        <v>309</v>
      </c>
      <c r="J55" s="22">
        <v>4</v>
      </c>
      <c r="L55" s="113"/>
      <c r="N55" t="s">
        <v>310</v>
      </c>
      <c r="P55" s="12" t="s">
        <v>311</v>
      </c>
      <c r="Q55" s="12">
        <v>92854523</v>
      </c>
    </row>
    <row r="56" spans="9:19">
      <c r="I56" s="36" t="s">
        <v>312</v>
      </c>
      <c r="J56" s="16">
        <v>4</v>
      </c>
      <c r="L56" s="113"/>
      <c r="N56" t="s">
        <v>313</v>
      </c>
      <c r="P56" s="12" t="s">
        <v>134</v>
      </c>
      <c r="Q56" s="12">
        <v>92854523</v>
      </c>
    </row>
    <row r="57" spans="9:19">
      <c r="I57" s="15" t="s">
        <v>314</v>
      </c>
      <c r="J57" s="16">
        <v>4</v>
      </c>
      <c r="L57" s="113"/>
      <c r="N57" t="s">
        <v>315</v>
      </c>
      <c r="P57" s="12" t="s">
        <v>316</v>
      </c>
      <c r="Q57" s="12">
        <v>92854523</v>
      </c>
    </row>
    <row r="58" spans="9:19">
      <c r="I58" s="15" t="s">
        <v>317</v>
      </c>
      <c r="J58" s="16">
        <v>4</v>
      </c>
      <c r="L58" s="113"/>
      <c r="N58" t="s">
        <v>318</v>
      </c>
      <c r="P58" s="12" t="s">
        <v>319</v>
      </c>
      <c r="Q58" s="12">
        <v>39626397</v>
      </c>
    </row>
    <row r="59" spans="9:19">
      <c r="I59" s="15" t="s">
        <v>320</v>
      </c>
      <c r="J59" s="22">
        <v>4</v>
      </c>
      <c r="L59" s="113"/>
      <c r="N59" t="s">
        <v>321</v>
      </c>
      <c r="P59" s="12" t="s">
        <v>322</v>
      </c>
      <c r="Q59" s="12">
        <v>39626397</v>
      </c>
    </row>
    <row r="60" spans="9:19">
      <c r="I60" s="39" t="s">
        <v>323</v>
      </c>
      <c r="J60" s="38">
        <v>4</v>
      </c>
      <c r="L60" s="113"/>
      <c r="N60" t="s">
        <v>324</v>
      </c>
      <c r="P60" s="12" t="s">
        <v>139</v>
      </c>
      <c r="Q60" s="12">
        <v>39626397</v>
      </c>
    </row>
    <row r="61" spans="9:19">
      <c r="I61" s="21" t="s">
        <v>325</v>
      </c>
      <c r="J61" s="22">
        <v>5</v>
      </c>
      <c r="L61" s="113" t="s">
        <v>326</v>
      </c>
      <c r="N61" t="s">
        <v>327</v>
      </c>
      <c r="P61" s="12" t="s">
        <v>328</v>
      </c>
      <c r="Q61" s="12">
        <v>44262710</v>
      </c>
    </row>
    <row r="62" spans="9:19">
      <c r="I62" s="28" t="s">
        <v>329</v>
      </c>
      <c r="J62" s="22">
        <v>5</v>
      </c>
      <c r="L62" s="113"/>
      <c r="N62" t="s">
        <v>330</v>
      </c>
      <c r="P62" s="12" t="s">
        <v>331</v>
      </c>
      <c r="Q62" s="12">
        <v>42630155</v>
      </c>
    </row>
    <row r="63" spans="9:19">
      <c r="I63" s="15" t="s">
        <v>332</v>
      </c>
      <c r="J63" s="16">
        <v>5</v>
      </c>
      <c r="L63" s="113"/>
      <c r="N63" t="s">
        <v>333</v>
      </c>
      <c r="P63" s="12" t="s">
        <v>334</v>
      </c>
      <c r="Q63" s="12">
        <v>45066433</v>
      </c>
    </row>
    <row r="64" spans="9:19">
      <c r="I64" s="15" t="s">
        <v>335</v>
      </c>
      <c r="J64" s="16">
        <v>5</v>
      </c>
      <c r="L64" s="113"/>
      <c r="N64" t="s">
        <v>336</v>
      </c>
      <c r="P64" s="12" t="s">
        <v>337</v>
      </c>
      <c r="Q64" s="12">
        <v>45066433</v>
      </c>
    </row>
    <row r="65" spans="9:17">
      <c r="I65" s="15" t="s">
        <v>338</v>
      </c>
      <c r="J65" s="16">
        <v>5</v>
      </c>
      <c r="L65" s="113"/>
      <c r="N65" t="s">
        <v>339</v>
      </c>
      <c r="P65" s="12" t="s">
        <v>145</v>
      </c>
      <c r="Q65" s="12">
        <v>45066433</v>
      </c>
    </row>
    <row r="66" spans="9:17">
      <c r="I66" s="15" t="s">
        <v>340</v>
      </c>
      <c r="J66" s="16">
        <v>5</v>
      </c>
      <c r="L66" s="113"/>
      <c r="N66" t="s">
        <v>341</v>
      </c>
      <c r="P66" s="12" t="s">
        <v>342</v>
      </c>
      <c r="Q66" s="12">
        <v>41003725</v>
      </c>
    </row>
    <row r="67" spans="9:17">
      <c r="I67" s="15" t="s">
        <v>343</v>
      </c>
      <c r="J67" s="16">
        <v>5</v>
      </c>
      <c r="L67" s="113"/>
      <c r="N67" t="s">
        <v>344</v>
      </c>
      <c r="P67" t="s">
        <v>345</v>
      </c>
      <c r="Q67" s="12">
        <v>39664781</v>
      </c>
    </row>
    <row r="68" spans="9:17">
      <c r="I68" s="15" t="s">
        <v>346</v>
      </c>
      <c r="J68" s="16">
        <v>5</v>
      </c>
      <c r="L68" s="113"/>
      <c r="N68" t="s">
        <v>347</v>
      </c>
      <c r="P68" s="12" t="s">
        <v>348</v>
      </c>
      <c r="Q68" s="12">
        <v>39664781</v>
      </c>
    </row>
    <row r="69" spans="9:17">
      <c r="I69" s="15" t="s">
        <v>349</v>
      </c>
      <c r="J69" s="16">
        <v>5</v>
      </c>
      <c r="L69" s="113"/>
      <c r="N69" t="s">
        <v>350</v>
      </c>
      <c r="P69" s="12" t="s">
        <v>151</v>
      </c>
      <c r="Q69" s="12">
        <v>39664781</v>
      </c>
    </row>
    <row r="70" spans="9:17">
      <c r="I70" s="15" t="s">
        <v>351</v>
      </c>
      <c r="J70" s="16">
        <v>5</v>
      </c>
      <c r="L70" s="113"/>
      <c r="N70" t="s">
        <v>352</v>
      </c>
      <c r="P70" t="s">
        <v>353</v>
      </c>
      <c r="Q70" s="12">
        <v>39664781</v>
      </c>
    </row>
    <row r="71" spans="9:17">
      <c r="I71" s="15" t="s">
        <v>354</v>
      </c>
      <c r="J71" s="16">
        <v>5</v>
      </c>
      <c r="L71" s="113"/>
      <c r="N71" t="s">
        <v>355</v>
      </c>
      <c r="P71" s="12" t="s">
        <v>157</v>
      </c>
      <c r="Q71" s="12">
        <v>42881437</v>
      </c>
    </row>
    <row r="72" spans="9:17">
      <c r="I72" s="10" t="s">
        <v>356</v>
      </c>
      <c r="J72" s="11">
        <v>6</v>
      </c>
      <c r="L72" s="112" t="s">
        <v>357</v>
      </c>
      <c r="N72" t="s">
        <v>358</v>
      </c>
      <c r="P72" s="12" t="s">
        <v>359</v>
      </c>
      <c r="Q72" s="12">
        <v>23671702</v>
      </c>
    </row>
    <row r="73" spans="9:17">
      <c r="I73" s="21" t="s">
        <v>360</v>
      </c>
      <c r="J73" s="22">
        <v>6</v>
      </c>
      <c r="L73" s="113"/>
      <c r="N73" t="s">
        <v>361</v>
      </c>
      <c r="P73" s="12" t="s">
        <v>161</v>
      </c>
      <c r="Q73" s="12">
        <v>23671702</v>
      </c>
    </row>
    <row r="74" spans="9:17">
      <c r="I74" s="21" t="s">
        <v>362</v>
      </c>
      <c r="J74" s="22">
        <v>6</v>
      </c>
      <c r="L74" s="113"/>
      <c r="N74" t="s">
        <v>363</v>
      </c>
      <c r="P74" t="s">
        <v>364</v>
      </c>
      <c r="Q74">
        <v>38837371</v>
      </c>
    </row>
    <row r="75" spans="9:17">
      <c r="I75" s="40" t="s">
        <v>365</v>
      </c>
      <c r="J75" s="41">
        <v>6</v>
      </c>
      <c r="L75" s="113"/>
      <c r="N75" t="s">
        <v>366</v>
      </c>
      <c r="P75" s="12" t="s">
        <v>367</v>
      </c>
      <c r="Q75" s="12">
        <v>38277567</v>
      </c>
    </row>
    <row r="76" spans="9:17">
      <c r="I76" s="30" t="s">
        <v>368</v>
      </c>
      <c r="J76" s="31">
        <v>6</v>
      </c>
      <c r="L76" s="114"/>
      <c r="N76" t="s">
        <v>369</v>
      </c>
      <c r="P76" s="12" t="s">
        <v>165</v>
      </c>
      <c r="Q76" s="12">
        <v>38277567</v>
      </c>
    </row>
    <row r="77" spans="9:17">
      <c r="J77" s="42"/>
      <c r="N77" t="s">
        <v>370</v>
      </c>
      <c r="P77" t="s">
        <v>371</v>
      </c>
      <c r="Q77">
        <v>38837371</v>
      </c>
    </row>
    <row r="78" spans="9:17">
      <c r="J78" s="42"/>
      <c r="N78" t="s">
        <v>372</v>
      </c>
      <c r="P78" s="12" t="s">
        <v>373</v>
      </c>
      <c r="Q78" s="12">
        <v>44594776</v>
      </c>
    </row>
    <row r="79" spans="9:17">
      <c r="J79" s="42"/>
      <c r="N79" t="s">
        <v>374</v>
      </c>
      <c r="P79" s="12" t="s">
        <v>171</v>
      </c>
      <c r="Q79" s="43">
        <v>44594776</v>
      </c>
    </row>
    <row r="80" spans="9:17">
      <c r="J80" s="42"/>
      <c r="N80" t="s">
        <v>375</v>
      </c>
      <c r="P80" s="12" t="s">
        <v>376</v>
      </c>
      <c r="Q80" s="43">
        <v>44594776</v>
      </c>
    </row>
    <row r="81" spans="10:17">
      <c r="J81" s="42"/>
      <c r="N81" t="s">
        <v>377</v>
      </c>
      <c r="P81" s="12" t="s">
        <v>378</v>
      </c>
      <c r="Q81" s="12">
        <v>44594776</v>
      </c>
    </row>
    <row r="82" spans="10:17">
      <c r="J82" s="42"/>
      <c r="N82" t="s">
        <v>379</v>
      </c>
      <c r="P82" s="12" t="s">
        <v>380</v>
      </c>
      <c r="Q82" s="12">
        <v>31163513</v>
      </c>
    </row>
    <row r="83" spans="10:17">
      <c r="J83" s="42"/>
      <c r="N83" t="s">
        <v>381</v>
      </c>
      <c r="P83" s="12" t="s">
        <v>177</v>
      </c>
      <c r="Q83" s="12">
        <v>33192339</v>
      </c>
    </row>
    <row r="84" spans="10:17">
      <c r="J84" s="42"/>
      <c r="N84" t="s">
        <v>382</v>
      </c>
      <c r="P84" s="12" t="s">
        <v>383</v>
      </c>
      <c r="Q84" s="12">
        <v>33192339</v>
      </c>
    </row>
    <row r="85" spans="10:17">
      <c r="N85" t="s">
        <v>384</v>
      </c>
      <c r="P85" s="12" t="s">
        <v>182</v>
      </c>
      <c r="Q85" s="12">
        <v>13762</v>
      </c>
    </row>
    <row r="86" spans="10:17">
      <c r="N86" t="s">
        <v>385</v>
      </c>
      <c r="P86" s="12" t="s">
        <v>386</v>
      </c>
      <c r="Q86" s="12">
        <v>13762</v>
      </c>
    </row>
    <row r="87" spans="10:17">
      <c r="N87" t="s">
        <v>387</v>
      </c>
      <c r="P87" s="12" t="s">
        <v>388</v>
      </c>
      <c r="Q87" s="12">
        <v>31163513</v>
      </c>
    </row>
    <row r="88" spans="10:17">
      <c r="N88" t="s">
        <v>389</v>
      </c>
      <c r="P88" s="12" t="s">
        <v>188</v>
      </c>
      <c r="Q88" s="12">
        <v>31163513</v>
      </c>
    </row>
    <row r="89" spans="10:17">
      <c r="N89" t="s">
        <v>390</v>
      </c>
      <c r="P89" s="12" t="s">
        <v>391</v>
      </c>
      <c r="Q89" s="12">
        <v>31163513</v>
      </c>
    </row>
    <row r="90" spans="10:17">
      <c r="N90" t="s">
        <v>392</v>
      </c>
      <c r="P90" s="12" t="s">
        <v>393</v>
      </c>
      <c r="Q90" s="12">
        <v>40643676</v>
      </c>
    </row>
    <row r="91" spans="10:17">
      <c r="N91" t="s">
        <v>394</v>
      </c>
      <c r="P91" s="12" t="s">
        <v>395</v>
      </c>
      <c r="Q91" s="12">
        <v>40080049</v>
      </c>
    </row>
    <row r="92" spans="10:17">
      <c r="N92" t="s">
        <v>396</v>
      </c>
      <c r="P92" t="s">
        <v>397</v>
      </c>
      <c r="Q92" s="12">
        <v>40080049</v>
      </c>
    </row>
    <row r="93" spans="10:17">
      <c r="N93" t="s">
        <v>398</v>
      </c>
      <c r="P93" s="12" t="s">
        <v>399</v>
      </c>
      <c r="Q93" s="12">
        <v>39287771</v>
      </c>
    </row>
    <row r="94" spans="10:17">
      <c r="N94" t="s">
        <v>400</v>
      </c>
      <c r="P94" s="12" t="s">
        <v>401</v>
      </c>
      <c r="Q94" s="12">
        <v>40080049</v>
      </c>
    </row>
    <row r="95" spans="10:17">
      <c r="N95" t="s">
        <v>402</v>
      </c>
      <c r="P95" t="s">
        <v>403</v>
      </c>
      <c r="Q95" s="12">
        <v>40080049</v>
      </c>
    </row>
    <row r="96" spans="10:17">
      <c r="N96" t="s">
        <v>404</v>
      </c>
      <c r="P96" s="12" t="s">
        <v>194</v>
      </c>
      <c r="Q96" s="12">
        <v>40080049</v>
      </c>
    </row>
    <row r="97" spans="14:17">
      <c r="N97" t="s">
        <v>405</v>
      </c>
      <c r="P97" s="12" t="s">
        <v>406</v>
      </c>
      <c r="Q97" s="12">
        <v>40080049</v>
      </c>
    </row>
    <row r="98" spans="14:17">
      <c r="N98" t="s">
        <v>407</v>
      </c>
      <c r="P98" t="s">
        <v>408</v>
      </c>
      <c r="Q98">
        <v>17319309</v>
      </c>
    </row>
    <row r="99" spans="14:17">
      <c r="N99" t="s">
        <v>409</v>
      </c>
      <c r="P99" t="s">
        <v>410</v>
      </c>
      <c r="Q99">
        <v>17319309</v>
      </c>
    </row>
    <row r="100" spans="14:17">
      <c r="N100" t="s">
        <v>411</v>
      </c>
      <c r="P100" t="s">
        <v>412</v>
      </c>
      <c r="Q100">
        <v>17319309</v>
      </c>
    </row>
    <row r="101" spans="14:17">
      <c r="N101" t="s">
        <v>413</v>
      </c>
      <c r="P101" t="s">
        <v>414</v>
      </c>
      <c r="Q101">
        <v>17319309</v>
      </c>
    </row>
    <row r="102" spans="14:17">
      <c r="N102" t="s">
        <v>415</v>
      </c>
      <c r="P102" t="s">
        <v>416</v>
      </c>
      <c r="Q102">
        <v>21474952</v>
      </c>
    </row>
    <row r="103" spans="14:17">
      <c r="N103" t="s">
        <v>417</v>
      </c>
      <c r="P103" s="12" t="s">
        <v>198</v>
      </c>
      <c r="Q103" s="12">
        <v>34298</v>
      </c>
    </row>
    <row r="104" spans="14:17">
      <c r="N104" t="s">
        <v>418</v>
      </c>
      <c r="P104" s="12" t="s">
        <v>419</v>
      </c>
      <c r="Q104" s="12">
        <v>34298</v>
      </c>
    </row>
    <row r="105" spans="14:17">
      <c r="N105" t="s">
        <v>420</v>
      </c>
      <c r="P105" t="s">
        <v>421</v>
      </c>
      <c r="Q105">
        <v>21474952</v>
      </c>
    </row>
    <row r="106" spans="14:17">
      <c r="N106" t="s">
        <v>422</v>
      </c>
      <c r="P106" t="s">
        <v>423</v>
      </c>
      <c r="Q106">
        <v>21474952</v>
      </c>
    </row>
    <row r="107" spans="14:17">
      <c r="N107" t="s">
        <v>424</v>
      </c>
      <c r="P107" s="12" t="s">
        <v>203</v>
      </c>
      <c r="Q107" s="12">
        <v>46004877</v>
      </c>
    </row>
    <row r="108" spans="14:17">
      <c r="N108" t="s">
        <v>425</v>
      </c>
      <c r="P108" s="12" t="s">
        <v>426</v>
      </c>
      <c r="Q108" s="12">
        <v>40951163</v>
      </c>
    </row>
    <row r="109" spans="14:17">
      <c r="N109" t="s">
        <v>427</v>
      </c>
      <c r="P109" t="s">
        <v>428</v>
      </c>
      <c r="Q109" s="12">
        <v>42662009</v>
      </c>
    </row>
    <row r="110" spans="14:17">
      <c r="N110" t="s">
        <v>429</v>
      </c>
      <c r="P110" s="12" t="s">
        <v>430</v>
      </c>
      <c r="Q110" s="12">
        <v>12598</v>
      </c>
    </row>
    <row r="111" spans="14:17">
      <c r="N111" t="s">
        <v>431</v>
      </c>
      <c r="P111" s="12" t="s">
        <v>209</v>
      </c>
      <c r="Q111" s="12">
        <v>12598</v>
      </c>
    </row>
    <row r="112" spans="14:17">
      <c r="N112" t="s">
        <v>432</v>
      </c>
      <c r="P112" s="12" t="s">
        <v>433</v>
      </c>
      <c r="Q112" s="12">
        <v>39626397</v>
      </c>
    </row>
    <row r="113" spans="14:17">
      <c r="N113" t="s">
        <v>434</v>
      </c>
      <c r="P113" s="12" t="s">
        <v>213</v>
      </c>
      <c r="Q113" s="12">
        <v>17500576</v>
      </c>
    </row>
    <row r="114" spans="14:17">
      <c r="N114" t="s">
        <v>435</v>
      </c>
      <c r="P114" s="12" t="s">
        <v>436</v>
      </c>
      <c r="Q114" s="12">
        <v>41009026</v>
      </c>
    </row>
    <row r="115" spans="14:17">
      <c r="N115" t="s">
        <v>437</v>
      </c>
      <c r="P115" s="12" t="s">
        <v>438</v>
      </c>
      <c r="Q115" s="12">
        <v>44259552</v>
      </c>
    </row>
    <row r="116" spans="14:17">
      <c r="N116" t="s">
        <v>439</v>
      </c>
      <c r="P116" s="12" t="s">
        <v>440</v>
      </c>
      <c r="Q116" s="12">
        <v>44259552</v>
      </c>
    </row>
    <row r="117" spans="14:17">
      <c r="N117" t="s">
        <v>441</v>
      </c>
      <c r="P117" s="12" t="s">
        <v>218</v>
      </c>
      <c r="Q117" s="12">
        <v>44259552</v>
      </c>
    </row>
    <row r="118" spans="14:17">
      <c r="N118" t="s">
        <v>442</v>
      </c>
      <c r="P118" s="12" t="s">
        <v>443</v>
      </c>
      <c r="Q118" s="12">
        <v>44259552</v>
      </c>
    </row>
    <row r="119" spans="14:17">
      <c r="N119" t="s">
        <v>444</v>
      </c>
      <c r="P119" s="12" t="s">
        <v>445</v>
      </c>
      <c r="Q119" s="12">
        <v>12311</v>
      </c>
    </row>
    <row r="120" spans="14:17">
      <c r="N120" t="s">
        <v>446</v>
      </c>
      <c r="P120" s="12" t="s">
        <v>222</v>
      </c>
      <c r="Q120" s="12">
        <v>12311</v>
      </c>
    </row>
    <row r="121" spans="14:17">
      <c r="N121" t="s">
        <v>447</v>
      </c>
      <c r="P121" s="12" t="s">
        <v>448</v>
      </c>
      <c r="Q121" s="12">
        <v>45428311</v>
      </c>
    </row>
    <row r="122" spans="14:17">
      <c r="N122" t="s">
        <v>449</v>
      </c>
      <c r="P122" s="12" t="s">
        <v>226</v>
      </c>
      <c r="Q122" s="12">
        <v>45428311</v>
      </c>
    </row>
    <row r="123" spans="14:17">
      <c r="N123" t="s">
        <v>450</v>
      </c>
      <c r="P123" s="12" t="s">
        <v>451</v>
      </c>
      <c r="Q123" s="12">
        <v>45428311</v>
      </c>
    </row>
    <row r="124" spans="14:17">
      <c r="N124" t="s">
        <v>452</v>
      </c>
      <c r="P124" s="12" t="s">
        <v>453</v>
      </c>
      <c r="Q124" s="12">
        <v>12948</v>
      </c>
    </row>
    <row r="125" spans="14:17">
      <c r="N125" t="s">
        <v>454</v>
      </c>
      <c r="P125" s="12" t="s">
        <v>455</v>
      </c>
      <c r="Q125" s="12">
        <v>17230</v>
      </c>
    </row>
    <row r="126" spans="14:17">
      <c r="N126" t="s">
        <v>456</v>
      </c>
      <c r="P126" s="12" t="s">
        <v>231</v>
      </c>
      <c r="Q126" s="12">
        <v>17230</v>
      </c>
    </row>
    <row r="127" spans="14:17">
      <c r="N127" t="s">
        <v>457</v>
      </c>
      <c r="P127" s="12" t="s">
        <v>458</v>
      </c>
      <c r="Q127" s="12">
        <v>47649513</v>
      </c>
    </row>
    <row r="128" spans="14:17">
      <c r="N128" t="s">
        <v>459</v>
      </c>
      <c r="P128" s="12" t="s">
        <v>460</v>
      </c>
      <c r="Q128" s="12">
        <v>47649513</v>
      </c>
    </row>
    <row r="129" spans="14:17">
      <c r="N129" t="s">
        <v>461</v>
      </c>
      <c r="P129" s="12" t="s">
        <v>462</v>
      </c>
      <c r="Q129" s="12">
        <v>47649513</v>
      </c>
    </row>
    <row r="130" spans="14:17">
      <c r="N130" t="s">
        <v>463</v>
      </c>
      <c r="P130" s="12" t="s">
        <v>464</v>
      </c>
      <c r="Q130" s="12">
        <v>47649513</v>
      </c>
    </row>
    <row r="131" spans="14:17">
      <c r="N131" t="s">
        <v>465</v>
      </c>
      <c r="P131" s="12" t="s">
        <v>466</v>
      </c>
      <c r="Q131" s="12">
        <v>25500526</v>
      </c>
    </row>
    <row r="132" spans="14:17">
      <c r="N132" t="s">
        <v>467</v>
      </c>
      <c r="P132" s="12" t="s">
        <v>468</v>
      </c>
      <c r="Q132" s="12">
        <v>25500526</v>
      </c>
    </row>
    <row r="133" spans="14:17">
      <c r="N133" t="s">
        <v>469</v>
      </c>
      <c r="P133" s="12" t="s">
        <v>470</v>
      </c>
      <c r="Q133" s="12">
        <v>25500526</v>
      </c>
    </row>
    <row r="134" spans="14:17">
      <c r="N134" t="s">
        <v>471</v>
      </c>
      <c r="P134" s="12" t="s">
        <v>237</v>
      </c>
      <c r="Q134" s="12">
        <v>25500526</v>
      </c>
    </row>
    <row r="135" spans="14:17">
      <c r="N135" t="s">
        <v>472</v>
      </c>
      <c r="P135" t="s">
        <v>473</v>
      </c>
      <c r="Q135">
        <v>23782468</v>
      </c>
    </row>
    <row r="136" spans="14:17">
      <c r="N136" t="s">
        <v>474</v>
      </c>
      <c r="P136" s="12" t="s">
        <v>475</v>
      </c>
      <c r="Q136" s="12">
        <v>46018353</v>
      </c>
    </row>
    <row r="137" spans="14:17">
      <c r="N137" t="s">
        <v>476</v>
      </c>
      <c r="P137" s="12" t="s">
        <v>477</v>
      </c>
      <c r="Q137" s="12">
        <v>46018353</v>
      </c>
    </row>
    <row r="138" spans="14:17">
      <c r="N138" t="s">
        <v>478</v>
      </c>
      <c r="P138" t="s">
        <v>479</v>
      </c>
      <c r="Q138">
        <v>23782468</v>
      </c>
    </row>
    <row r="139" spans="14:17">
      <c r="N139" t="s">
        <v>480</v>
      </c>
      <c r="P139" t="s">
        <v>481</v>
      </c>
      <c r="Q139" s="12">
        <v>40012530</v>
      </c>
    </row>
    <row r="140" spans="14:17">
      <c r="N140" t="s">
        <v>482</v>
      </c>
      <c r="P140" t="s">
        <v>483</v>
      </c>
      <c r="Q140">
        <v>40012530</v>
      </c>
    </row>
    <row r="141" spans="14:17">
      <c r="N141" t="s">
        <v>484</v>
      </c>
      <c r="P141" s="12" t="s">
        <v>485</v>
      </c>
      <c r="Q141" s="12">
        <v>40012530</v>
      </c>
    </row>
    <row r="142" spans="14:17">
      <c r="N142" t="s">
        <v>486</v>
      </c>
      <c r="P142" s="12" t="s">
        <v>487</v>
      </c>
      <c r="Q142" s="12">
        <v>40012530</v>
      </c>
    </row>
    <row r="143" spans="14:17">
      <c r="N143" t="s">
        <v>488</v>
      </c>
      <c r="P143" s="12" t="s">
        <v>489</v>
      </c>
      <c r="Q143" s="12">
        <v>44687057</v>
      </c>
    </row>
    <row r="144" spans="14:17">
      <c r="N144" t="s">
        <v>490</v>
      </c>
      <c r="P144" t="s">
        <v>491</v>
      </c>
      <c r="Q144">
        <v>39654955</v>
      </c>
    </row>
    <row r="145" spans="14:17">
      <c r="N145" t="s">
        <v>492</v>
      </c>
      <c r="P145" t="s">
        <v>493</v>
      </c>
      <c r="Q145">
        <v>39654955</v>
      </c>
    </row>
    <row r="146" spans="14:17">
      <c r="N146" t="s">
        <v>494</v>
      </c>
      <c r="P146" t="s">
        <v>495</v>
      </c>
      <c r="Q146">
        <v>39654955</v>
      </c>
    </row>
    <row r="147" spans="14:17">
      <c r="N147" t="s">
        <v>496</v>
      </c>
      <c r="P147" t="s">
        <v>497</v>
      </c>
      <c r="Q147">
        <v>39654955</v>
      </c>
    </row>
    <row r="148" spans="14:17">
      <c r="N148" t="s">
        <v>498</v>
      </c>
      <c r="P148" t="s">
        <v>499</v>
      </c>
      <c r="Q148">
        <v>26667211</v>
      </c>
    </row>
    <row r="149" spans="14:17">
      <c r="N149" t="s">
        <v>500</v>
      </c>
      <c r="P149" t="s">
        <v>501</v>
      </c>
      <c r="Q149">
        <v>26667211</v>
      </c>
    </row>
    <row r="150" spans="14:17">
      <c r="N150" t="s">
        <v>502</v>
      </c>
      <c r="P150" t="s">
        <v>503</v>
      </c>
      <c r="Q150">
        <v>45077746</v>
      </c>
    </row>
    <row r="151" spans="14:17">
      <c r="N151" t="s">
        <v>504</v>
      </c>
      <c r="P151" t="s">
        <v>505</v>
      </c>
      <c r="Q151">
        <v>45077746</v>
      </c>
    </row>
    <row r="152" spans="14:17">
      <c r="N152" t="s">
        <v>506</v>
      </c>
      <c r="P152" t="s">
        <v>507</v>
      </c>
      <c r="Q152">
        <v>42373340</v>
      </c>
    </row>
    <row r="153" spans="14:17">
      <c r="N153" t="s">
        <v>508</v>
      </c>
      <c r="P153" t="s">
        <v>509</v>
      </c>
      <c r="Q153">
        <v>42373340</v>
      </c>
    </row>
    <row r="154" spans="14:17">
      <c r="N154" t="s">
        <v>510</v>
      </c>
      <c r="P154" t="s">
        <v>511</v>
      </c>
      <c r="Q154">
        <v>42373340</v>
      </c>
    </row>
    <row r="155" spans="14:17">
      <c r="N155" t="s">
        <v>512</v>
      </c>
      <c r="P155" s="12" t="s">
        <v>513</v>
      </c>
      <c r="Q155" s="12">
        <v>13782</v>
      </c>
    </row>
    <row r="156" spans="14:17">
      <c r="N156" t="s">
        <v>514</v>
      </c>
      <c r="P156" s="12" t="s">
        <v>515</v>
      </c>
      <c r="Q156" s="12">
        <v>38635499</v>
      </c>
    </row>
    <row r="157" spans="14:17">
      <c r="N157" t="s">
        <v>516</v>
      </c>
      <c r="P157" s="12" t="s">
        <v>241</v>
      </c>
      <c r="Q157" s="12">
        <v>38635499</v>
      </c>
    </row>
    <row r="158" spans="14:17">
      <c r="N158" t="s">
        <v>517</v>
      </c>
      <c r="P158" s="12" t="s">
        <v>518</v>
      </c>
      <c r="Q158" s="12">
        <v>38635499</v>
      </c>
    </row>
    <row r="159" spans="14:17">
      <c r="N159" t="s">
        <v>519</v>
      </c>
      <c r="P159" s="12" t="s">
        <v>520</v>
      </c>
      <c r="Q159" s="12">
        <v>38635499</v>
      </c>
    </row>
    <row r="160" spans="14:17">
      <c r="N160" t="s">
        <v>521</v>
      </c>
      <c r="P160" s="12" t="s">
        <v>522</v>
      </c>
      <c r="Q160" s="12" t="s">
        <v>523</v>
      </c>
    </row>
    <row r="161" spans="14:17">
      <c r="N161" t="s">
        <v>524</v>
      </c>
      <c r="P161" s="12" t="s">
        <v>525</v>
      </c>
      <c r="Q161" s="12">
        <v>45990029</v>
      </c>
    </row>
    <row r="162" spans="14:17">
      <c r="N162" t="s">
        <v>526</v>
      </c>
      <c r="P162" s="12" t="s">
        <v>527</v>
      </c>
      <c r="Q162" s="12">
        <v>45990029</v>
      </c>
    </row>
    <row r="163" spans="14:17">
      <c r="N163" t="s">
        <v>528</v>
      </c>
      <c r="P163" s="12" t="s">
        <v>529</v>
      </c>
      <c r="Q163" s="12">
        <v>12293</v>
      </c>
    </row>
    <row r="164" spans="14:17">
      <c r="N164" t="s">
        <v>530</v>
      </c>
      <c r="P164" s="12" t="s">
        <v>531</v>
      </c>
      <c r="Q164" s="12">
        <v>33876893</v>
      </c>
    </row>
    <row r="165" spans="14:17">
      <c r="N165" t="s">
        <v>532</v>
      </c>
      <c r="P165" s="12" t="s">
        <v>246</v>
      </c>
      <c r="Q165" s="12">
        <v>45990029</v>
      </c>
    </row>
    <row r="166" spans="14:17">
      <c r="N166" t="s">
        <v>533</v>
      </c>
      <c r="P166" s="12" t="s">
        <v>534</v>
      </c>
      <c r="Q166" s="12">
        <v>45990029</v>
      </c>
    </row>
    <row r="167" spans="14:17">
      <c r="N167" t="s">
        <v>535</v>
      </c>
      <c r="P167" t="s">
        <v>536</v>
      </c>
      <c r="Q167">
        <v>18880507</v>
      </c>
    </row>
    <row r="168" spans="14:17">
      <c r="N168" t="s">
        <v>537</v>
      </c>
      <c r="P168" t="s">
        <v>538</v>
      </c>
      <c r="Q168">
        <v>18880507</v>
      </c>
    </row>
    <row r="169" spans="14:17">
      <c r="N169" t="s">
        <v>539</v>
      </c>
      <c r="P169" s="12" t="s">
        <v>540</v>
      </c>
      <c r="Q169" s="12">
        <v>42149348</v>
      </c>
    </row>
    <row r="170" spans="14:17">
      <c r="N170" t="s">
        <v>541</v>
      </c>
      <c r="P170" s="12" t="s">
        <v>542</v>
      </c>
      <c r="Q170" s="12">
        <v>34488</v>
      </c>
    </row>
    <row r="171" spans="14:17">
      <c r="N171" t="s">
        <v>543</v>
      </c>
      <c r="P171" s="12" t="s">
        <v>544</v>
      </c>
      <c r="Q171" s="12">
        <v>34488</v>
      </c>
    </row>
    <row r="172" spans="14:17">
      <c r="N172" t="s">
        <v>545</v>
      </c>
      <c r="P172" s="12" t="s">
        <v>546</v>
      </c>
      <c r="Q172" s="12">
        <v>12275</v>
      </c>
    </row>
    <row r="173" spans="14:17">
      <c r="N173" t="s">
        <v>547</v>
      </c>
      <c r="P173" s="12" t="s">
        <v>548</v>
      </c>
      <c r="Q173" s="12">
        <v>39642290</v>
      </c>
    </row>
    <row r="174" spans="14:17">
      <c r="N174" t="s">
        <v>549</v>
      </c>
      <c r="P174" s="12" t="s">
        <v>550</v>
      </c>
      <c r="Q174" s="12">
        <v>92964548</v>
      </c>
    </row>
    <row r="175" spans="14:17">
      <c r="N175" t="s">
        <v>551</v>
      </c>
      <c r="P175" t="s">
        <v>552</v>
      </c>
      <c r="Q175" s="12">
        <v>13769</v>
      </c>
    </row>
    <row r="176" spans="14:17">
      <c r="N176" t="s">
        <v>553</v>
      </c>
      <c r="P176" t="s">
        <v>554</v>
      </c>
      <c r="Q176" s="12">
        <v>13769</v>
      </c>
    </row>
    <row r="177" spans="14:17">
      <c r="N177" t="s">
        <v>555</v>
      </c>
      <c r="P177" s="12" t="s">
        <v>556</v>
      </c>
      <c r="Q177" s="12">
        <v>42148401</v>
      </c>
    </row>
    <row r="178" spans="14:17">
      <c r="N178" t="s">
        <v>557</v>
      </c>
      <c r="P178" s="12" t="s">
        <v>249</v>
      </c>
      <c r="Q178" s="12">
        <v>13769</v>
      </c>
    </row>
    <row r="179" spans="14:17">
      <c r="N179" t="s">
        <v>558</v>
      </c>
      <c r="P179" t="s">
        <v>559</v>
      </c>
      <c r="Q179" s="12">
        <v>13769</v>
      </c>
    </row>
    <row r="180" spans="14:17">
      <c r="N180" t="s">
        <v>560</v>
      </c>
      <c r="P180" s="12" t="s">
        <v>253</v>
      </c>
      <c r="Q180" s="12">
        <v>42148401</v>
      </c>
    </row>
    <row r="181" spans="14:17">
      <c r="N181" t="s">
        <v>561</v>
      </c>
      <c r="P181" t="s">
        <v>562</v>
      </c>
      <c r="Q181" s="12">
        <v>13769</v>
      </c>
    </row>
    <row r="182" spans="14:17">
      <c r="N182" t="s">
        <v>563</v>
      </c>
      <c r="P182" t="s">
        <v>564</v>
      </c>
      <c r="Q182" s="12">
        <v>13769</v>
      </c>
    </row>
    <row r="183" spans="14:17">
      <c r="N183" t="s">
        <v>565</v>
      </c>
      <c r="P183" s="12" t="s">
        <v>566</v>
      </c>
      <c r="Q183" s="12">
        <v>41549792</v>
      </c>
    </row>
    <row r="184" spans="14:17">
      <c r="N184" t="s">
        <v>567</v>
      </c>
      <c r="P184" s="12" t="s">
        <v>568</v>
      </c>
      <c r="Q184" s="12">
        <v>45147451</v>
      </c>
    </row>
    <row r="185" spans="14:17">
      <c r="N185" t="s">
        <v>569</v>
      </c>
      <c r="P185" s="12" t="s">
        <v>258</v>
      </c>
      <c r="Q185" s="12">
        <v>42630793</v>
      </c>
    </row>
    <row r="186" spans="14:17">
      <c r="N186" t="s">
        <v>570</v>
      </c>
      <c r="P186" s="12" t="s">
        <v>571</v>
      </c>
      <c r="Q186" s="12">
        <v>42630793</v>
      </c>
    </row>
    <row r="187" spans="14:17">
      <c r="N187" t="s">
        <v>572</v>
      </c>
      <c r="P187" t="s">
        <v>573</v>
      </c>
      <c r="Q187">
        <v>25594921</v>
      </c>
    </row>
    <row r="188" spans="14:17">
      <c r="N188" t="s">
        <v>574</v>
      </c>
      <c r="P188" t="s">
        <v>575</v>
      </c>
      <c r="Q188">
        <v>25594921</v>
      </c>
    </row>
    <row r="189" spans="14:17">
      <c r="N189" t="s">
        <v>576</v>
      </c>
      <c r="P189" t="s">
        <v>577</v>
      </c>
      <c r="Q189">
        <v>25594921</v>
      </c>
    </row>
    <row r="190" spans="14:17">
      <c r="N190" t="s">
        <v>578</v>
      </c>
      <c r="P190" t="s">
        <v>579</v>
      </c>
      <c r="Q190">
        <v>25594921</v>
      </c>
    </row>
    <row r="191" spans="14:17">
      <c r="N191" t="s">
        <v>580</v>
      </c>
      <c r="P191" s="12" t="s">
        <v>262</v>
      </c>
      <c r="Q191" s="12">
        <v>13761</v>
      </c>
    </row>
    <row r="192" spans="14:17">
      <c r="N192" t="s">
        <v>581</v>
      </c>
      <c r="P192" t="s">
        <v>582</v>
      </c>
      <c r="Q192" s="12">
        <v>13761</v>
      </c>
    </row>
    <row r="193" spans="14:17">
      <c r="N193" t="s">
        <v>583</v>
      </c>
      <c r="P193" s="12" t="s">
        <v>267</v>
      </c>
      <c r="Q193" s="12">
        <v>45868439</v>
      </c>
    </row>
    <row r="194" spans="14:17">
      <c r="N194" t="s">
        <v>584</v>
      </c>
      <c r="P194" s="12" t="s">
        <v>585</v>
      </c>
      <c r="Q194" s="12">
        <v>33658</v>
      </c>
    </row>
    <row r="195" spans="14:17">
      <c r="N195" t="s">
        <v>586</v>
      </c>
      <c r="P195" s="12" t="s">
        <v>271</v>
      </c>
      <c r="Q195" s="12">
        <v>33658</v>
      </c>
    </row>
    <row r="196" spans="14:17">
      <c r="N196" t="s">
        <v>587</v>
      </c>
      <c r="P196" s="12" t="s">
        <v>275</v>
      </c>
      <c r="Q196" s="12">
        <v>20351386</v>
      </c>
    </row>
    <row r="197" spans="14:17">
      <c r="N197" t="s">
        <v>588</v>
      </c>
      <c r="P197" s="12" t="s">
        <v>279</v>
      </c>
      <c r="Q197" s="12">
        <v>37242355</v>
      </c>
    </row>
    <row r="198" spans="14:17">
      <c r="N198" t="s">
        <v>589</v>
      </c>
      <c r="P198" t="s">
        <v>590</v>
      </c>
      <c r="Q198">
        <v>39817743</v>
      </c>
    </row>
    <row r="199" spans="14:17">
      <c r="N199" t="s">
        <v>591</v>
      </c>
      <c r="P199" s="12" t="s">
        <v>592</v>
      </c>
      <c r="Q199" s="12">
        <v>42479741</v>
      </c>
    </row>
    <row r="200" spans="14:17">
      <c r="N200" t="s">
        <v>593</v>
      </c>
      <c r="P200" s="12" t="s">
        <v>594</v>
      </c>
      <c r="Q200" s="12">
        <v>40883284</v>
      </c>
    </row>
    <row r="201" spans="14:17">
      <c r="N201" t="s">
        <v>595</v>
      </c>
      <c r="P201" s="12" t="s">
        <v>283</v>
      </c>
      <c r="Q201" s="12">
        <v>40883284</v>
      </c>
    </row>
    <row r="202" spans="14:17">
      <c r="N202" t="s">
        <v>596</v>
      </c>
      <c r="P202" s="12" t="s">
        <v>597</v>
      </c>
      <c r="Q202" s="12">
        <v>13809</v>
      </c>
    </row>
    <row r="203" spans="14:17">
      <c r="N203" t="s">
        <v>598</v>
      </c>
      <c r="P203" t="s">
        <v>599</v>
      </c>
      <c r="Q203">
        <v>13809</v>
      </c>
    </row>
    <row r="204" spans="14:17">
      <c r="N204" t="s">
        <v>600</v>
      </c>
      <c r="P204" s="12" t="s">
        <v>288</v>
      </c>
      <c r="Q204" s="12">
        <v>13809</v>
      </c>
    </row>
    <row r="205" spans="14:17">
      <c r="N205" t="s">
        <v>601</v>
      </c>
      <c r="P205" s="12" t="s">
        <v>602</v>
      </c>
      <c r="Q205" s="12">
        <v>13809</v>
      </c>
    </row>
    <row r="206" spans="14:17">
      <c r="N206" t="s">
        <v>603</v>
      </c>
      <c r="P206" s="12" t="s">
        <v>604</v>
      </c>
      <c r="Q206" s="12">
        <v>37242355</v>
      </c>
    </row>
    <row r="207" spans="14:17">
      <c r="N207" t="s">
        <v>605</v>
      </c>
      <c r="P207" s="12" t="s">
        <v>290</v>
      </c>
      <c r="Q207" s="12">
        <v>45147451</v>
      </c>
    </row>
    <row r="208" spans="14:17">
      <c r="N208" t="s">
        <v>606</v>
      </c>
      <c r="P208" s="12" t="s">
        <v>607</v>
      </c>
      <c r="Q208" s="12">
        <v>45147451</v>
      </c>
    </row>
    <row r="209" spans="14:17">
      <c r="N209" t="s">
        <v>608</v>
      </c>
      <c r="P209" s="12" t="s">
        <v>293</v>
      </c>
      <c r="Q209" s="12">
        <v>41170576</v>
      </c>
    </row>
    <row r="210" spans="14:17">
      <c r="N210" t="s">
        <v>609</v>
      </c>
      <c r="P210" t="s">
        <v>610</v>
      </c>
      <c r="Q210">
        <v>40240445</v>
      </c>
    </row>
    <row r="211" spans="14:17">
      <c r="N211" t="s">
        <v>611</v>
      </c>
      <c r="P211" t="s">
        <v>612</v>
      </c>
      <c r="Q211">
        <v>40240445</v>
      </c>
    </row>
    <row r="212" spans="14:17">
      <c r="N212" t="s">
        <v>613</v>
      </c>
      <c r="P212" s="12" t="s">
        <v>614</v>
      </c>
      <c r="Q212" s="12">
        <v>36279326</v>
      </c>
    </row>
    <row r="213" spans="14:17">
      <c r="N213" t="s">
        <v>615</v>
      </c>
      <c r="P213" s="12" t="s">
        <v>616</v>
      </c>
      <c r="Q213" s="12">
        <v>40080049</v>
      </c>
    </row>
    <row r="214" spans="14:17">
      <c r="N214" t="s">
        <v>617</v>
      </c>
      <c r="P214" s="12" t="s">
        <v>618</v>
      </c>
      <c r="Q214" s="12">
        <v>38919576</v>
      </c>
    </row>
    <row r="215" spans="14:17">
      <c r="N215" t="s">
        <v>619</v>
      </c>
      <c r="P215" t="s">
        <v>620</v>
      </c>
      <c r="Q215">
        <v>38919576</v>
      </c>
    </row>
    <row r="216" spans="14:17">
      <c r="N216" t="s">
        <v>621</v>
      </c>
      <c r="P216" t="s">
        <v>622</v>
      </c>
      <c r="Q216" s="12">
        <v>38919576</v>
      </c>
    </row>
    <row r="217" spans="14:17">
      <c r="N217" t="s">
        <v>623</v>
      </c>
      <c r="P217" s="12" t="s">
        <v>296</v>
      </c>
      <c r="Q217" s="12">
        <v>38919576</v>
      </c>
    </row>
    <row r="218" spans="14:17">
      <c r="N218" t="s">
        <v>624</v>
      </c>
      <c r="P218" t="s">
        <v>625</v>
      </c>
      <c r="Q218">
        <v>34949458</v>
      </c>
    </row>
    <row r="219" spans="14:17">
      <c r="N219" t="s">
        <v>626</v>
      </c>
      <c r="P219" t="s">
        <v>627</v>
      </c>
      <c r="Q219">
        <v>34949458</v>
      </c>
    </row>
    <row r="220" spans="14:17">
      <c r="N220" t="s">
        <v>628</v>
      </c>
      <c r="P220" s="12" t="s">
        <v>298</v>
      </c>
      <c r="Q220" s="12">
        <v>39339538</v>
      </c>
    </row>
    <row r="221" spans="14:17">
      <c r="N221" t="s">
        <v>629</v>
      </c>
      <c r="P221" s="12" t="s">
        <v>630</v>
      </c>
      <c r="Q221" s="12">
        <v>39339538</v>
      </c>
    </row>
    <row r="222" spans="14:17">
      <c r="N222" t="s">
        <v>631</v>
      </c>
      <c r="P222" s="12" t="s">
        <v>632</v>
      </c>
      <c r="Q222" s="12">
        <v>29124328</v>
      </c>
    </row>
    <row r="223" spans="14:17">
      <c r="N223" t="s">
        <v>633</v>
      </c>
      <c r="P223" s="12" t="s">
        <v>634</v>
      </c>
      <c r="Q223" s="12">
        <v>42588018</v>
      </c>
    </row>
    <row r="224" spans="14:17">
      <c r="N224" t="s">
        <v>635</v>
      </c>
      <c r="P224" s="12" t="s">
        <v>301</v>
      </c>
      <c r="Q224" s="12">
        <v>42588018</v>
      </c>
    </row>
    <row r="225" spans="14:17">
      <c r="N225" t="s">
        <v>636</v>
      </c>
      <c r="P225" s="12" t="s">
        <v>637</v>
      </c>
      <c r="Q225" s="12">
        <v>40010214</v>
      </c>
    </row>
    <row r="226" spans="14:17">
      <c r="N226" t="s">
        <v>638</v>
      </c>
      <c r="P226" s="12" t="s">
        <v>304</v>
      </c>
      <c r="Q226" s="12">
        <v>41395501</v>
      </c>
    </row>
    <row r="227" spans="14:17">
      <c r="N227" t="s">
        <v>639</v>
      </c>
      <c r="P227" s="12" t="s">
        <v>640</v>
      </c>
      <c r="Q227" s="12">
        <v>41395501</v>
      </c>
    </row>
    <row r="228" spans="14:17">
      <c r="N228" t="s">
        <v>641</v>
      </c>
      <c r="P228" s="12" t="s">
        <v>642</v>
      </c>
      <c r="Q228" s="12">
        <v>28347023</v>
      </c>
    </row>
    <row r="229" spans="14:17">
      <c r="N229" t="s">
        <v>643</v>
      </c>
      <c r="P229" t="s">
        <v>644</v>
      </c>
      <c r="Q229">
        <v>34949458</v>
      </c>
    </row>
    <row r="230" spans="14:17">
      <c r="N230" t="s">
        <v>645</v>
      </c>
      <c r="P230" t="s">
        <v>646</v>
      </c>
      <c r="Q230">
        <v>34949458</v>
      </c>
    </row>
    <row r="231" spans="14:17">
      <c r="N231" t="s">
        <v>647</v>
      </c>
      <c r="P231" s="12" t="s">
        <v>307</v>
      </c>
      <c r="Q231" s="12">
        <v>33679</v>
      </c>
    </row>
    <row r="232" spans="14:17">
      <c r="N232" t="s">
        <v>648</v>
      </c>
      <c r="P232" s="12" t="s">
        <v>649</v>
      </c>
      <c r="Q232" s="12">
        <v>92902672</v>
      </c>
    </row>
    <row r="233" spans="14:17">
      <c r="N233" t="s">
        <v>650</v>
      </c>
      <c r="P233" s="12" t="s">
        <v>651</v>
      </c>
      <c r="Q233" s="12">
        <v>92902672</v>
      </c>
    </row>
    <row r="234" spans="14:17">
      <c r="N234" t="s">
        <v>652</v>
      </c>
      <c r="P234" s="12" t="s">
        <v>653</v>
      </c>
      <c r="Q234" s="12">
        <v>92902672</v>
      </c>
    </row>
    <row r="235" spans="14:17">
      <c r="N235" t="s">
        <v>654</v>
      </c>
      <c r="P235" t="s">
        <v>655</v>
      </c>
      <c r="Q235" s="12">
        <v>92902672</v>
      </c>
    </row>
    <row r="236" spans="14:17">
      <c r="N236" t="s">
        <v>656</v>
      </c>
      <c r="P236" t="s">
        <v>657</v>
      </c>
      <c r="Q236" s="12">
        <v>92902672</v>
      </c>
    </row>
    <row r="237" spans="14:17">
      <c r="N237" t="s">
        <v>658</v>
      </c>
      <c r="P237" s="12" t="s">
        <v>659</v>
      </c>
      <c r="Q237" s="12">
        <v>30990</v>
      </c>
    </row>
    <row r="238" spans="14:17">
      <c r="N238" t="s">
        <v>660</v>
      </c>
      <c r="P238" s="12" t="s">
        <v>661</v>
      </c>
      <c r="Q238" s="12">
        <v>43091973</v>
      </c>
    </row>
    <row r="239" spans="14:17">
      <c r="N239" t="s">
        <v>662</v>
      </c>
      <c r="P239" s="12" t="s">
        <v>663</v>
      </c>
      <c r="Q239" s="12">
        <v>11674</v>
      </c>
    </row>
    <row r="240" spans="14:17">
      <c r="N240" t="s">
        <v>664</v>
      </c>
      <c r="P240" s="12" t="s">
        <v>310</v>
      </c>
      <c r="Q240" s="12">
        <v>43091973</v>
      </c>
    </row>
    <row r="241" spans="14:17">
      <c r="N241" t="s">
        <v>665</v>
      </c>
      <c r="P241" s="12" t="s">
        <v>313</v>
      </c>
      <c r="Q241" s="12">
        <v>11674</v>
      </c>
    </row>
    <row r="242" spans="14:17">
      <c r="N242" t="s">
        <v>666</v>
      </c>
      <c r="P242" t="s">
        <v>667</v>
      </c>
      <c r="Q242">
        <v>45316966</v>
      </c>
    </row>
    <row r="243" spans="14:17">
      <c r="N243" t="s">
        <v>668</v>
      </c>
      <c r="P243" t="s">
        <v>669</v>
      </c>
      <c r="Q243">
        <v>45316966</v>
      </c>
    </row>
    <row r="244" spans="14:17">
      <c r="N244" t="s">
        <v>670</v>
      </c>
      <c r="P244" t="s">
        <v>671</v>
      </c>
      <c r="Q244">
        <v>45316966</v>
      </c>
    </row>
    <row r="245" spans="14:17">
      <c r="N245" t="s">
        <v>672</v>
      </c>
      <c r="P245" s="12" t="s">
        <v>673</v>
      </c>
      <c r="Q245" s="12">
        <v>28460862</v>
      </c>
    </row>
    <row r="246" spans="14:17">
      <c r="N246" t="s">
        <v>674</v>
      </c>
      <c r="P246" s="12" t="s">
        <v>675</v>
      </c>
      <c r="Q246" s="12">
        <v>39067789</v>
      </c>
    </row>
    <row r="247" spans="14:17">
      <c r="N247" t="s">
        <v>676</v>
      </c>
      <c r="P247" s="12" t="s">
        <v>677</v>
      </c>
      <c r="Q247" s="12">
        <v>42363134</v>
      </c>
    </row>
    <row r="248" spans="14:17">
      <c r="N248" t="s">
        <v>678</v>
      </c>
      <c r="P248" s="12" t="s">
        <v>679</v>
      </c>
      <c r="Q248" s="12">
        <v>30771</v>
      </c>
    </row>
    <row r="249" spans="14:17">
      <c r="N249" t="s">
        <v>680</v>
      </c>
      <c r="P249" s="12" t="s">
        <v>681</v>
      </c>
      <c r="Q249" s="12">
        <v>30771</v>
      </c>
    </row>
    <row r="250" spans="14:17">
      <c r="N250" t="s">
        <v>682</v>
      </c>
      <c r="P250" s="12" t="s">
        <v>683</v>
      </c>
      <c r="Q250" s="12">
        <v>30771</v>
      </c>
    </row>
    <row r="251" spans="14:17">
      <c r="N251" t="s">
        <v>684</v>
      </c>
      <c r="P251" s="12" t="s">
        <v>315</v>
      </c>
      <c r="Q251" s="12">
        <v>30771</v>
      </c>
    </row>
    <row r="252" spans="14:17">
      <c r="N252" t="s">
        <v>685</v>
      </c>
      <c r="P252" t="s">
        <v>686</v>
      </c>
      <c r="Q252">
        <v>40258358</v>
      </c>
    </row>
    <row r="253" spans="14:17">
      <c r="N253" t="s">
        <v>687</v>
      </c>
      <c r="P253" t="s">
        <v>688</v>
      </c>
      <c r="Q253">
        <v>40258358</v>
      </c>
    </row>
    <row r="254" spans="14:17">
      <c r="N254" t="s">
        <v>689</v>
      </c>
      <c r="P254" s="12" t="s">
        <v>690</v>
      </c>
      <c r="Q254" s="12">
        <v>12798</v>
      </c>
    </row>
    <row r="255" spans="14:17">
      <c r="N255" t="s">
        <v>691</v>
      </c>
      <c r="P255" t="s">
        <v>692</v>
      </c>
      <c r="Q255" s="12">
        <v>12798</v>
      </c>
    </row>
    <row r="256" spans="14:17">
      <c r="N256" t="s">
        <v>693</v>
      </c>
      <c r="P256" s="12" t="s">
        <v>694</v>
      </c>
      <c r="Q256" s="12">
        <v>46713073</v>
      </c>
    </row>
    <row r="257" spans="14:17">
      <c r="N257" t="s">
        <v>695</v>
      </c>
      <c r="P257" s="12" t="s">
        <v>696</v>
      </c>
      <c r="Q257" s="12">
        <v>46713073</v>
      </c>
    </row>
    <row r="258" spans="14:17">
      <c r="N258" t="s">
        <v>697</v>
      </c>
      <c r="P258" s="12" t="s">
        <v>698</v>
      </c>
      <c r="Q258" s="12">
        <v>46713073</v>
      </c>
    </row>
    <row r="259" spans="14:17">
      <c r="N259" t="s">
        <v>699</v>
      </c>
      <c r="P259" s="12" t="s">
        <v>700</v>
      </c>
      <c r="Q259" s="12">
        <v>46713073</v>
      </c>
    </row>
    <row r="260" spans="14:17">
      <c r="N260" t="s">
        <v>701</v>
      </c>
      <c r="P260" s="12" t="s">
        <v>702</v>
      </c>
      <c r="Q260" s="12">
        <v>34905705</v>
      </c>
    </row>
    <row r="261" spans="14:17">
      <c r="N261" t="s">
        <v>703</v>
      </c>
      <c r="P261" s="12" t="s">
        <v>318</v>
      </c>
      <c r="Q261" s="12">
        <v>34905705</v>
      </c>
    </row>
    <row r="262" spans="14:17">
      <c r="N262" t="s">
        <v>704</v>
      </c>
      <c r="P262" s="12" t="s">
        <v>705</v>
      </c>
      <c r="Q262" s="12">
        <v>39918244</v>
      </c>
    </row>
    <row r="263" spans="14:17">
      <c r="N263" t="s">
        <v>706</v>
      </c>
      <c r="P263" s="12" t="s">
        <v>707</v>
      </c>
      <c r="Q263" s="12">
        <v>42147421</v>
      </c>
    </row>
    <row r="264" spans="14:17">
      <c r="N264" t="s">
        <v>708</v>
      </c>
      <c r="P264" s="12" t="s">
        <v>321</v>
      </c>
      <c r="Q264" s="12">
        <v>42147421</v>
      </c>
    </row>
    <row r="265" spans="14:17">
      <c r="N265" t="s">
        <v>709</v>
      </c>
      <c r="P265" s="12" t="s">
        <v>324</v>
      </c>
      <c r="Q265" s="12">
        <v>44640705</v>
      </c>
    </row>
    <row r="266" spans="14:17">
      <c r="N266" t="s">
        <v>710</v>
      </c>
      <c r="P266" s="12" t="s">
        <v>711</v>
      </c>
      <c r="Q266" s="12">
        <v>44640705</v>
      </c>
    </row>
    <row r="267" spans="14:17">
      <c r="N267" t="s">
        <v>712</v>
      </c>
      <c r="P267" t="s">
        <v>713</v>
      </c>
      <c r="Q267">
        <v>20384196</v>
      </c>
    </row>
    <row r="268" spans="14:17">
      <c r="N268" t="s">
        <v>714</v>
      </c>
      <c r="P268" t="s">
        <v>715</v>
      </c>
      <c r="Q268">
        <v>20384196</v>
      </c>
    </row>
    <row r="269" spans="14:17">
      <c r="N269" t="s">
        <v>716</v>
      </c>
      <c r="P269" t="s">
        <v>717</v>
      </c>
      <c r="Q269">
        <v>20384196</v>
      </c>
    </row>
    <row r="270" spans="14:17">
      <c r="N270" t="s">
        <v>718</v>
      </c>
      <c r="P270" s="12" t="s">
        <v>719</v>
      </c>
      <c r="Q270" s="12">
        <v>42586585</v>
      </c>
    </row>
    <row r="271" spans="14:17">
      <c r="N271" t="s">
        <v>720</v>
      </c>
      <c r="P271" s="12" t="s">
        <v>327</v>
      </c>
      <c r="Q271" s="12">
        <v>42586585</v>
      </c>
    </row>
    <row r="272" spans="14:17">
      <c r="N272" t="s">
        <v>721</v>
      </c>
      <c r="P272" s="12" t="s">
        <v>722</v>
      </c>
      <c r="Q272" s="12">
        <v>42821138</v>
      </c>
    </row>
    <row r="273" spans="14:17">
      <c r="N273" t="s">
        <v>723</v>
      </c>
      <c r="P273" s="12" t="s">
        <v>724</v>
      </c>
      <c r="Q273" s="12">
        <v>41739142</v>
      </c>
    </row>
    <row r="274" spans="14:17">
      <c r="N274" t="s">
        <v>725</v>
      </c>
      <c r="P274" s="12" t="s">
        <v>726</v>
      </c>
      <c r="Q274" s="12">
        <v>40657468</v>
      </c>
    </row>
    <row r="275" spans="14:17">
      <c r="N275" t="s">
        <v>727</v>
      </c>
      <c r="P275" s="12" t="s">
        <v>330</v>
      </c>
      <c r="Q275" s="12">
        <v>40657468</v>
      </c>
    </row>
    <row r="276" spans="14:17">
      <c r="N276" t="s">
        <v>728</v>
      </c>
      <c r="P276" s="12" t="s">
        <v>729</v>
      </c>
      <c r="Q276" s="12">
        <v>40657468</v>
      </c>
    </row>
    <row r="277" spans="14:17">
      <c r="N277" t="s">
        <v>730</v>
      </c>
      <c r="P277" s="12" t="s">
        <v>731</v>
      </c>
      <c r="Q277" s="12">
        <v>30873922</v>
      </c>
    </row>
    <row r="278" spans="14:17">
      <c r="N278" t="s">
        <v>732</v>
      </c>
      <c r="P278" s="12" t="s">
        <v>733</v>
      </c>
      <c r="Q278" s="12">
        <v>30873922</v>
      </c>
    </row>
    <row r="279" spans="14:17">
      <c r="N279" t="s">
        <v>734</v>
      </c>
      <c r="P279" s="12" t="s">
        <v>735</v>
      </c>
      <c r="Q279" s="12">
        <v>30873922</v>
      </c>
    </row>
    <row r="280" spans="14:17">
      <c r="N280" t="s">
        <v>736</v>
      </c>
      <c r="P280" s="12" t="s">
        <v>737</v>
      </c>
      <c r="Q280" s="12">
        <v>43896575</v>
      </c>
    </row>
    <row r="281" spans="14:17">
      <c r="N281" t="s">
        <v>738</v>
      </c>
      <c r="P281" s="12" t="s">
        <v>739</v>
      </c>
      <c r="Q281" s="12">
        <v>43896575</v>
      </c>
    </row>
    <row r="282" spans="14:17">
      <c r="N282" t="s">
        <v>740</v>
      </c>
      <c r="P282" s="12" t="s">
        <v>333</v>
      </c>
      <c r="Q282" s="12">
        <v>43896575</v>
      </c>
    </row>
    <row r="283" spans="14:17">
      <c r="N283" t="s">
        <v>741</v>
      </c>
      <c r="P283" s="12" t="s">
        <v>742</v>
      </c>
      <c r="Q283" s="12">
        <v>43779589</v>
      </c>
    </row>
    <row r="284" spans="14:17">
      <c r="N284" t="s">
        <v>743</v>
      </c>
      <c r="P284" s="12" t="s">
        <v>744</v>
      </c>
      <c r="Q284" s="12">
        <v>43779589</v>
      </c>
    </row>
    <row r="285" spans="14:17">
      <c r="N285" t="s">
        <v>745</v>
      </c>
      <c r="P285" s="12" t="s">
        <v>746</v>
      </c>
      <c r="Q285" s="12">
        <v>37880124</v>
      </c>
    </row>
    <row r="286" spans="14:17">
      <c r="N286" t="s">
        <v>747</v>
      </c>
      <c r="P286" s="12" t="s">
        <v>748</v>
      </c>
      <c r="Q286" s="12">
        <v>44532369</v>
      </c>
    </row>
    <row r="287" spans="14:17">
      <c r="N287" t="s">
        <v>749</v>
      </c>
      <c r="P287" t="s">
        <v>750</v>
      </c>
      <c r="Q287" s="12">
        <v>10239</v>
      </c>
    </row>
    <row r="288" spans="14:17">
      <c r="N288" t="s">
        <v>751</v>
      </c>
      <c r="P288" s="12" t="s">
        <v>752</v>
      </c>
      <c r="Q288" s="12">
        <v>10239</v>
      </c>
    </row>
    <row r="289" spans="14:17">
      <c r="N289" t="s">
        <v>753</v>
      </c>
      <c r="P289" s="12" t="s">
        <v>336</v>
      </c>
      <c r="Q289" s="12">
        <v>10239</v>
      </c>
    </row>
    <row r="290" spans="14:17">
      <c r="N290" t="s">
        <v>754</v>
      </c>
      <c r="P290" s="12" t="s">
        <v>339</v>
      </c>
      <c r="Q290" s="12">
        <v>12881</v>
      </c>
    </row>
    <row r="291" spans="14:17">
      <c r="N291" t="s">
        <v>755</v>
      </c>
      <c r="P291" s="12" t="s">
        <v>756</v>
      </c>
      <c r="Q291" s="12">
        <v>37679065</v>
      </c>
    </row>
    <row r="292" spans="14:17">
      <c r="N292" t="s">
        <v>757</v>
      </c>
      <c r="P292" t="s">
        <v>758</v>
      </c>
      <c r="Q292">
        <v>37679065</v>
      </c>
    </row>
    <row r="293" spans="14:17">
      <c r="N293" t="s">
        <v>759</v>
      </c>
      <c r="P293" t="s">
        <v>760</v>
      </c>
      <c r="Q293" s="12">
        <v>10239</v>
      </c>
    </row>
    <row r="294" spans="14:17">
      <c r="N294" t="s">
        <v>761</v>
      </c>
      <c r="P294" t="s">
        <v>762</v>
      </c>
      <c r="Q294" s="12">
        <v>10239</v>
      </c>
    </row>
    <row r="295" spans="14:17">
      <c r="N295" t="s">
        <v>763</v>
      </c>
      <c r="P295" s="12" t="s">
        <v>764</v>
      </c>
      <c r="Q295" s="12">
        <v>12755</v>
      </c>
    </row>
    <row r="296" spans="14:17">
      <c r="N296" t="s">
        <v>765</v>
      </c>
      <c r="P296" t="s">
        <v>766</v>
      </c>
      <c r="Q296">
        <v>22367119</v>
      </c>
    </row>
    <row r="297" spans="14:17">
      <c r="N297" t="s">
        <v>767</v>
      </c>
      <c r="P297" t="s">
        <v>768</v>
      </c>
      <c r="Q297">
        <v>22367119</v>
      </c>
    </row>
    <row r="298" spans="14:17">
      <c r="N298" t="s">
        <v>769</v>
      </c>
      <c r="P298" t="s">
        <v>770</v>
      </c>
      <c r="Q298">
        <v>22367119</v>
      </c>
    </row>
    <row r="299" spans="14:17">
      <c r="N299" t="s">
        <v>771</v>
      </c>
      <c r="P299" s="12" t="s">
        <v>772</v>
      </c>
      <c r="Q299" s="12">
        <v>70062</v>
      </c>
    </row>
    <row r="300" spans="14:17">
      <c r="N300" t="s">
        <v>773</v>
      </c>
      <c r="P300" s="12" t="s">
        <v>774</v>
      </c>
      <c r="Q300" s="12">
        <v>36552867</v>
      </c>
    </row>
    <row r="301" spans="14:17">
      <c r="N301" t="s">
        <v>775</v>
      </c>
      <c r="P301" s="12" t="s">
        <v>341</v>
      </c>
      <c r="Q301" s="12">
        <v>12755</v>
      </c>
    </row>
    <row r="302" spans="14:17">
      <c r="N302" t="s">
        <v>776</v>
      </c>
      <c r="P302" t="s">
        <v>777</v>
      </c>
      <c r="Q302">
        <v>22367119</v>
      </c>
    </row>
    <row r="303" spans="14:17">
      <c r="N303" t="s">
        <v>778</v>
      </c>
      <c r="P303" s="12" t="s">
        <v>779</v>
      </c>
      <c r="Q303" s="12">
        <v>47491259</v>
      </c>
    </row>
    <row r="304" spans="14:17">
      <c r="N304" t="s">
        <v>780</v>
      </c>
      <c r="P304" t="s">
        <v>781</v>
      </c>
      <c r="Q304">
        <v>47491259</v>
      </c>
    </row>
    <row r="305" spans="14:17">
      <c r="N305" t="s">
        <v>782</v>
      </c>
      <c r="P305" s="12" t="s">
        <v>783</v>
      </c>
      <c r="Q305" s="12">
        <v>36786040</v>
      </c>
    </row>
    <row r="306" spans="14:17">
      <c r="N306" t="s">
        <v>784</v>
      </c>
      <c r="P306" s="12" t="s">
        <v>344</v>
      </c>
      <c r="Q306" s="12">
        <v>34999122</v>
      </c>
    </row>
    <row r="307" spans="14:17">
      <c r="N307" t="s">
        <v>785</v>
      </c>
      <c r="P307" s="12" t="s">
        <v>786</v>
      </c>
      <c r="Q307" s="12">
        <v>34999122</v>
      </c>
    </row>
    <row r="308" spans="14:17">
      <c r="N308" t="s">
        <v>787</v>
      </c>
      <c r="P308" t="s">
        <v>788</v>
      </c>
      <c r="Q308" s="12">
        <v>34999122</v>
      </c>
    </row>
    <row r="309" spans="14:17">
      <c r="N309" t="s">
        <v>789</v>
      </c>
      <c r="P309" s="12" t="s">
        <v>790</v>
      </c>
      <c r="Q309" s="12" t="s">
        <v>791</v>
      </c>
    </row>
    <row r="310" spans="14:17">
      <c r="N310" t="s">
        <v>792</v>
      </c>
      <c r="P310" s="12" t="s">
        <v>793</v>
      </c>
      <c r="Q310" s="12">
        <v>42930433</v>
      </c>
    </row>
    <row r="311" spans="14:17">
      <c r="N311" t="s">
        <v>794</v>
      </c>
      <c r="P311" s="12" t="s">
        <v>795</v>
      </c>
      <c r="Q311" s="12">
        <v>42930433</v>
      </c>
    </row>
    <row r="312" spans="14:17">
      <c r="N312" t="s">
        <v>796</v>
      </c>
      <c r="P312" s="12" t="s">
        <v>797</v>
      </c>
      <c r="Q312" s="12">
        <v>42930433</v>
      </c>
    </row>
    <row r="313" spans="14:17">
      <c r="N313" t="s">
        <v>798</v>
      </c>
      <c r="P313" t="s">
        <v>799</v>
      </c>
      <c r="Q313" s="12">
        <v>47491259</v>
      </c>
    </row>
    <row r="314" spans="14:17">
      <c r="N314" t="s">
        <v>800</v>
      </c>
      <c r="P314" s="12" t="s">
        <v>801</v>
      </c>
      <c r="Q314" s="12">
        <v>47491259</v>
      </c>
    </row>
    <row r="315" spans="14:17">
      <c r="N315" t="s">
        <v>802</v>
      </c>
      <c r="P315" s="12" t="s">
        <v>803</v>
      </c>
      <c r="Q315" s="12">
        <v>41572076</v>
      </c>
    </row>
    <row r="316" spans="14:17">
      <c r="N316" t="s">
        <v>804</v>
      </c>
      <c r="P316" s="12" t="s">
        <v>805</v>
      </c>
      <c r="Q316" s="12">
        <v>41572076</v>
      </c>
    </row>
    <row r="317" spans="14:17">
      <c r="N317" t="s">
        <v>806</v>
      </c>
      <c r="P317" s="12" t="s">
        <v>347</v>
      </c>
      <c r="Q317" s="12">
        <v>41572076</v>
      </c>
    </row>
    <row r="318" spans="14:17">
      <c r="N318" t="s">
        <v>807</v>
      </c>
      <c r="P318" t="s">
        <v>808</v>
      </c>
      <c r="Q318">
        <v>43170624</v>
      </c>
    </row>
    <row r="319" spans="14:17">
      <c r="N319" t="s">
        <v>809</v>
      </c>
      <c r="P319" t="s">
        <v>810</v>
      </c>
      <c r="Q319">
        <v>43170624</v>
      </c>
    </row>
    <row r="320" spans="14:17">
      <c r="N320" t="s">
        <v>811</v>
      </c>
      <c r="P320" t="s">
        <v>812</v>
      </c>
      <c r="Q320">
        <v>43170624</v>
      </c>
    </row>
    <row r="321" spans="14:17">
      <c r="N321" t="s">
        <v>813</v>
      </c>
      <c r="P321" s="12" t="s">
        <v>814</v>
      </c>
      <c r="Q321" s="12">
        <v>44006317</v>
      </c>
    </row>
    <row r="322" spans="14:17">
      <c r="N322" t="s">
        <v>815</v>
      </c>
      <c r="P322" s="12" t="s">
        <v>350</v>
      </c>
      <c r="Q322" s="12">
        <v>44006317</v>
      </c>
    </row>
    <row r="323" spans="14:17">
      <c r="N323" t="s">
        <v>816</v>
      </c>
      <c r="P323" s="12" t="s">
        <v>817</v>
      </c>
      <c r="Q323" s="12">
        <v>36787709</v>
      </c>
    </row>
    <row r="324" spans="14:17">
      <c r="N324" t="s">
        <v>818</v>
      </c>
      <c r="P324" s="12" t="s">
        <v>352</v>
      </c>
      <c r="Q324" s="12">
        <v>43259387</v>
      </c>
    </row>
    <row r="325" spans="14:17">
      <c r="N325" t="s">
        <v>819</v>
      </c>
      <c r="P325" s="12" t="s">
        <v>820</v>
      </c>
      <c r="Q325" s="12">
        <v>43259387</v>
      </c>
    </row>
    <row r="326" spans="14:17">
      <c r="N326" t="s">
        <v>821</v>
      </c>
      <c r="P326" t="s">
        <v>822</v>
      </c>
      <c r="Q326">
        <v>11407</v>
      </c>
    </row>
    <row r="327" spans="14:17">
      <c r="N327" t="s">
        <v>823</v>
      </c>
      <c r="P327" s="12" t="s">
        <v>824</v>
      </c>
      <c r="Q327" s="12">
        <v>34369092</v>
      </c>
    </row>
    <row r="328" spans="14:17">
      <c r="N328" t="s">
        <v>825</v>
      </c>
      <c r="P328" s="12" t="s">
        <v>826</v>
      </c>
      <c r="Q328" s="12">
        <v>34369092</v>
      </c>
    </row>
    <row r="329" spans="14:17">
      <c r="N329" t="s">
        <v>827</v>
      </c>
      <c r="P329" s="12" t="s">
        <v>355</v>
      </c>
      <c r="Q329" s="12">
        <v>34369092</v>
      </c>
    </row>
    <row r="330" spans="14:17">
      <c r="N330" t="s">
        <v>828</v>
      </c>
      <c r="P330" s="12" t="s">
        <v>829</v>
      </c>
      <c r="Q330" s="12">
        <v>34369092</v>
      </c>
    </row>
    <row r="331" spans="14:17">
      <c r="N331" t="s">
        <v>830</v>
      </c>
      <c r="P331" s="12" t="s">
        <v>831</v>
      </c>
      <c r="Q331" s="12">
        <v>34369092</v>
      </c>
    </row>
    <row r="332" spans="14:17">
      <c r="N332" t="s">
        <v>832</v>
      </c>
      <c r="P332" s="12" t="s">
        <v>833</v>
      </c>
      <c r="Q332" s="12">
        <v>34369092</v>
      </c>
    </row>
    <row r="333" spans="14:17">
      <c r="N333" t="s">
        <v>834</v>
      </c>
      <c r="P333" t="s">
        <v>835</v>
      </c>
      <c r="Q333">
        <v>43238729</v>
      </c>
    </row>
    <row r="334" spans="14:17">
      <c r="N334" t="s">
        <v>836</v>
      </c>
      <c r="P334" t="s">
        <v>837</v>
      </c>
      <c r="Q334">
        <v>43238729</v>
      </c>
    </row>
    <row r="335" spans="14:17">
      <c r="N335" t="s">
        <v>838</v>
      </c>
      <c r="P335" t="s">
        <v>839</v>
      </c>
      <c r="Q335">
        <v>43238729</v>
      </c>
    </row>
    <row r="336" spans="14:17">
      <c r="N336" t="s">
        <v>840</v>
      </c>
      <c r="P336" s="12" t="s">
        <v>841</v>
      </c>
      <c r="Q336" s="12">
        <v>41912932</v>
      </c>
    </row>
    <row r="337" spans="14:17">
      <c r="N337" t="s">
        <v>842</v>
      </c>
      <c r="P337" s="12" t="s">
        <v>843</v>
      </c>
      <c r="Q337" s="12">
        <v>41912932</v>
      </c>
    </row>
    <row r="338" spans="14:17">
      <c r="N338" t="s">
        <v>844</v>
      </c>
      <c r="P338" s="12" t="s">
        <v>845</v>
      </c>
      <c r="Q338" s="12">
        <v>41912932</v>
      </c>
    </row>
    <row r="339" spans="14:17">
      <c r="N339" t="s">
        <v>846</v>
      </c>
      <c r="P339" s="12" t="s">
        <v>847</v>
      </c>
      <c r="Q339" s="12">
        <v>28460124</v>
      </c>
    </row>
    <row r="340" spans="14:17">
      <c r="N340" t="s">
        <v>848</v>
      </c>
      <c r="P340" s="12" t="s">
        <v>849</v>
      </c>
      <c r="Q340" s="12">
        <v>28460124</v>
      </c>
    </row>
    <row r="341" spans="14:17">
      <c r="N341" t="s">
        <v>850</v>
      </c>
      <c r="P341" s="12" t="s">
        <v>358</v>
      </c>
      <c r="Q341" s="12">
        <v>28460124</v>
      </c>
    </row>
    <row r="342" spans="14:17">
      <c r="N342" t="s">
        <v>851</v>
      </c>
      <c r="P342" s="12" t="s">
        <v>852</v>
      </c>
      <c r="Q342" s="12">
        <v>28460124</v>
      </c>
    </row>
    <row r="343" spans="14:17">
      <c r="N343" t="s">
        <v>853</v>
      </c>
      <c r="P343" s="12" t="s">
        <v>854</v>
      </c>
      <c r="Q343" s="12">
        <v>28460124</v>
      </c>
    </row>
    <row r="344" spans="14:17">
      <c r="N344" t="s">
        <v>855</v>
      </c>
      <c r="P344" t="s">
        <v>856</v>
      </c>
      <c r="Q344" s="12">
        <v>45926523</v>
      </c>
    </row>
    <row r="345" spans="14:17">
      <c r="N345" t="s">
        <v>857</v>
      </c>
      <c r="P345" s="12" t="s">
        <v>858</v>
      </c>
      <c r="Q345" s="12">
        <v>45926523</v>
      </c>
    </row>
    <row r="346" spans="14:17">
      <c r="N346" t="s">
        <v>859</v>
      </c>
      <c r="P346" s="12" t="s">
        <v>860</v>
      </c>
      <c r="Q346" s="12">
        <v>45926523</v>
      </c>
    </row>
    <row r="347" spans="14:17">
      <c r="N347" t="s">
        <v>861</v>
      </c>
      <c r="P347" s="12" t="s">
        <v>862</v>
      </c>
      <c r="Q347" s="12">
        <v>45926523</v>
      </c>
    </row>
    <row r="348" spans="14:17">
      <c r="N348" t="s">
        <v>863</v>
      </c>
      <c r="P348" s="12" t="s">
        <v>864</v>
      </c>
      <c r="Q348" s="12">
        <v>45200037</v>
      </c>
    </row>
    <row r="349" spans="14:17">
      <c r="N349" t="s">
        <v>865</v>
      </c>
      <c r="P349" s="12" t="s">
        <v>866</v>
      </c>
      <c r="Q349" s="12">
        <v>34438655</v>
      </c>
    </row>
    <row r="350" spans="14:17">
      <c r="N350" t="s">
        <v>867</v>
      </c>
      <c r="P350" s="12" t="s">
        <v>868</v>
      </c>
      <c r="Q350" s="12">
        <v>34438655</v>
      </c>
    </row>
    <row r="351" spans="14:17">
      <c r="N351" t="s">
        <v>869</v>
      </c>
      <c r="P351" t="s">
        <v>870</v>
      </c>
      <c r="Q351" s="12">
        <v>96081789</v>
      </c>
    </row>
    <row r="352" spans="14:17">
      <c r="N352" t="s">
        <v>871</v>
      </c>
      <c r="P352" t="s">
        <v>872</v>
      </c>
      <c r="Q352">
        <v>96081789</v>
      </c>
    </row>
    <row r="353" spans="14:17">
      <c r="N353" t="s">
        <v>873</v>
      </c>
      <c r="P353" s="12" t="s">
        <v>874</v>
      </c>
      <c r="Q353" s="12">
        <v>36473628</v>
      </c>
    </row>
    <row r="354" spans="14:17">
      <c r="N354" t="s">
        <v>875</v>
      </c>
      <c r="P354" s="12" t="s">
        <v>876</v>
      </c>
      <c r="Q354" s="12">
        <v>34480089</v>
      </c>
    </row>
    <row r="355" spans="14:17">
      <c r="N355" t="s">
        <v>877</v>
      </c>
      <c r="P355" s="12" t="s">
        <v>361</v>
      </c>
      <c r="Q355" s="12">
        <v>36297775</v>
      </c>
    </row>
    <row r="356" spans="14:17">
      <c r="N356" t="s">
        <v>878</v>
      </c>
      <c r="P356" t="s">
        <v>879</v>
      </c>
      <c r="Q356" s="12">
        <v>36297775</v>
      </c>
    </row>
    <row r="357" spans="14:17">
      <c r="N357" t="s">
        <v>880</v>
      </c>
      <c r="P357" s="12" t="s">
        <v>363</v>
      </c>
      <c r="Q357" s="12">
        <v>13466</v>
      </c>
    </row>
    <row r="358" spans="14:17">
      <c r="N358" t="s">
        <v>881</v>
      </c>
      <c r="P358" s="12" t="s">
        <v>882</v>
      </c>
      <c r="Q358" s="12">
        <v>41027053</v>
      </c>
    </row>
    <row r="359" spans="14:17">
      <c r="N359" t="s">
        <v>883</v>
      </c>
      <c r="P359" s="12" t="s">
        <v>884</v>
      </c>
      <c r="Q359" s="12">
        <v>32445282</v>
      </c>
    </row>
    <row r="360" spans="14:17">
      <c r="N360" t="s">
        <v>885</v>
      </c>
      <c r="P360" s="12" t="s">
        <v>366</v>
      </c>
      <c r="Q360" s="12">
        <v>41027053</v>
      </c>
    </row>
    <row r="361" spans="14:17">
      <c r="N361" t="s">
        <v>886</v>
      </c>
      <c r="P361" s="12" t="s">
        <v>369</v>
      </c>
      <c r="Q361" s="12">
        <v>32445282</v>
      </c>
    </row>
    <row r="362" spans="14:17">
      <c r="N362" t="s">
        <v>887</v>
      </c>
      <c r="P362" s="12" t="s">
        <v>888</v>
      </c>
      <c r="Q362" s="12">
        <v>41560271</v>
      </c>
    </row>
    <row r="363" spans="14:17">
      <c r="N363" t="s">
        <v>889</v>
      </c>
      <c r="P363" s="12" t="s">
        <v>890</v>
      </c>
      <c r="Q363" s="12">
        <v>28801388</v>
      </c>
    </row>
    <row r="364" spans="14:17">
      <c r="N364" t="s">
        <v>891</v>
      </c>
      <c r="P364" s="12" t="s">
        <v>892</v>
      </c>
      <c r="Q364" s="12">
        <v>22191488</v>
      </c>
    </row>
    <row r="365" spans="14:17">
      <c r="N365" t="s">
        <v>893</v>
      </c>
      <c r="P365" s="12" t="s">
        <v>370</v>
      </c>
      <c r="Q365" s="12">
        <v>44486085</v>
      </c>
    </row>
    <row r="366" spans="14:17">
      <c r="N366" t="s">
        <v>894</v>
      </c>
      <c r="P366" s="12" t="s">
        <v>895</v>
      </c>
      <c r="Q366" s="12">
        <v>39744132</v>
      </c>
    </row>
    <row r="367" spans="14:17">
      <c r="N367" t="s">
        <v>896</v>
      </c>
      <c r="P367" s="12" t="s">
        <v>372</v>
      </c>
      <c r="Q367" s="12">
        <v>41465653</v>
      </c>
    </row>
    <row r="368" spans="14:17">
      <c r="N368" t="s">
        <v>897</v>
      </c>
      <c r="P368" s="12" t="s">
        <v>898</v>
      </c>
      <c r="Q368" s="12">
        <v>41465653</v>
      </c>
    </row>
    <row r="369" spans="14:17">
      <c r="N369" t="s">
        <v>899</v>
      </c>
      <c r="P369" s="12" t="s">
        <v>900</v>
      </c>
      <c r="Q369" s="12">
        <v>41465653</v>
      </c>
    </row>
    <row r="370" spans="14:17">
      <c r="N370" t="s">
        <v>901</v>
      </c>
      <c r="P370" s="12" t="s">
        <v>902</v>
      </c>
      <c r="Q370" s="12">
        <v>36552867</v>
      </c>
    </row>
    <row r="371" spans="14:17">
      <c r="N371" t="s">
        <v>903</v>
      </c>
      <c r="P371" s="12" t="s">
        <v>374</v>
      </c>
      <c r="Q371" s="12">
        <v>36552867</v>
      </c>
    </row>
    <row r="372" spans="14:17">
      <c r="N372" t="s">
        <v>904</v>
      </c>
      <c r="P372" s="12" t="s">
        <v>905</v>
      </c>
      <c r="Q372" s="12">
        <v>36552867</v>
      </c>
    </row>
    <row r="373" spans="14:17">
      <c r="N373" t="s">
        <v>906</v>
      </c>
      <c r="P373" s="12" t="s">
        <v>907</v>
      </c>
      <c r="Q373" s="12">
        <v>22191488</v>
      </c>
    </row>
    <row r="374" spans="14:17">
      <c r="N374" t="s">
        <v>908</v>
      </c>
      <c r="P374" s="12" t="s">
        <v>375</v>
      </c>
      <c r="Q374" s="12">
        <v>22191488</v>
      </c>
    </row>
    <row r="375" spans="14:17">
      <c r="N375" t="s">
        <v>909</v>
      </c>
      <c r="P375" t="s">
        <v>910</v>
      </c>
      <c r="Q375">
        <v>77084</v>
      </c>
    </row>
    <row r="376" spans="14:17">
      <c r="N376" t="s">
        <v>911</v>
      </c>
      <c r="P376" s="12" t="s">
        <v>912</v>
      </c>
      <c r="Q376" s="12">
        <v>44186247</v>
      </c>
    </row>
    <row r="377" spans="14:17">
      <c r="N377" t="s">
        <v>913</v>
      </c>
      <c r="P377" s="12" t="s">
        <v>914</v>
      </c>
      <c r="Q377" s="12">
        <v>43444086</v>
      </c>
    </row>
    <row r="378" spans="14:17">
      <c r="N378" t="s">
        <v>915</v>
      </c>
      <c r="P378" s="12" t="s">
        <v>377</v>
      </c>
      <c r="Q378" s="12">
        <v>44186247</v>
      </c>
    </row>
    <row r="379" spans="14:17">
      <c r="N379" t="s">
        <v>916</v>
      </c>
      <c r="P379" s="12" t="s">
        <v>917</v>
      </c>
      <c r="Q379" s="12">
        <v>43444086</v>
      </c>
    </row>
    <row r="380" spans="14:17">
      <c r="N380" t="s">
        <v>918</v>
      </c>
      <c r="P380" t="s">
        <v>919</v>
      </c>
      <c r="Q380">
        <v>43444086</v>
      </c>
    </row>
    <row r="381" spans="14:17">
      <c r="N381" t="s">
        <v>920</v>
      </c>
      <c r="P381" s="12" t="s">
        <v>921</v>
      </c>
      <c r="Q381" s="12">
        <v>41738119</v>
      </c>
    </row>
    <row r="382" spans="14:17">
      <c r="N382" t="s">
        <v>922</v>
      </c>
      <c r="P382" s="12" t="s">
        <v>923</v>
      </c>
      <c r="Q382" s="12">
        <v>32092416</v>
      </c>
    </row>
    <row r="383" spans="14:17">
      <c r="N383" t="s">
        <v>924</v>
      </c>
      <c r="P383" t="s">
        <v>925</v>
      </c>
      <c r="Q383">
        <v>29542439</v>
      </c>
    </row>
    <row r="384" spans="14:17">
      <c r="N384" t="s">
        <v>926</v>
      </c>
      <c r="P384" s="12" t="s">
        <v>379</v>
      </c>
      <c r="Q384" s="12">
        <v>33665</v>
      </c>
    </row>
    <row r="385" spans="14:17">
      <c r="N385" t="s">
        <v>927</v>
      </c>
      <c r="P385" s="12" t="s">
        <v>928</v>
      </c>
      <c r="Q385" s="12">
        <v>47700137</v>
      </c>
    </row>
    <row r="386" spans="14:17">
      <c r="N386" t="s">
        <v>929</v>
      </c>
      <c r="P386" t="s">
        <v>930</v>
      </c>
      <c r="Q386" s="12">
        <v>47700137</v>
      </c>
    </row>
    <row r="387" spans="14:17">
      <c r="N387" t="s">
        <v>931</v>
      </c>
      <c r="P387" s="12" t="s">
        <v>932</v>
      </c>
      <c r="Q387" s="12">
        <v>47700137</v>
      </c>
    </row>
    <row r="388" spans="14:17">
      <c r="N388" t="s">
        <v>933</v>
      </c>
      <c r="P388" s="12" t="s">
        <v>934</v>
      </c>
      <c r="Q388" s="12">
        <v>47700137</v>
      </c>
    </row>
    <row r="389" spans="14:17">
      <c r="N389" t="s">
        <v>935</v>
      </c>
      <c r="P389" s="12" t="s">
        <v>936</v>
      </c>
      <c r="Q389" s="12">
        <v>47700137</v>
      </c>
    </row>
    <row r="390" spans="14:17">
      <c r="N390" t="s">
        <v>937</v>
      </c>
      <c r="P390" t="s">
        <v>938</v>
      </c>
      <c r="Q390">
        <v>33091</v>
      </c>
    </row>
    <row r="391" spans="14:17">
      <c r="N391" t="s">
        <v>939</v>
      </c>
      <c r="P391" s="12" t="s">
        <v>940</v>
      </c>
      <c r="Q391" s="12">
        <v>33091</v>
      </c>
    </row>
    <row r="392" spans="14:17">
      <c r="N392" t="s">
        <v>941</v>
      </c>
      <c r="P392" s="12" t="s">
        <v>381</v>
      </c>
      <c r="Q392" s="12">
        <v>33091</v>
      </c>
    </row>
    <row r="393" spans="14:17">
      <c r="N393" t="s">
        <v>942</v>
      </c>
      <c r="P393" s="12" t="s">
        <v>382</v>
      </c>
      <c r="Q393" s="12">
        <v>31650919</v>
      </c>
    </row>
    <row r="394" spans="14:17">
      <c r="N394" t="s">
        <v>943</v>
      </c>
      <c r="P394" t="s">
        <v>944</v>
      </c>
      <c r="Q394" s="12">
        <v>43659406</v>
      </c>
    </row>
    <row r="395" spans="14:17">
      <c r="N395" t="s">
        <v>945</v>
      </c>
      <c r="P395" s="12" t="s">
        <v>946</v>
      </c>
      <c r="Q395" s="12">
        <v>43659406</v>
      </c>
    </row>
    <row r="396" spans="14:17">
      <c r="N396" t="s">
        <v>947</v>
      </c>
      <c r="P396" s="12" t="s">
        <v>948</v>
      </c>
      <c r="Q396" s="12">
        <v>43659406</v>
      </c>
    </row>
    <row r="397" spans="14:17">
      <c r="N397" t="s">
        <v>949</v>
      </c>
      <c r="P397" s="12" t="s">
        <v>950</v>
      </c>
      <c r="Q397" s="12">
        <v>43659406</v>
      </c>
    </row>
    <row r="398" spans="14:17">
      <c r="N398" t="s">
        <v>951</v>
      </c>
      <c r="P398" s="12" t="s">
        <v>952</v>
      </c>
      <c r="Q398" s="12">
        <v>43659406</v>
      </c>
    </row>
    <row r="399" spans="14:17">
      <c r="N399" t="s">
        <v>953</v>
      </c>
      <c r="P399" s="12" t="s">
        <v>384</v>
      </c>
      <c r="Q399" s="12">
        <v>43659406</v>
      </c>
    </row>
    <row r="400" spans="14:17">
      <c r="N400" t="s">
        <v>954</v>
      </c>
      <c r="P400" s="12" t="s">
        <v>955</v>
      </c>
      <c r="Q400" s="12">
        <v>32003476</v>
      </c>
    </row>
    <row r="401" spans="14:17">
      <c r="N401" t="s">
        <v>956</v>
      </c>
      <c r="P401" s="12" t="s">
        <v>385</v>
      </c>
      <c r="Q401" s="12">
        <v>32003476</v>
      </c>
    </row>
    <row r="402" spans="14:17">
      <c r="N402" t="s">
        <v>957</v>
      </c>
      <c r="P402" s="12" t="s">
        <v>958</v>
      </c>
      <c r="Q402" s="12">
        <v>36643657</v>
      </c>
    </row>
    <row r="403" spans="14:17">
      <c r="N403" t="s">
        <v>959</v>
      </c>
      <c r="P403" s="12" t="s">
        <v>960</v>
      </c>
      <c r="Q403" s="12">
        <v>36643657</v>
      </c>
    </row>
    <row r="404" spans="14:17">
      <c r="N404" t="s">
        <v>961</v>
      </c>
      <c r="P404" t="s">
        <v>962</v>
      </c>
      <c r="Q404">
        <v>30081588</v>
      </c>
    </row>
    <row r="405" spans="14:17">
      <c r="N405" t="s">
        <v>963</v>
      </c>
      <c r="P405" t="s">
        <v>964</v>
      </c>
      <c r="Q405">
        <v>30081588</v>
      </c>
    </row>
    <row r="406" spans="14:17">
      <c r="N406" t="s">
        <v>965</v>
      </c>
      <c r="P406" s="12" t="s">
        <v>966</v>
      </c>
      <c r="Q406" s="12">
        <v>33256306</v>
      </c>
    </row>
    <row r="407" spans="14:17">
      <c r="N407" t="s">
        <v>967</v>
      </c>
      <c r="P407" t="s">
        <v>968</v>
      </c>
      <c r="Q407" s="12">
        <v>36405101</v>
      </c>
    </row>
    <row r="408" spans="14:17">
      <c r="P408" t="s">
        <v>969</v>
      </c>
      <c r="Q408" s="12">
        <v>36405101</v>
      </c>
    </row>
    <row r="409" spans="14:17">
      <c r="P409" t="s">
        <v>970</v>
      </c>
      <c r="Q409" s="12">
        <v>36405101</v>
      </c>
    </row>
    <row r="410" spans="14:17">
      <c r="P410" s="12" t="s">
        <v>971</v>
      </c>
      <c r="Q410" s="12">
        <v>33256306</v>
      </c>
    </row>
    <row r="411" spans="14:17">
      <c r="P411" s="12" t="s">
        <v>387</v>
      </c>
      <c r="Q411" s="12">
        <v>33256306</v>
      </c>
    </row>
    <row r="412" spans="14:17">
      <c r="P412" t="s">
        <v>972</v>
      </c>
      <c r="Q412">
        <v>30081588</v>
      </c>
    </row>
    <row r="413" spans="14:17">
      <c r="P413" t="s">
        <v>973</v>
      </c>
      <c r="Q413">
        <v>30081588</v>
      </c>
    </row>
    <row r="414" spans="14:17">
      <c r="P414" s="12" t="s">
        <v>389</v>
      </c>
      <c r="Q414" s="12">
        <v>36405101</v>
      </c>
    </row>
    <row r="415" spans="14:17">
      <c r="P415" s="12" t="s">
        <v>974</v>
      </c>
      <c r="Q415" s="12">
        <v>40015710</v>
      </c>
    </row>
    <row r="416" spans="14:17">
      <c r="P416" s="12" t="s">
        <v>975</v>
      </c>
      <c r="Q416" s="12">
        <v>40015710</v>
      </c>
    </row>
    <row r="417" spans="16:17">
      <c r="P417" s="12" t="s">
        <v>976</v>
      </c>
      <c r="Q417" s="12">
        <v>40015710</v>
      </c>
    </row>
    <row r="418" spans="16:17">
      <c r="P418" s="12" t="s">
        <v>977</v>
      </c>
      <c r="Q418" s="12">
        <v>40015710</v>
      </c>
    </row>
    <row r="419" spans="16:17">
      <c r="P419" s="12" t="s">
        <v>978</v>
      </c>
      <c r="Q419" s="12">
        <v>36164035</v>
      </c>
    </row>
    <row r="420" spans="16:17">
      <c r="P420" t="s">
        <v>979</v>
      </c>
      <c r="Q420">
        <v>39911382</v>
      </c>
    </row>
    <row r="421" spans="16:17">
      <c r="P421" t="s">
        <v>980</v>
      </c>
      <c r="Q421">
        <v>39911382</v>
      </c>
    </row>
    <row r="422" spans="16:17">
      <c r="P422" t="s">
        <v>981</v>
      </c>
      <c r="Q422">
        <v>39911382</v>
      </c>
    </row>
    <row r="423" spans="16:17">
      <c r="P423" t="s">
        <v>982</v>
      </c>
      <c r="Q423">
        <v>39911382</v>
      </c>
    </row>
    <row r="424" spans="16:17">
      <c r="P424" t="s">
        <v>983</v>
      </c>
      <c r="Q424">
        <v>39911382</v>
      </c>
    </row>
    <row r="425" spans="16:17">
      <c r="P425" t="s">
        <v>984</v>
      </c>
      <c r="Q425">
        <v>39911382</v>
      </c>
    </row>
    <row r="426" spans="16:17">
      <c r="P426" t="s">
        <v>985</v>
      </c>
      <c r="Q426">
        <v>39911382</v>
      </c>
    </row>
    <row r="427" spans="16:17">
      <c r="P427" s="12" t="s">
        <v>986</v>
      </c>
      <c r="Q427" s="12">
        <v>40491704</v>
      </c>
    </row>
    <row r="428" spans="16:17">
      <c r="P428" s="12" t="s">
        <v>987</v>
      </c>
      <c r="Q428" s="12">
        <v>40491704</v>
      </c>
    </row>
    <row r="429" spans="16:17">
      <c r="P429" s="12" t="s">
        <v>390</v>
      </c>
      <c r="Q429" s="12">
        <v>40491704</v>
      </c>
    </row>
    <row r="430" spans="16:17">
      <c r="P430" s="12" t="s">
        <v>392</v>
      </c>
      <c r="Q430" s="12">
        <v>30893393</v>
      </c>
    </row>
    <row r="431" spans="16:17">
      <c r="P431" s="12" t="s">
        <v>988</v>
      </c>
      <c r="Q431" s="12">
        <v>30893393</v>
      </c>
    </row>
    <row r="432" spans="16:17">
      <c r="P432" s="12" t="s">
        <v>989</v>
      </c>
      <c r="Q432" s="12">
        <v>39469837</v>
      </c>
    </row>
    <row r="433" spans="16:17">
      <c r="P433" s="12" t="s">
        <v>990</v>
      </c>
      <c r="Q433" s="12">
        <v>39469837</v>
      </c>
    </row>
    <row r="434" spans="16:17">
      <c r="P434" t="s">
        <v>991</v>
      </c>
      <c r="Q434" s="12">
        <v>39469837</v>
      </c>
    </row>
    <row r="435" spans="16:17">
      <c r="P435" s="12" t="s">
        <v>394</v>
      </c>
      <c r="Q435" s="12">
        <v>39469837</v>
      </c>
    </row>
    <row r="436" spans="16:17">
      <c r="P436" t="s">
        <v>992</v>
      </c>
      <c r="Q436">
        <v>42826754</v>
      </c>
    </row>
    <row r="437" spans="16:17">
      <c r="P437" t="s">
        <v>993</v>
      </c>
      <c r="Q437">
        <v>42826754</v>
      </c>
    </row>
    <row r="438" spans="16:17">
      <c r="P438" t="s">
        <v>994</v>
      </c>
      <c r="Q438">
        <v>42826754</v>
      </c>
    </row>
    <row r="439" spans="16:17">
      <c r="P439" s="12" t="s">
        <v>995</v>
      </c>
      <c r="Q439" s="12">
        <v>41661559</v>
      </c>
    </row>
    <row r="440" spans="16:17">
      <c r="P440" s="12" t="s">
        <v>996</v>
      </c>
      <c r="Q440" s="12">
        <v>41661559</v>
      </c>
    </row>
    <row r="441" spans="16:17">
      <c r="P441" s="12" t="s">
        <v>396</v>
      </c>
      <c r="Q441" s="12">
        <v>41661559</v>
      </c>
    </row>
    <row r="442" spans="16:17">
      <c r="P442" s="12" t="s">
        <v>997</v>
      </c>
      <c r="Q442" s="12">
        <v>41661559</v>
      </c>
    </row>
    <row r="443" spans="16:17">
      <c r="P443" s="12" t="s">
        <v>998</v>
      </c>
      <c r="Q443" s="12">
        <v>45475819</v>
      </c>
    </row>
    <row r="444" spans="16:17">
      <c r="P444" s="12" t="s">
        <v>999</v>
      </c>
      <c r="Q444" s="12">
        <v>45475819</v>
      </c>
    </row>
    <row r="445" spans="16:17">
      <c r="P445" s="12" t="s">
        <v>1000</v>
      </c>
      <c r="Q445" s="12">
        <v>45475819</v>
      </c>
    </row>
    <row r="446" spans="16:17">
      <c r="P446" t="s">
        <v>1001</v>
      </c>
      <c r="Q446">
        <v>39911382</v>
      </c>
    </row>
    <row r="447" spans="16:17">
      <c r="P447" s="12" t="s">
        <v>1002</v>
      </c>
      <c r="Q447" s="12">
        <v>40239387</v>
      </c>
    </row>
    <row r="448" spans="16:17">
      <c r="P448" s="12" t="s">
        <v>1003</v>
      </c>
      <c r="Q448" s="12">
        <v>42721687</v>
      </c>
    </row>
    <row r="449" spans="16:17">
      <c r="P449" s="12" t="s">
        <v>1004</v>
      </c>
      <c r="Q449" s="12">
        <v>40239387</v>
      </c>
    </row>
    <row r="450" spans="16:17">
      <c r="P450" s="12" t="s">
        <v>1005</v>
      </c>
      <c r="Q450" s="12">
        <v>42721687</v>
      </c>
    </row>
    <row r="451" spans="16:17">
      <c r="P451" s="12" t="s">
        <v>400</v>
      </c>
      <c r="Q451" s="12">
        <v>42721687</v>
      </c>
    </row>
    <row r="452" spans="16:17">
      <c r="P452" s="12" t="s">
        <v>1006</v>
      </c>
      <c r="Q452" s="12">
        <v>42721687</v>
      </c>
    </row>
    <row r="453" spans="16:17">
      <c r="P453" s="12" t="s">
        <v>1007</v>
      </c>
      <c r="Q453" s="12">
        <v>40135946</v>
      </c>
    </row>
    <row r="454" spans="16:17">
      <c r="P454" s="12" t="s">
        <v>1008</v>
      </c>
      <c r="Q454" s="12">
        <v>31500140</v>
      </c>
    </row>
    <row r="455" spans="16:17">
      <c r="P455" s="12" t="s">
        <v>1009</v>
      </c>
      <c r="Q455" s="12">
        <v>31500140</v>
      </c>
    </row>
    <row r="456" spans="16:17">
      <c r="P456" s="12" t="s">
        <v>402</v>
      </c>
      <c r="Q456" s="12">
        <v>31500140</v>
      </c>
    </row>
    <row r="457" spans="16:17">
      <c r="P457" s="12" t="s">
        <v>1010</v>
      </c>
      <c r="Q457" s="12">
        <v>41474117</v>
      </c>
    </row>
    <row r="458" spans="16:17">
      <c r="P458" s="12" t="s">
        <v>1011</v>
      </c>
      <c r="Q458" s="12">
        <v>41474117</v>
      </c>
    </row>
    <row r="459" spans="16:17">
      <c r="P459" s="12" t="s">
        <v>1012</v>
      </c>
      <c r="Q459" s="12">
        <v>12873</v>
      </c>
    </row>
    <row r="460" spans="16:17">
      <c r="P460" t="s">
        <v>1013</v>
      </c>
      <c r="Q460" s="12">
        <v>12910</v>
      </c>
    </row>
    <row r="461" spans="16:17">
      <c r="P461" s="12" t="s">
        <v>404</v>
      </c>
      <c r="Q461" s="12">
        <v>12910</v>
      </c>
    </row>
    <row r="462" spans="16:17">
      <c r="P462" t="s">
        <v>1014</v>
      </c>
      <c r="Q462" s="12">
        <v>12910</v>
      </c>
    </row>
    <row r="463" spans="16:17">
      <c r="P463" t="s">
        <v>1015</v>
      </c>
      <c r="Q463" s="12">
        <v>12910</v>
      </c>
    </row>
    <row r="464" spans="16:17">
      <c r="P464" t="s">
        <v>1016</v>
      </c>
      <c r="Q464">
        <v>46703873</v>
      </c>
    </row>
    <row r="465" spans="16:17">
      <c r="P465" t="s">
        <v>1017</v>
      </c>
      <c r="Q465">
        <v>46703873</v>
      </c>
    </row>
    <row r="466" spans="16:17">
      <c r="P466" t="s">
        <v>1018</v>
      </c>
      <c r="Q466">
        <v>46703873</v>
      </c>
    </row>
    <row r="467" spans="16:17">
      <c r="P467" s="12" t="s">
        <v>405</v>
      </c>
      <c r="Q467" s="12">
        <v>41572339</v>
      </c>
    </row>
    <row r="468" spans="16:17">
      <c r="P468" s="12" t="s">
        <v>1019</v>
      </c>
      <c r="Q468" s="12">
        <v>41572339</v>
      </c>
    </row>
    <row r="469" spans="16:17">
      <c r="P469" t="s">
        <v>1020</v>
      </c>
      <c r="Q469" s="12">
        <v>12451</v>
      </c>
    </row>
    <row r="470" spans="16:17">
      <c r="P470" s="12" t="s">
        <v>1021</v>
      </c>
      <c r="Q470" s="12">
        <v>12451</v>
      </c>
    </row>
    <row r="471" spans="16:17">
      <c r="P471" s="12" t="s">
        <v>407</v>
      </c>
      <c r="Q471" s="12">
        <v>12451</v>
      </c>
    </row>
    <row r="472" spans="16:17">
      <c r="P472" s="12" t="s">
        <v>409</v>
      </c>
      <c r="Q472" s="12">
        <v>38397294</v>
      </c>
    </row>
    <row r="473" spans="16:17">
      <c r="P473" s="12" t="s">
        <v>411</v>
      </c>
      <c r="Q473" s="12">
        <v>19006792</v>
      </c>
    </row>
    <row r="474" spans="16:17">
      <c r="P474" s="12" t="s">
        <v>1022</v>
      </c>
      <c r="Q474" s="12">
        <v>19006792</v>
      </c>
    </row>
    <row r="475" spans="16:17">
      <c r="P475" s="12" t="s">
        <v>1023</v>
      </c>
      <c r="Q475" s="12">
        <v>45687042</v>
      </c>
    </row>
    <row r="476" spans="16:17">
      <c r="P476" s="12" t="s">
        <v>1024</v>
      </c>
      <c r="Q476" s="12">
        <v>45687042</v>
      </c>
    </row>
    <row r="477" spans="16:17">
      <c r="P477" s="12" t="s">
        <v>413</v>
      </c>
      <c r="Q477" s="12">
        <v>45687042</v>
      </c>
    </row>
    <row r="478" spans="16:17">
      <c r="P478" s="12" t="s">
        <v>1025</v>
      </c>
      <c r="Q478" s="12">
        <v>38863901</v>
      </c>
    </row>
    <row r="479" spans="16:17">
      <c r="P479" t="s">
        <v>1026</v>
      </c>
      <c r="Q479">
        <v>41917769</v>
      </c>
    </row>
    <row r="480" spans="16:17">
      <c r="P480" s="12" t="s">
        <v>1027</v>
      </c>
      <c r="Q480" s="12">
        <v>45322682</v>
      </c>
    </row>
    <row r="481" spans="16:17">
      <c r="P481" s="12" t="s">
        <v>1028</v>
      </c>
      <c r="Q481" s="12">
        <v>45322682</v>
      </c>
    </row>
    <row r="482" spans="16:17">
      <c r="P482" s="12" t="s">
        <v>1029</v>
      </c>
      <c r="Q482" s="12">
        <v>45322682</v>
      </c>
    </row>
    <row r="483" spans="16:17">
      <c r="P483" s="12" t="s">
        <v>415</v>
      </c>
      <c r="Q483" s="12">
        <v>45322682</v>
      </c>
    </row>
    <row r="484" spans="16:17">
      <c r="P484" s="12" t="s">
        <v>1030</v>
      </c>
      <c r="Q484">
        <v>41917769</v>
      </c>
    </row>
    <row r="485" spans="16:17">
      <c r="P485" t="s">
        <v>1031</v>
      </c>
      <c r="Q485">
        <v>41917769</v>
      </c>
    </row>
    <row r="486" spans="16:17">
      <c r="P486" t="s">
        <v>1032</v>
      </c>
      <c r="Q486">
        <v>41917769</v>
      </c>
    </row>
    <row r="487" spans="16:17">
      <c r="P487" t="s">
        <v>1033</v>
      </c>
      <c r="Q487">
        <v>41917769</v>
      </c>
    </row>
    <row r="488" spans="16:17">
      <c r="P488" s="12" t="s">
        <v>1034</v>
      </c>
      <c r="Q488" s="12">
        <v>38167064</v>
      </c>
    </row>
    <row r="489" spans="16:17">
      <c r="P489" s="12" t="s">
        <v>417</v>
      </c>
      <c r="Q489" s="12">
        <v>38167064</v>
      </c>
    </row>
    <row r="490" spans="16:17">
      <c r="P490" s="12" t="s">
        <v>1035</v>
      </c>
      <c r="Q490" s="12">
        <v>38167064</v>
      </c>
    </row>
    <row r="491" spans="16:17">
      <c r="P491" t="s">
        <v>1036</v>
      </c>
      <c r="Q491" s="12">
        <v>38167064</v>
      </c>
    </row>
    <row r="492" spans="16:17">
      <c r="P492" s="12" t="s">
        <v>1037</v>
      </c>
      <c r="Q492" s="12">
        <v>38167064</v>
      </c>
    </row>
    <row r="493" spans="16:17">
      <c r="P493" s="12" t="s">
        <v>418</v>
      </c>
      <c r="Q493" s="12">
        <v>39270268</v>
      </c>
    </row>
    <row r="494" spans="16:17">
      <c r="P494" s="12" t="s">
        <v>1038</v>
      </c>
      <c r="Q494" s="12">
        <v>40134174</v>
      </c>
    </row>
    <row r="495" spans="16:17">
      <c r="P495" s="12" t="s">
        <v>1039</v>
      </c>
      <c r="Q495" s="12">
        <v>40134174</v>
      </c>
    </row>
    <row r="496" spans="16:17">
      <c r="P496" s="12" t="s">
        <v>420</v>
      </c>
      <c r="Q496" s="12">
        <v>40134174</v>
      </c>
    </row>
    <row r="497" spans="16:17">
      <c r="P497" s="12" t="s">
        <v>1040</v>
      </c>
      <c r="Q497" s="12">
        <v>40134174</v>
      </c>
    </row>
    <row r="498" spans="16:17">
      <c r="P498" s="12" t="s">
        <v>1041</v>
      </c>
      <c r="Q498" s="12">
        <v>40713272</v>
      </c>
    </row>
    <row r="499" spans="16:17">
      <c r="P499" s="12" t="s">
        <v>1042</v>
      </c>
      <c r="Q499" s="12">
        <v>40713272</v>
      </c>
    </row>
    <row r="500" spans="16:17">
      <c r="P500" s="12" t="s">
        <v>1043</v>
      </c>
      <c r="Q500" s="12">
        <v>40713272</v>
      </c>
    </row>
    <row r="501" spans="16:17">
      <c r="P501" s="12" t="s">
        <v>1044</v>
      </c>
      <c r="Q501" s="12">
        <v>40713272</v>
      </c>
    </row>
    <row r="502" spans="16:17">
      <c r="P502" s="12" t="s">
        <v>1045</v>
      </c>
      <c r="Q502" s="12">
        <v>32949966</v>
      </c>
    </row>
    <row r="503" spans="16:17">
      <c r="P503" s="12" t="s">
        <v>1046</v>
      </c>
      <c r="Q503" s="12">
        <v>12874</v>
      </c>
    </row>
    <row r="504" spans="16:17">
      <c r="P504" s="12" t="s">
        <v>1047</v>
      </c>
      <c r="Q504" s="12">
        <v>36065505</v>
      </c>
    </row>
    <row r="505" spans="16:17">
      <c r="P505" s="12" t="s">
        <v>1048</v>
      </c>
      <c r="Q505" s="12">
        <v>33672</v>
      </c>
    </row>
    <row r="506" spans="16:17">
      <c r="P506" s="12" t="s">
        <v>1049</v>
      </c>
      <c r="Q506" s="12">
        <v>33672</v>
      </c>
    </row>
    <row r="507" spans="16:17">
      <c r="P507" t="s">
        <v>1050</v>
      </c>
      <c r="Q507">
        <v>46991061</v>
      </c>
    </row>
    <row r="508" spans="16:17">
      <c r="P508" t="s">
        <v>1051</v>
      </c>
      <c r="Q508">
        <v>46991061</v>
      </c>
    </row>
    <row r="509" spans="16:17">
      <c r="P509" t="s">
        <v>1052</v>
      </c>
      <c r="Q509">
        <v>46991061</v>
      </c>
    </row>
    <row r="510" spans="16:17">
      <c r="P510" t="s">
        <v>1053</v>
      </c>
      <c r="Q510">
        <v>46991061</v>
      </c>
    </row>
    <row r="511" spans="16:17">
      <c r="P511" t="s">
        <v>1054</v>
      </c>
      <c r="Q511">
        <v>46991061</v>
      </c>
    </row>
    <row r="512" spans="16:17">
      <c r="P512" s="12" t="s">
        <v>1055</v>
      </c>
      <c r="Q512" s="12">
        <v>44791648</v>
      </c>
    </row>
    <row r="513" spans="16:17">
      <c r="P513" s="12" t="s">
        <v>1056</v>
      </c>
      <c r="Q513" s="12">
        <v>44791648</v>
      </c>
    </row>
    <row r="514" spans="16:17">
      <c r="P514" s="12" t="s">
        <v>1057</v>
      </c>
      <c r="Q514" s="12">
        <v>12803</v>
      </c>
    </row>
    <row r="515" spans="16:17">
      <c r="P515" s="12" t="s">
        <v>422</v>
      </c>
      <c r="Q515" s="12">
        <v>12803</v>
      </c>
    </row>
    <row r="516" spans="16:17">
      <c r="P516" t="s">
        <v>1058</v>
      </c>
      <c r="Q516">
        <v>33669832</v>
      </c>
    </row>
    <row r="517" spans="16:17">
      <c r="P517" s="12" t="s">
        <v>1059</v>
      </c>
      <c r="Q517" s="12">
        <v>13456</v>
      </c>
    </row>
    <row r="518" spans="16:17">
      <c r="P518" s="12" t="s">
        <v>1060</v>
      </c>
      <c r="Q518" s="12">
        <v>41454603</v>
      </c>
    </row>
    <row r="519" spans="16:17">
      <c r="P519" t="s">
        <v>1061</v>
      </c>
      <c r="Q519">
        <v>33669832</v>
      </c>
    </row>
    <row r="520" spans="16:17">
      <c r="P520" t="s">
        <v>1062</v>
      </c>
      <c r="Q520">
        <v>33669832</v>
      </c>
    </row>
    <row r="521" spans="16:17">
      <c r="P521" s="12" t="s">
        <v>1063</v>
      </c>
      <c r="Q521" s="12">
        <v>34307080</v>
      </c>
    </row>
    <row r="522" spans="16:17">
      <c r="P522" t="s">
        <v>1064</v>
      </c>
      <c r="Q522">
        <v>44698317</v>
      </c>
    </row>
    <row r="523" spans="16:17">
      <c r="P523" t="s">
        <v>1065</v>
      </c>
      <c r="Q523">
        <v>44698317</v>
      </c>
    </row>
    <row r="524" spans="16:17">
      <c r="P524" t="s">
        <v>1066</v>
      </c>
      <c r="Q524">
        <v>44698317</v>
      </c>
    </row>
    <row r="525" spans="16:17">
      <c r="P525" t="s">
        <v>1067</v>
      </c>
      <c r="Q525">
        <v>44698317</v>
      </c>
    </row>
    <row r="526" spans="16:17">
      <c r="P526" s="12" t="s">
        <v>1068</v>
      </c>
      <c r="Q526" s="12">
        <v>34307080</v>
      </c>
    </row>
    <row r="527" spans="16:17">
      <c r="P527" s="12" t="s">
        <v>424</v>
      </c>
      <c r="Q527" s="12">
        <v>34307080</v>
      </c>
    </row>
    <row r="528" spans="16:17">
      <c r="P528" s="12" t="s">
        <v>1069</v>
      </c>
      <c r="Q528" s="12">
        <v>39310688</v>
      </c>
    </row>
    <row r="529" spans="16:17">
      <c r="P529" s="12" t="s">
        <v>1070</v>
      </c>
      <c r="Q529" s="12">
        <v>39310688</v>
      </c>
    </row>
    <row r="530" spans="16:17">
      <c r="P530" t="s">
        <v>1071</v>
      </c>
      <c r="Q530" s="12">
        <v>39310688</v>
      </c>
    </row>
    <row r="531" spans="16:17">
      <c r="P531" s="12" t="s">
        <v>1072</v>
      </c>
      <c r="Q531" s="12">
        <v>41756260</v>
      </c>
    </row>
    <row r="532" spans="16:17">
      <c r="P532" s="12" t="s">
        <v>1073</v>
      </c>
      <c r="Q532" s="12">
        <v>41756260</v>
      </c>
    </row>
    <row r="533" spans="16:17">
      <c r="P533" s="12" t="s">
        <v>1074</v>
      </c>
      <c r="Q533" s="12">
        <v>41756260</v>
      </c>
    </row>
    <row r="534" spans="16:17">
      <c r="P534" s="12" t="s">
        <v>1075</v>
      </c>
      <c r="Q534" s="12">
        <v>41756260</v>
      </c>
    </row>
    <row r="535" spans="16:17">
      <c r="P535" s="12" t="s">
        <v>1076</v>
      </c>
      <c r="Q535" s="12">
        <v>31559785</v>
      </c>
    </row>
    <row r="536" spans="16:17">
      <c r="P536" t="s">
        <v>1077</v>
      </c>
      <c r="Q536" s="12">
        <v>31559785</v>
      </c>
    </row>
    <row r="537" spans="16:17">
      <c r="P537" s="12" t="s">
        <v>1078</v>
      </c>
      <c r="Q537" s="12">
        <v>31559785</v>
      </c>
    </row>
    <row r="538" spans="16:17">
      <c r="P538" s="12" t="s">
        <v>1079</v>
      </c>
      <c r="Q538" s="12">
        <v>41756260</v>
      </c>
    </row>
    <row r="539" spans="16:17">
      <c r="P539" t="s">
        <v>1080</v>
      </c>
      <c r="Q539" s="12">
        <v>41756260</v>
      </c>
    </row>
    <row r="540" spans="16:17">
      <c r="P540" s="12" t="s">
        <v>1081</v>
      </c>
      <c r="Q540" s="12">
        <v>41756260</v>
      </c>
    </row>
    <row r="541" spans="16:17">
      <c r="P541" s="12" t="s">
        <v>425</v>
      </c>
      <c r="Q541" s="12">
        <v>31559785</v>
      </c>
    </row>
    <row r="542" spans="16:17">
      <c r="P542" s="12" t="s">
        <v>1082</v>
      </c>
      <c r="Q542" s="12">
        <v>31559785</v>
      </c>
    </row>
    <row r="543" spans="16:17">
      <c r="P543" s="12" t="s">
        <v>1083</v>
      </c>
      <c r="Q543" s="12">
        <v>31559785</v>
      </c>
    </row>
    <row r="544" spans="16:17">
      <c r="P544" s="12" t="s">
        <v>1084</v>
      </c>
      <c r="Q544" s="12">
        <v>31559785</v>
      </c>
    </row>
    <row r="545" spans="16:17">
      <c r="P545" t="s">
        <v>1085</v>
      </c>
      <c r="Q545" s="12">
        <v>41756260</v>
      </c>
    </row>
    <row r="546" spans="16:17">
      <c r="P546" s="12" t="s">
        <v>1086</v>
      </c>
      <c r="Q546" s="12">
        <v>39985884</v>
      </c>
    </row>
    <row r="547" spans="16:17">
      <c r="P547" s="12" t="s">
        <v>427</v>
      </c>
      <c r="Q547" s="12">
        <v>45689409</v>
      </c>
    </row>
    <row r="548" spans="16:17">
      <c r="P548" s="12" t="s">
        <v>1087</v>
      </c>
      <c r="Q548" s="12">
        <v>45689409</v>
      </c>
    </row>
    <row r="549" spans="16:17">
      <c r="P549" s="12" t="s">
        <v>1088</v>
      </c>
      <c r="Q549" s="12">
        <v>39985884</v>
      </c>
    </row>
    <row r="550" spans="16:17">
      <c r="P550" s="12" t="s">
        <v>1089</v>
      </c>
      <c r="Q550" s="12">
        <v>39985884</v>
      </c>
    </row>
    <row r="551" spans="16:17">
      <c r="P551" s="12" t="s">
        <v>1090</v>
      </c>
      <c r="Q551" s="12">
        <v>39985884</v>
      </c>
    </row>
    <row r="552" spans="16:17">
      <c r="P552" s="12" t="s">
        <v>1091</v>
      </c>
      <c r="Q552" s="12">
        <v>40394022</v>
      </c>
    </row>
    <row r="553" spans="16:17">
      <c r="P553" s="12" t="s">
        <v>1092</v>
      </c>
      <c r="Q553" s="12">
        <v>42942049</v>
      </c>
    </row>
    <row r="554" spans="16:17">
      <c r="P554" t="s">
        <v>1093</v>
      </c>
      <c r="Q554" s="12">
        <v>42942049</v>
      </c>
    </row>
    <row r="555" spans="16:17">
      <c r="P555" s="12" t="s">
        <v>429</v>
      </c>
      <c r="Q555" s="12">
        <v>42942049</v>
      </c>
    </row>
    <row r="556" spans="16:17">
      <c r="P556" s="12" t="s">
        <v>1094</v>
      </c>
      <c r="Q556" s="12">
        <v>42942049</v>
      </c>
    </row>
    <row r="557" spans="16:17">
      <c r="P557" s="12" t="s">
        <v>431</v>
      </c>
      <c r="Q557" s="12">
        <v>46003114</v>
      </c>
    </row>
    <row r="558" spans="16:17">
      <c r="P558" s="12" t="s">
        <v>1095</v>
      </c>
      <c r="Q558" s="12">
        <v>46003114</v>
      </c>
    </row>
    <row r="559" spans="16:17">
      <c r="P559" s="12" t="s">
        <v>1096</v>
      </c>
      <c r="Q559" s="12">
        <v>46003114</v>
      </c>
    </row>
    <row r="560" spans="16:17">
      <c r="P560" s="12" t="s">
        <v>1097</v>
      </c>
      <c r="Q560" s="12">
        <v>46003114</v>
      </c>
    </row>
    <row r="561" spans="16:17">
      <c r="P561" t="s">
        <v>1098</v>
      </c>
      <c r="Q561" s="12">
        <v>46003114</v>
      </c>
    </row>
    <row r="562" spans="16:17">
      <c r="P562" t="s">
        <v>1099</v>
      </c>
      <c r="Q562">
        <v>95372579</v>
      </c>
    </row>
    <row r="563" spans="16:17">
      <c r="P563" t="s">
        <v>1100</v>
      </c>
      <c r="Q563">
        <v>95372579</v>
      </c>
    </row>
    <row r="564" spans="16:17">
      <c r="P564" t="s">
        <v>1101</v>
      </c>
      <c r="Q564">
        <v>95372579</v>
      </c>
    </row>
    <row r="565" spans="16:17">
      <c r="P565" s="12" t="s">
        <v>1102</v>
      </c>
      <c r="Q565" s="12">
        <v>12104</v>
      </c>
    </row>
    <row r="566" spans="16:17">
      <c r="P566" s="12" t="s">
        <v>1103</v>
      </c>
      <c r="Q566" s="12">
        <v>46280094</v>
      </c>
    </row>
    <row r="567" spans="16:17">
      <c r="P567" t="s">
        <v>1104</v>
      </c>
      <c r="Q567">
        <v>46280094</v>
      </c>
    </row>
    <row r="568" spans="16:17">
      <c r="P568" t="s">
        <v>1105</v>
      </c>
      <c r="Q568">
        <v>45322664</v>
      </c>
    </row>
    <row r="569" spans="16:17">
      <c r="P569" s="12" t="s">
        <v>1106</v>
      </c>
      <c r="Q569" s="12">
        <v>31559785</v>
      </c>
    </row>
    <row r="570" spans="16:17">
      <c r="P570" s="12" t="s">
        <v>432</v>
      </c>
      <c r="Q570" s="12">
        <v>35657751</v>
      </c>
    </row>
    <row r="571" spans="16:17">
      <c r="P571" s="12" t="s">
        <v>1107</v>
      </c>
      <c r="Q571" s="12">
        <v>40378724</v>
      </c>
    </row>
    <row r="572" spans="16:17">
      <c r="P572" s="12" t="s">
        <v>1108</v>
      </c>
      <c r="Q572" s="12">
        <v>36156821</v>
      </c>
    </row>
    <row r="573" spans="16:17">
      <c r="P573" s="12" t="s">
        <v>1109</v>
      </c>
      <c r="Q573" s="12">
        <v>36393322</v>
      </c>
    </row>
    <row r="574" spans="16:17">
      <c r="P574" s="12" t="s">
        <v>434</v>
      </c>
      <c r="Q574" s="12">
        <v>36393322</v>
      </c>
    </row>
    <row r="575" spans="16:17">
      <c r="P575" t="s">
        <v>1110</v>
      </c>
      <c r="Q575" s="12">
        <v>25512003</v>
      </c>
    </row>
    <row r="576" spans="16:17">
      <c r="P576" t="s">
        <v>1111</v>
      </c>
      <c r="Q576" s="12">
        <v>25512003</v>
      </c>
    </row>
    <row r="577" spans="16:17">
      <c r="P577" t="s">
        <v>1112</v>
      </c>
      <c r="Q577" s="12">
        <v>25512003</v>
      </c>
    </row>
    <row r="578" spans="16:17">
      <c r="P578" s="12" t="s">
        <v>1113</v>
      </c>
      <c r="Q578" s="12">
        <v>25512003</v>
      </c>
    </row>
    <row r="579" spans="16:17">
      <c r="P579" t="s">
        <v>1114</v>
      </c>
      <c r="Q579">
        <v>25512003</v>
      </c>
    </row>
    <row r="580" spans="16:17">
      <c r="P580" t="s">
        <v>1115</v>
      </c>
      <c r="Q580">
        <v>25512003</v>
      </c>
    </row>
    <row r="581" spans="16:17">
      <c r="P581" s="12" t="s">
        <v>1116</v>
      </c>
      <c r="Q581" s="12">
        <v>25512003</v>
      </c>
    </row>
    <row r="582" spans="16:17">
      <c r="P582" s="12" t="s">
        <v>1117</v>
      </c>
      <c r="Q582" s="12">
        <v>25512003</v>
      </c>
    </row>
    <row r="583" spans="16:17">
      <c r="P583" s="12" t="s">
        <v>1118</v>
      </c>
      <c r="Q583" s="12">
        <v>42721592</v>
      </c>
    </row>
    <row r="584" spans="16:17">
      <c r="P584" s="12" t="s">
        <v>1119</v>
      </c>
      <c r="Q584" s="12">
        <v>42721592</v>
      </c>
    </row>
    <row r="585" spans="16:17">
      <c r="P585" s="12" t="s">
        <v>1120</v>
      </c>
      <c r="Q585" s="12">
        <v>45750108</v>
      </c>
    </row>
    <row r="586" spans="16:17">
      <c r="P586" s="12" t="s">
        <v>1121</v>
      </c>
      <c r="Q586" s="12">
        <v>45750108</v>
      </c>
    </row>
    <row r="587" spans="16:17">
      <c r="P587" s="12" t="s">
        <v>1122</v>
      </c>
      <c r="Q587" s="12">
        <v>25512003</v>
      </c>
    </row>
    <row r="588" spans="16:17">
      <c r="P588" s="12" t="s">
        <v>1123</v>
      </c>
      <c r="Q588" s="12">
        <v>25512003</v>
      </c>
    </row>
    <row r="589" spans="16:17">
      <c r="P589" s="12" t="s">
        <v>1124</v>
      </c>
      <c r="Q589" s="12">
        <v>25512003</v>
      </c>
    </row>
    <row r="590" spans="16:17">
      <c r="P590" s="12" t="s">
        <v>1125</v>
      </c>
      <c r="Q590" s="12">
        <v>25512003</v>
      </c>
    </row>
    <row r="591" spans="16:17">
      <c r="P591" s="12" t="s">
        <v>1126</v>
      </c>
      <c r="Q591" s="12">
        <v>25512003</v>
      </c>
    </row>
    <row r="592" spans="16:17">
      <c r="P592" s="12" t="s">
        <v>435</v>
      </c>
      <c r="Q592" s="12">
        <v>42721592</v>
      </c>
    </row>
    <row r="593" spans="16:17">
      <c r="P593" s="12" t="s">
        <v>1127</v>
      </c>
      <c r="Q593" s="12">
        <v>40239501</v>
      </c>
    </row>
    <row r="594" spans="16:17">
      <c r="P594" s="12" t="s">
        <v>1128</v>
      </c>
      <c r="Q594" s="12">
        <v>40239501</v>
      </c>
    </row>
    <row r="595" spans="16:17">
      <c r="P595" s="12" t="s">
        <v>1129</v>
      </c>
      <c r="Q595" s="12">
        <v>40239501</v>
      </c>
    </row>
    <row r="596" spans="16:17">
      <c r="P596" s="12" t="s">
        <v>1130</v>
      </c>
      <c r="Q596" s="12">
        <v>40239501</v>
      </c>
    </row>
    <row r="597" spans="16:17">
      <c r="P597" s="12" t="s">
        <v>437</v>
      </c>
      <c r="Q597" s="12">
        <v>40239501</v>
      </c>
    </row>
    <row r="598" spans="16:17">
      <c r="P598" t="s">
        <v>1131</v>
      </c>
      <c r="Q598" s="12">
        <v>27769883</v>
      </c>
    </row>
    <row r="599" spans="16:17">
      <c r="P599" s="12" t="s">
        <v>439</v>
      </c>
      <c r="Q599" s="12">
        <v>27769883</v>
      </c>
    </row>
    <row r="600" spans="16:17">
      <c r="P600" s="12" t="s">
        <v>1132</v>
      </c>
      <c r="Q600" s="12">
        <v>12207</v>
      </c>
    </row>
    <row r="601" spans="16:17">
      <c r="P601" t="s">
        <v>1133</v>
      </c>
      <c r="Q601">
        <v>44484026</v>
      </c>
    </row>
    <row r="602" spans="16:17">
      <c r="P602" t="s">
        <v>1134</v>
      </c>
      <c r="Q602">
        <v>44484026</v>
      </c>
    </row>
    <row r="603" spans="16:17">
      <c r="P603" s="12" t="s">
        <v>1135</v>
      </c>
      <c r="Q603" s="12">
        <v>44318588</v>
      </c>
    </row>
    <row r="604" spans="16:17">
      <c r="P604" s="12" t="s">
        <v>1136</v>
      </c>
      <c r="Q604" s="12">
        <v>44318588</v>
      </c>
    </row>
    <row r="605" spans="16:17">
      <c r="P605" s="12" t="s">
        <v>1137</v>
      </c>
      <c r="Q605" s="12">
        <v>44318588</v>
      </c>
    </row>
    <row r="606" spans="16:17">
      <c r="P606" s="12" t="s">
        <v>441</v>
      </c>
      <c r="Q606" s="12">
        <v>44318588</v>
      </c>
    </row>
    <row r="607" spans="16:17">
      <c r="P607" s="12" t="s">
        <v>1138</v>
      </c>
      <c r="Q607" s="12">
        <v>42146906</v>
      </c>
    </row>
    <row r="608" spans="16:17">
      <c r="P608" s="12" t="s">
        <v>1139</v>
      </c>
      <c r="Q608" s="12">
        <v>43301986</v>
      </c>
    </row>
    <row r="609" spans="16:17">
      <c r="P609" s="12" t="s">
        <v>1140</v>
      </c>
      <c r="Q609" s="12">
        <v>33716031</v>
      </c>
    </row>
    <row r="610" spans="16:17">
      <c r="P610" s="12" t="s">
        <v>1141</v>
      </c>
      <c r="Q610" s="12">
        <v>12385</v>
      </c>
    </row>
    <row r="611" spans="16:17">
      <c r="P611" s="12" t="s">
        <v>1142</v>
      </c>
      <c r="Q611" s="12">
        <v>44006001</v>
      </c>
    </row>
    <row r="612" spans="16:17">
      <c r="P612" s="12" t="s">
        <v>1143</v>
      </c>
      <c r="Q612" s="12">
        <v>44006001</v>
      </c>
    </row>
    <row r="613" spans="16:17">
      <c r="P613" t="s">
        <v>1144</v>
      </c>
      <c r="Q613" s="12">
        <v>44006001</v>
      </c>
    </row>
    <row r="614" spans="16:17">
      <c r="P614" s="12" t="s">
        <v>442</v>
      </c>
      <c r="Q614" s="12">
        <v>44006001</v>
      </c>
    </row>
    <row r="615" spans="16:17">
      <c r="P615" s="12" t="s">
        <v>1145</v>
      </c>
      <c r="Q615" s="12">
        <v>22508743</v>
      </c>
    </row>
    <row r="616" spans="16:17">
      <c r="P616" s="12" t="s">
        <v>1146</v>
      </c>
      <c r="Q616" s="12">
        <v>22508743</v>
      </c>
    </row>
    <row r="617" spans="16:17">
      <c r="P617" s="12" t="s">
        <v>444</v>
      </c>
      <c r="Q617" s="12">
        <v>22508743</v>
      </c>
    </row>
    <row r="618" spans="16:17">
      <c r="P618" t="s">
        <v>1147</v>
      </c>
      <c r="Q618" s="12">
        <v>22508743</v>
      </c>
    </row>
    <row r="619" spans="16:17">
      <c r="P619" t="s">
        <v>1148</v>
      </c>
      <c r="Q619" s="12">
        <v>22508743</v>
      </c>
    </row>
    <row r="620" spans="16:17">
      <c r="P620" t="s">
        <v>1149</v>
      </c>
      <c r="Q620">
        <v>33930</v>
      </c>
    </row>
    <row r="621" spans="16:17">
      <c r="P621" s="12" t="s">
        <v>1150</v>
      </c>
      <c r="Q621" s="12">
        <v>38636427</v>
      </c>
    </row>
    <row r="622" spans="16:17">
      <c r="P622" s="12" t="s">
        <v>1151</v>
      </c>
      <c r="Q622" s="12">
        <v>17586981</v>
      </c>
    </row>
    <row r="623" spans="16:17">
      <c r="P623" s="12" t="s">
        <v>1152</v>
      </c>
      <c r="Q623" s="12">
        <v>41670526</v>
      </c>
    </row>
    <row r="624" spans="16:17">
      <c r="P624" s="12" t="s">
        <v>1153</v>
      </c>
      <c r="Q624" s="12">
        <v>35166947</v>
      </c>
    </row>
    <row r="625" spans="16:17">
      <c r="P625" s="12" t="s">
        <v>1154</v>
      </c>
      <c r="Q625" s="12">
        <v>35905514</v>
      </c>
    </row>
    <row r="626" spans="16:17">
      <c r="P626" s="12" t="s">
        <v>1155</v>
      </c>
      <c r="Q626" s="12">
        <v>45298394</v>
      </c>
    </row>
    <row r="627" spans="16:17">
      <c r="P627" t="s">
        <v>1156</v>
      </c>
      <c r="Q627" s="12">
        <v>35166947</v>
      </c>
    </row>
    <row r="628" spans="16:17">
      <c r="P628" s="12" t="s">
        <v>1157</v>
      </c>
      <c r="Q628" s="12">
        <v>38176948</v>
      </c>
    </row>
    <row r="629" spans="16:17">
      <c r="P629" t="s">
        <v>1158</v>
      </c>
      <c r="Q629" s="12">
        <v>38176948</v>
      </c>
    </row>
    <row r="630" spans="16:17">
      <c r="P630" t="s">
        <v>1159</v>
      </c>
      <c r="Q630" s="12">
        <v>35166947</v>
      </c>
    </row>
    <row r="631" spans="16:17">
      <c r="P631" s="12" t="s">
        <v>1160</v>
      </c>
      <c r="Q631" s="12">
        <v>35166947</v>
      </c>
    </row>
    <row r="632" spans="16:17">
      <c r="P632" s="12" t="s">
        <v>1161</v>
      </c>
      <c r="Q632" s="12">
        <v>44936421</v>
      </c>
    </row>
    <row r="633" spans="16:17">
      <c r="P633" s="12" t="s">
        <v>446</v>
      </c>
      <c r="Q633" s="12">
        <v>24646968</v>
      </c>
    </row>
    <row r="634" spans="16:17">
      <c r="P634" s="12" t="s">
        <v>1162</v>
      </c>
      <c r="Q634" s="12">
        <v>24646968</v>
      </c>
    </row>
    <row r="635" spans="16:17">
      <c r="P635" t="s">
        <v>1163</v>
      </c>
      <c r="Q635" s="12">
        <v>24646968</v>
      </c>
    </row>
    <row r="636" spans="16:17">
      <c r="P636" s="12" t="s">
        <v>1164</v>
      </c>
      <c r="Q636" s="12">
        <v>35401598</v>
      </c>
    </row>
    <row r="637" spans="16:17">
      <c r="P637" s="12" t="s">
        <v>447</v>
      </c>
      <c r="Q637" s="12">
        <v>35905514</v>
      </c>
    </row>
    <row r="638" spans="16:17">
      <c r="P638" s="12" t="s">
        <v>1165</v>
      </c>
      <c r="Q638" s="12">
        <v>35905514</v>
      </c>
    </row>
    <row r="639" spans="16:17">
      <c r="P639" s="12" t="s">
        <v>1166</v>
      </c>
      <c r="Q639" s="12">
        <v>35905514</v>
      </c>
    </row>
    <row r="640" spans="16:17">
      <c r="P640" s="12" t="s">
        <v>1167</v>
      </c>
      <c r="Q640" s="12">
        <v>36082962</v>
      </c>
    </row>
    <row r="641" spans="16:17">
      <c r="P641" s="12" t="s">
        <v>1168</v>
      </c>
      <c r="Q641" s="12">
        <v>36741033</v>
      </c>
    </row>
    <row r="642" spans="16:17">
      <c r="P642" s="12" t="s">
        <v>449</v>
      </c>
      <c r="Q642" s="12">
        <v>45298394</v>
      </c>
    </row>
    <row r="643" spans="16:17">
      <c r="P643" s="12" t="s">
        <v>1169</v>
      </c>
      <c r="Q643" s="12">
        <v>38176948</v>
      </c>
    </row>
    <row r="644" spans="16:17">
      <c r="P644" s="12" t="s">
        <v>1170</v>
      </c>
      <c r="Q644" s="12">
        <v>38176948</v>
      </c>
    </row>
    <row r="645" spans="16:17">
      <c r="P645" s="12" t="s">
        <v>450</v>
      </c>
      <c r="Q645" s="12">
        <v>38176948</v>
      </c>
    </row>
    <row r="646" spans="16:17">
      <c r="P646" s="12" t="s">
        <v>1171</v>
      </c>
      <c r="Q646" s="12">
        <v>35166947</v>
      </c>
    </row>
    <row r="647" spans="16:17">
      <c r="P647" s="12" t="s">
        <v>1172</v>
      </c>
      <c r="Q647" s="12">
        <v>35166947</v>
      </c>
    </row>
    <row r="648" spans="16:17">
      <c r="P648" s="12" t="s">
        <v>1173</v>
      </c>
      <c r="Q648" s="12">
        <v>38152546</v>
      </c>
    </row>
    <row r="649" spans="16:17">
      <c r="P649" s="12" t="s">
        <v>454</v>
      </c>
      <c r="Q649" s="12">
        <v>44936421</v>
      </c>
    </row>
    <row r="650" spans="16:17">
      <c r="P650" s="12" t="s">
        <v>1174</v>
      </c>
      <c r="Q650" s="12">
        <v>35905514</v>
      </c>
    </row>
    <row r="651" spans="16:17">
      <c r="P651" s="12" t="s">
        <v>1175</v>
      </c>
      <c r="Q651" s="12">
        <v>35166947</v>
      </c>
    </row>
    <row r="652" spans="16:17">
      <c r="P652" t="s">
        <v>1176</v>
      </c>
      <c r="Q652" s="12">
        <v>43896868</v>
      </c>
    </row>
    <row r="653" spans="16:17">
      <c r="P653" s="12" t="s">
        <v>456</v>
      </c>
      <c r="Q653" s="12">
        <v>43896868</v>
      </c>
    </row>
    <row r="654" spans="16:17">
      <c r="P654" s="12" t="s">
        <v>1177</v>
      </c>
      <c r="Q654" s="12">
        <v>43896868</v>
      </c>
    </row>
    <row r="655" spans="16:17">
      <c r="P655" t="s">
        <v>1178</v>
      </c>
      <c r="Q655" s="12">
        <v>43896868</v>
      </c>
    </row>
    <row r="656" spans="16:17">
      <c r="P656" t="s">
        <v>1179</v>
      </c>
      <c r="Q656" s="12">
        <v>18822937</v>
      </c>
    </row>
    <row r="657" spans="16:17">
      <c r="P657" s="12" t="s">
        <v>457</v>
      </c>
      <c r="Q657" s="12">
        <v>18822937</v>
      </c>
    </row>
    <row r="658" spans="16:17">
      <c r="P658" t="s">
        <v>1180</v>
      </c>
      <c r="Q658" s="12">
        <v>18822937</v>
      </c>
    </row>
    <row r="659" spans="16:17">
      <c r="P659" t="s">
        <v>1181</v>
      </c>
      <c r="Q659" s="12">
        <v>45147543</v>
      </c>
    </row>
    <row r="660" spans="16:17">
      <c r="P660" t="s">
        <v>1182</v>
      </c>
      <c r="Q660" s="12">
        <v>45147543</v>
      </c>
    </row>
    <row r="661" spans="16:17">
      <c r="P661" s="12" t="s">
        <v>1183</v>
      </c>
      <c r="Q661" s="12">
        <v>25474329</v>
      </c>
    </row>
    <row r="662" spans="16:17">
      <c r="P662" s="12" t="s">
        <v>1184</v>
      </c>
      <c r="Q662" s="12">
        <v>45147543</v>
      </c>
    </row>
    <row r="663" spans="16:17">
      <c r="P663" s="12" t="s">
        <v>1185</v>
      </c>
      <c r="Q663" s="12">
        <v>11682</v>
      </c>
    </row>
    <row r="664" spans="16:17">
      <c r="P664" s="12" t="s">
        <v>1186</v>
      </c>
      <c r="Q664" s="12">
        <v>25474329</v>
      </c>
    </row>
    <row r="665" spans="16:17">
      <c r="P665" s="12" t="s">
        <v>459</v>
      </c>
      <c r="Q665" s="12">
        <v>25474329</v>
      </c>
    </row>
    <row r="666" spans="16:17">
      <c r="P666" s="12" t="s">
        <v>1187</v>
      </c>
      <c r="Q666" s="12">
        <v>47085696</v>
      </c>
    </row>
    <row r="667" spans="16:17">
      <c r="P667" s="12" t="s">
        <v>1188</v>
      </c>
      <c r="Q667" s="12">
        <v>47085696</v>
      </c>
    </row>
    <row r="668" spans="16:17">
      <c r="P668" t="s">
        <v>1189</v>
      </c>
      <c r="Q668">
        <v>44940129</v>
      </c>
    </row>
    <row r="669" spans="16:17">
      <c r="P669" t="s">
        <v>1190</v>
      </c>
      <c r="Q669">
        <v>44940129</v>
      </c>
    </row>
    <row r="670" spans="16:17">
      <c r="P670" s="12" t="s">
        <v>1191</v>
      </c>
      <c r="Q670" s="12">
        <v>42237955</v>
      </c>
    </row>
    <row r="671" spans="16:17">
      <c r="P671" s="12" t="s">
        <v>1192</v>
      </c>
      <c r="Q671" s="12">
        <v>42237955</v>
      </c>
    </row>
    <row r="672" spans="16:17">
      <c r="P672" s="12" t="s">
        <v>1193</v>
      </c>
      <c r="Q672" s="12">
        <v>40239501</v>
      </c>
    </row>
    <row r="673" spans="16:17">
      <c r="P673" s="12" t="s">
        <v>1194</v>
      </c>
      <c r="Q673" s="12">
        <v>14121700</v>
      </c>
    </row>
    <row r="674" spans="16:17">
      <c r="P674" t="s">
        <v>1195</v>
      </c>
      <c r="Q674">
        <v>43629203</v>
      </c>
    </row>
    <row r="675" spans="16:17">
      <c r="P675" t="s">
        <v>1196</v>
      </c>
      <c r="Q675">
        <v>43629203</v>
      </c>
    </row>
    <row r="676" spans="16:17">
      <c r="P676" t="s">
        <v>1197</v>
      </c>
      <c r="Q676">
        <v>43629203</v>
      </c>
    </row>
    <row r="677" spans="16:17">
      <c r="P677" t="s">
        <v>1198</v>
      </c>
      <c r="Q677">
        <v>43629203</v>
      </c>
    </row>
    <row r="678" spans="16:17">
      <c r="P678" t="s">
        <v>1199</v>
      </c>
      <c r="Q678">
        <v>43629203</v>
      </c>
    </row>
    <row r="679" spans="16:17">
      <c r="P679" t="s">
        <v>1200</v>
      </c>
      <c r="Q679">
        <v>43629203</v>
      </c>
    </row>
    <row r="680" spans="16:17">
      <c r="P680" s="12" t="s">
        <v>1201</v>
      </c>
      <c r="Q680" s="12">
        <v>38358265</v>
      </c>
    </row>
    <row r="681" spans="16:17">
      <c r="P681" s="12" t="s">
        <v>1202</v>
      </c>
      <c r="Q681" s="12">
        <v>27436279</v>
      </c>
    </row>
    <row r="682" spans="16:17">
      <c r="P682" s="12" t="s">
        <v>1203</v>
      </c>
      <c r="Q682" s="12">
        <v>38358265</v>
      </c>
    </row>
    <row r="683" spans="16:17">
      <c r="P683" t="s">
        <v>1204</v>
      </c>
      <c r="Q683">
        <v>42192687</v>
      </c>
    </row>
    <row r="684" spans="16:17">
      <c r="P684" t="s">
        <v>1205</v>
      </c>
      <c r="Q684">
        <v>42192687</v>
      </c>
    </row>
    <row r="685" spans="16:17">
      <c r="P685" t="s">
        <v>1206</v>
      </c>
      <c r="Q685">
        <v>42192687</v>
      </c>
    </row>
    <row r="686" spans="16:17">
      <c r="P686" t="s">
        <v>1207</v>
      </c>
      <c r="Q686">
        <v>42192687</v>
      </c>
    </row>
    <row r="687" spans="16:17">
      <c r="P687" s="12" t="s">
        <v>1208</v>
      </c>
      <c r="Q687" s="12">
        <v>33977995</v>
      </c>
    </row>
    <row r="688" spans="16:17">
      <c r="P688" s="12" t="s">
        <v>1209</v>
      </c>
      <c r="Q688" s="12">
        <v>39416017</v>
      </c>
    </row>
    <row r="689" spans="16:17">
      <c r="P689" s="12" t="s">
        <v>1210</v>
      </c>
      <c r="Q689" s="12">
        <v>33977995</v>
      </c>
    </row>
    <row r="690" spans="16:17">
      <c r="P690" s="12" t="s">
        <v>463</v>
      </c>
      <c r="Q690" s="12">
        <v>39416017</v>
      </c>
    </row>
    <row r="691" spans="16:17">
      <c r="P691" s="12" t="s">
        <v>1211</v>
      </c>
      <c r="Q691" s="12">
        <v>92854523</v>
      </c>
    </row>
    <row r="692" spans="16:17">
      <c r="P692" s="12" t="s">
        <v>1212</v>
      </c>
      <c r="Q692" s="12">
        <v>32956296</v>
      </c>
    </row>
    <row r="693" spans="16:17">
      <c r="P693" t="s">
        <v>1213</v>
      </c>
      <c r="Q693">
        <v>44260361</v>
      </c>
    </row>
    <row r="694" spans="16:17">
      <c r="P694" t="s">
        <v>1214</v>
      </c>
      <c r="Q694">
        <v>44260361</v>
      </c>
    </row>
    <row r="695" spans="16:17">
      <c r="P695" t="s">
        <v>1215</v>
      </c>
      <c r="Q695">
        <v>44260361</v>
      </c>
    </row>
    <row r="696" spans="16:17">
      <c r="P696" t="s">
        <v>1216</v>
      </c>
      <c r="Q696">
        <v>44260361</v>
      </c>
    </row>
    <row r="697" spans="16:17">
      <c r="P697" t="s">
        <v>1217</v>
      </c>
      <c r="Q697">
        <v>44260361</v>
      </c>
    </row>
    <row r="698" spans="16:17">
      <c r="P698" t="s">
        <v>1218</v>
      </c>
      <c r="Q698">
        <v>44260361</v>
      </c>
    </row>
    <row r="699" spans="16:17">
      <c r="P699" s="12" t="s">
        <v>1219</v>
      </c>
      <c r="Q699" s="12">
        <v>32948</v>
      </c>
    </row>
    <row r="700" spans="16:17">
      <c r="P700" s="12" t="s">
        <v>465</v>
      </c>
      <c r="Q700" s="12">
        <v>32948</v>
      </c>
    </row>
    <row r="701" spans="16:17">
      <c r="P701" s="12" t="s">
        <v>1220</v>
      </c>
      <c r="Q701" s="12">
        <v>45919195</v>
      </c>
    </row>
    <row r="702" spans="16:17">
      <c r="P702" s="12" t="s">
        <v>1221</v>
      </c>
      <c r="Q702" s="12">
        <v>45919195</v>
      </c>
    </row>
    <row r="703" spans="16:17">
      <c r="P703" s="12" t="s">
        <v>1222</v>
      </c>
      <c r="Q703" s="12">
        <v>45919195</v>
      </c>
    </row>
    <row r="704" spans="16:17">
      <c r="P704" s="12" t="s">
        <v>1223</v>
      </c>
      <c r="Q704" s="12">
        <v>45919195</v>
      </c>
    </row>
    <row r="705" spans="16:17">
      <c r="P705" s="12" t="s">
        <v>1224</v>
      </c>
      <c r="Q705" s="12">
        <v>39416403</v>
      </c>
    </row>
    <row r="706" spans="16:17">
      <c r="P706" s="12" t="s">
        <v>1225</v>
      </c>
      <c r="Q706" s="12">
        <v>39416403</v>
      </c>
    </row>
    <row r="707" spans="16:17">
      <c r="P707" s="12" t="s">
        <v>1226</v>
      </c>
      <c r="Q707" s="12">
        <v>33615</v>
      </c>
    </row>
    <row r="708" spans="16:17">
      <c r="P708" s="12" t="s">
        <v>1227</v>
      </c>
      <c r="Q708" s="12">
        <v>44884266</v>
      </c>
    </row>
    <row r="709" spans="16:17">
      <c r="P709" s="12" t="s">
        <v>1228</v>
      </c>
      <c r="Q709" s="12" t="s">
        <v>791</v>
      </c>
    </row>
    <row r="710" spans="16:17">
      <c r="P710" s="12" t="s">
        <v>1229</v>
      </c>
      <c r="Q710" s="12">
        <v>26074677</v>
      </c>
    </row>
    <row r="711" spans="16:17">
      <c r="P711" s="12" t="s">
        <v>1230</v>
      </c>
      <c r="Q711" s="12">
        <v>33615</v>
      </c>
    </row>
    <row r="712" spans="16:17">
      <c r="P712" s="12" t="s">
        <v>1231</v>
      </c>
      <c r="Q712" s="12">
        <v>33615</v>
      </c>
    </row>
    <row r="713" spans="16:17">
      <c r="P713" s="12" t="s">
        <v>467</v>
      </c>
      <c r="Q713" s="12">
        <v>44884266</v>
      </c>
    </row>
    <row r="714" spans="16:17">
      <c r="P714" s="12" t="s">
        <v>469</v>
      </c>
      <c r="Q714" s="12">
        <v>34210219</v>
      </c>
    </row>
    <row r="715" spans="16:17">
      <c r="P715" s="12" t="s">
        <v>1232</v>
      </c>
      <c r="Q715" s="12">
        <v>34210219</v>
      </c>
    </row>
    <row r="716" spans="16:17">
      <c r="P716" t="s">
        <v>1233</v>
      </c>
      <c r="Q716" s="12">
        <v>42662009</v>
      </c>
    </row>
    <row r="717" spans="16:17">
      <c r="P717" t="s">
        <v>1234</v>
      </c>
      <c r="Q717">
        <v>41823505</v>
      </c>
    </row>
    <row r="718" spans="16:17">
      <c r="P718" s="12" t="s">
        <v>1235</v>
      </c>
      <c r="Q718" s="12">
        <v>45356816</v>
      </c>
    </row>
    <row r="719" spans="16:17">
      <c r="P719" s="12" t="s">
        <v>1236</v>
      </c>
      <c r="Q719" s="12">
        <v>45356816</v>
      </c>
    </row>
    <row r="720" spans="16:17">
      <c r="P720" s="12" t="s">
        <v>471</v>
      </c>
      <c r="Q720" s="12">
        <v>42662009</v>
      </c>
    </row>
    <row r="721" spans="16:17">
      <c r="P721" s="12" t="s">
        <v>1237</v>
      </c>
      <c r="Q721" s="12">
        <v>42662009</v>
      </c>
    </row>
    <row r="722" spans="16:17">
      <c r="P722" s="12" t="s">
        <v>1238</v>
      </c>
      <c r="Q722" s="12">
        <v>42662009</v>
      </c>
    </row>
    <row r="723" spans="16:17">
      <c r="P723" s="12" t="s">
        <v>1239</v>
      </c>
      <c r="Q723" s="12">
        <v>30799</v>
      </c>
    </row>
    <row r="724" spans="16:17">
      <c r="P724" s="12" t="s">
        <v>472</v>
      </c>
      <c r="Q724" s="12">
        <v>34514275</v>
      </c>
    </row>
    <row r="725" spans="16:17">
      <c r="P725" s="12" t="s">
        <v>1240</v>
      </c>
      <c r="Q725" s="12">
        <v>34514275</v>
      </c>
    </row>
    <row r="726" spans="16:17">
      <c r="P726" t="s">
        <v>1241</v>
      </c>
      <c r="Q726" s="12">
        <v>34514275</v>
      </c>
    </row>
    <row r="727" spans="16:17">
      <c r="P727" t="s">
        <v>1242</v>
      </c>
      <c r="Q727">
        <v>41823505</v>
      </c>
    </row>
    <row r="728" spans="16:17">
      <c r="P728" t="s">
        <v>1243</v>
      </c>
      <c r="Q728">
        <v>41823505</v>
      </c>
    </row>
    <row r="729" spans="16:17">
      <c r="P729" s="12" t="s">
        <v>1244</v>
      </c>
      <c r="Q729" s="12">
        <v>45356816</v>
      </c>
    </row>
    <row r="730" spans="16:17">
      <c r="P730" s="12" t="s">
        <v>474</v>
      </c>
      <c r="Q730" s="12">
        <v>46285009</v>
      </c>
    </row>
    <row r="731" spans="16:17">
      <c r="P731" t="s">
        <v>1245</v>
      </c>
      <c r="Q731">
        <v>46201746</v>
      </c>
    </row>
    <row r="732" spans="16:17">
      <c r="P732" t="s">
        <v>1246</v>
      </c>
      <c r="Q732">
        <v>46201746</v>
      </c>
    </row>
    <row r="733" spans="16:17">
      <c r="P733" t="s">
        <v>1247</v>
      </c>
      <c r="Q733">
        <v>46201746</v>
      </c>
    </row>
    <row r="734" spans="16:17">
      <c r="P734" t="s">
        <v>1248</v>
      </c>
      <c r="Q734">
        <v>46201746</v>
      </c>
    </row>
    <row r="735" spans="16:17">
      <c r="P735" t="s">
        <v>1249</v>
      </c>
      <c r="Q735">
        <v>46201746</v>
      </c>
    </row>
    <row r="736" spans="16:17">
      <c r="P736" s="12" t="s">
        <v>1250</v>
      </c>
      <c r="Q736" s="12">
        <v>30461376</v>
      </c>
    </row>
    <row r="737" spans="16:17">
      <c r="P737" s="12" t="s">
        <v>476</v>
      </c>
      <c r="Q737" s="12">
        <v>30461376</v>
      </c>
    </row>
    <row r="738" spans="16:17">
      <c r="P738" s="12" t="s">
        <v>1251</v>
      </c>
      <c r="Q738" s="12">
        <v>12434</v>
      </c>
    </row>
    <row r="739" spans="16:17">
      <c r="P739" s="12" t="s">
        <v>478</v>
      </c>
      <c r="Q739" s="12">
        <v>12434</v>
      </c>
    </row>
    <row r="740" spans="16:17">
      <c r="P740" t="s">
        <v>1252</v>
      </c>
      <c r="Q740">
        <v>42056185</v>
      </c>
    </row>
    <row r="741" spans="16:17">
      <c r="P741" t="s">
        <v>1253</v>
      </c>
      <c r="Q741">
        <v>42056185</v>
      </c>
    </row>
    <row r="742" spans="16:17">
      <c r="P742" s="12" t="s">
        <v>1254</v>
      </c>
      <c r="Q742" s="12">
        <v>33796165</v>
      </c>
    </row>
    <row r="743" spans="16:17">
      <c r="P743" t="s">
        <v>1255</v>
      </c>
      <c r="Q743">
        <v>42056185</v>
      </c>
    </row>
    <row r="744" spans="16:17">
      <c r="P744" s="12" t="s">
        <v>1256</v>
      </c>
      <c r="Q744" s="12">
        <v>38243076</v>
      </c>
    </row>
    <row r="745" spans="16:17">
      <c r="P745" t="s">
        <v>1257</v>
      </c>
      <c r="Q745">
        <v>42056185</v>
      </c>
    </row>
    <row r="746" spans="16:17">
      <c r="P746" s="12" t="s">
        <v>480</v>
      </c>
      <c r="Q746" s="12">
        <v>38243076</v>
      </c>
    </row>
    <row r="747" spans="16:17">
      <c r="P747" s="12" t="s">
        <v>1258</v>
      </c>
      <c r="Q747" s="12">
        <v>24062463</v>
      </c>
    </row>
    <row r="748" spans="16:17">
      <c r="P748" s="12" t="s">
        <v>482</v>
      </c>
      <c r="Q748" s="12">
        <v>24062463</v>
      </c>
    </row>
    <row r="749" spans="16:17">
      <c r="P749" s="12" t="s">
        <v>1259</v>
      </c>
      <c r="Q749" s="12">
        <v>38619023</v>
      </c>
    </row>
    <row r="750" spans="16:17">
      <c r="P750" s="12" t="s">
        <v>484</v>
      </c>
      <c r="Q750" s="12">
        <v>38619023</v>
      </c>
    </row>
    <row r="751" spans="16:17">
      <c r="P751" t="s">
        <v>1260</v>
      </c>
      <c r="Q751">
        <v>37019337</v>
      </c>
    </row>
    <row r="752" spans="16:17">
      <c r="P752" t="s">
        <v>1261</v>
      </c>
      <c r="Q752">
        <v>37019337</v>
      </c>
    </row>
    <row r="753" spans="16:17">
      <c r="P753" s="12" t="s">
        <v>1262</v>
      </c>
      <c r="Q753" s="12">
        <v>41692680</v>
      </c>
    </row>
    <row r="754" spans="16:17">
      <c r="P754" s="12" t="s">
        <v>1263</v>
      </c>
      <c r="Q754" s="12">
        <v>41692680</v>
      </c>
    </row>
    <row r="755" spans="16:17">
      <c r="P755" s="12" t="s">
        <v>486</v>
      </c>
      <c r="Q755" s="12">
        <v>41692680</v>
      </c>
    </row>
    <row r="756" spans="16:17">
      <c r="P756" t="s">
        <v>1264</v>
      </c>
      <c r="Q756">
        <v>47787990</v>
      </c>
    </row>
    <row r="757" spans="16:17">
      <c r="P757" s="12" t="s">
        <v>1265</v>
      </c>
      <c r="Q757" s="12">
        <v>12177</v>
      </c>
    </row>
    <row r="758" spans="16:17">
      <c r="P758" s="12" t="s">
        <v>1266</v>
      </c>
      <c r="Q758" s="12">
        <v>12177</v>
      </c>
    </row>
    <row r="759" spans="16:17">
      <c r="P759" t="s">
        <v>1267</v>
      </c>
      <c r="Q759">
        <v>47787990</v>
      </c>
    </row>
    <row r="760" spans="16:17">
      <c r="P760" t="s">
        <v>1268</v>
      </c>
      <c r="Q760">
        <v>47787990</v>
      </c>
    </row>
    <row r="761" spans="16:17">
      <c r="P761" t="s">
        <v>1269</v>
      </c>
      <c r="Q761">
        <v>23643860</v>
      </c>
    </row>
    <row r="762" spans="16:17">
      <c r="P762" t="s">
        <v>1270</v>
      </c>
      <c r="Q762">
        <v>23643860</v>
      </c>
    </row>
    <row r="763" spans="16:17">
      <c r="P763" t="s">
        <v>1271</v>
      </c>
      <c r="Q763">
        <v>23643860</v>
      </c>
    </row>
    <row r="764" spans="16:17">
      <c r="P764" t="s">
        <v>1272</v>
      </c>
      <c r="Q764">
        <v>23643860</v>
      </c>
    </row>
    <row r="765" spans="16:17">
      <c r="P765" t="s">
        <v>1273</v>
      </c>
      <c r="Q765">
        <v>23643860</v>
      </c>
    </row>
    <row r="766" spans="16:17">
      <c r="P766" s="12" t="s">
        <v>1274</v>
      </c>
      <c r="Q766" s="12">
        <v>40128517</v>
      </c>
    </row>
    <row r="767" spans="16:17">
      <c r="P767" t="s">
        <v>1275</v>
      </c>
      <c r="Q767">
        <v>40535524</v>
      </c>
    </row>
    <row r="768" spans="16:17">
      <c r="P768" s="12" t="s">
        <v>1276</v>
      </c>
      <c r="Q768" s="12">
        <v>44965623</v>
      </c>
    </row>
    <row r="769" spans="16:17">
      <c r="P769" s="12" t="s">
        <v>1277</v>
      </c>
      <c r="Q769" s="12">
        <v>43244454</v>
      </c>
    </row>
    <row r="770" spans="16:17">
      <c r="P770" s="12" t="s">
        <v>1278</v>
      </c>
      <c r="Q770" s="12">
        <v>43244454</v>
      </c>
    </row>
    <row r="771" spans="16:17">
      <c r="P771" s="12" t="s">
        <v>1279</v>
      </c>
      <c r="Q771" s="12">
        <v>43244454</v>
      </c>
    </row>
    <row r="772" spans="16:17">
      <c r="P772" s="12" t="s">
        <v>488</v>
      </c>
      <c r="Q772" s="12">
        <v>43244454</v>
      </c>
    </row>
    <row r="773" spans="16:17">
      <c r="P773" s="12" t="s">
        <v>1280</v>
      </c>
      <c r="Q773" s="12">
        <v>40422367</v>
      </c>
    </row>
    <row r="774" spans="16:17">
      <c r="P774" s="12" t="s">
        <v>1281</v>
      </c>
      <c r="Q774" s="12">
        <v>40422367</v>
      </c>
    </row>
    <row r="775" spans="16:17">
      <c r="P775" s="12" t="s">
        <v>1282</v>
      </c>
      <c r="Q775" s="12">
        <v>42021827</v>
      </c>
    </row>
    <row r="776" spans="16:17">
      <c r="P776" s="12" t="s">
        <v>490</v>
      </c>
      <c r="Q776" s="12">
        <v>42021827</v>
      </c>
    </row>
    <row r="777" spans="16:17">
      <c r="P777" s="12" t="s">
        <v>1283</v>
      </c>
      <c r="Q777" s="12">
        <v>39376070</v>
      </c>
    </row>
    <row r="778" spans="16:17">
      <c r="P778" s="12" t="s">
        <v>492</v>
      </c>
      <c r="Q778" s="12">
        <v>39376070</v>
      </c>
    </row>
    <row r="779" spans="16:17">
      <c r="P779" s="12" t="s">
        <v>1284</v>
      </c>
      <c r="Q779" s="12">
        <v>25980677</v>
      </c>
    </row>
    <row r="780" spans="16:17">
      <c r="P780" s="12" t="s">
        <v>1285</v>
      </c>
      <c r="Q780" s="12">
        <v>25980677</v>
      </c>
    </row>
    <row r="781" spans="16:17">
      <c r="P781" s="12" t="s">
        <v>1286</v>
      </c>
      <c r="Q781" s="12">
        <v>25980677</v>
      </c>
    </row>
    <row r="782" spans="16:17">
      <c r="P782" s="12" t="s">
        <v>494</v>
      </c>
      <c r="Q782" s="12">
        <v>25980677</v>
      </c>
    </row>
    <row r="783" spans="16:17">
      <c r="P783" s="12" t="s">
        <v>1287</v>
      </c>
      <c r="Q783" s="12">
        <v>22431238</v>
      </c>
    </row>
    <row r="784" spans="16:17">
      <c r="P784" s="12" t="s">
        <v>496</v>
      </c>
      <c r="Q784" s="12">
        <v>22431238</v>
      </c>
    </row>
    <row r="785" spans="16:17">
      <c r="P785" s="12" t="s">
        <v>1288</v>
      </c>
      <c r="Q785" s="12">
        <v>38486069</v>
      </c>
    </row>
    <row r="786" spans="16:17">
      <c r="P786" s="12" t="s">
        <v>1289</v>
      </c>
      <c r="Q786" s="12">
        <v>34292</v>
      </c>
    </row>
    <row r="787" spans="16:17">
      <c r="P787" t="s">
        <v>1290</v>
      </c>
      <c r="Q787">
        <v>40535524</v>
      </c>
    </row>
    <row r="788" spans="16:17">
      <c r="P788" t="s">
        <v>1291</v>
      </c>
      <c r="Q788">
        <v>40535524</v>
      </c>
    </row>
    <row r="789" spans="16:17">
      <c r="P789" t="s">
        <v>1292</v>
      </c>
      <c r="Q789">
        <v>40535524</v>
      </c>
    </row>
    <row r="790" spans="16:17">
      <c r="P790" t="s">
        <v>1293</v>
      </c>
      <c r="Q790">
        <v>40535524</v>
      </c>
    </row>
    <row r="791" spans="16:17">
      <c r="P791" t="s">
        <v>1294</v>
      </c>
      <c r="Q791">
        <v>40535524</v>
      </c>
    </row>
    <row r="792" spans="16:17">
      <c r="P792" t="s">
        <v>1295</v>
      </c>
      <c r="Q792">
        <v>32762527</v>
      </c>
    </row>
    <row r="793" spans="16:17">
      <c r="P793" t="s">
        <v>1296</v>
      </c>
      <c r="Q793">
        <v>42157414</v>
      </c>
    </row>
    <row r="794" spans="16:17">
      <c r="P794" s="12" t="s">
        <v>1297</v>
      </c>
      <c r="Q794" s="12">
        <v>32791662</v>
      </c>
    </row>
    <row r="795" spans="16:17">
      <c r="P795" s="12" t="s">
        <v>498</v>
      </c>
      <c r="Q795" s="12">
        <v>32791662</v>
      </c>
    </row>
    <row r="796" spans="16:17">
      <c r="P796" s="12" t="s">
        <v>1298</v>
      </c>
      <c r="Q796" s="12">
        <v>12890</v>
      </c>
    </row>
    <row r="797" spans="16:17">
      <c r="P797" s="12" t="s">
        <v>500</v>
      </c>
      <c r="Q797" s="12">
        <v>12890</v>
      </c>
    </row>
    <row r="798" spans="16:17">
      <c r="P798" t="s">
        <v>1299</v>
      </c>
      <c r="Q798" s="12">
        <v>12890</v>
      </c>
    </row>
    <row r="799" spans="16:17">
      <c r="P799" t="s">
        <v>1300</v>
      </c>
      <c r="Q799" s="12">
        <v>44503176</v>
      </c>
    </row>
    <row r="800" spans="16:17">
      <c r="P800" t="s">
        <v>1301</v>
      </c>
      <c r="Q800" s="12">
        <v>44503176</v>
      </c>
    </row>
    <row r="801" spans="16:17">
      <c r="P801" t="s">
        <v>1302</v>
      </c>
      <c r="Q801" s="12">
        <v>44503176</v>
      </c>
    </row>
    <row r="802" spans="16:17">
      <c r="P802" s="12" t="s">
        <v>1303</v>
      </c>
      <c r="Q802" s="12">
        <v>45227870</v>
      </c>
    </row>
    <row r="803" spans="16:17">
      <c r="P803" s="12" t="s">
        <v>1304</v>
      </c>
      <c r="Q803" s="12">
        <v>45227870</v>
      </c>
    </row>
    <row r="804" spans="16:17">
      <c r="P804" s="12" t="s">
        <v>502</v>
      </c>
      <c r="Q804" s="12">
        <v>45227870</v>
      </c>
    </row>
    <row r="805" spans="16:17">
      <c r="P805" s="12" t="s">
        <v>1305</v>
      </c>
      <c r="Q805" s="12">
        <v>45227870</v>
      </c>
    </row>
    <row r="806" spans="16:17">
      <c r="P806" s="12" t="s">
        <v>1306</v>
      </c>
      <c r="Q806" s="12">
        <v>45752944</v>
      </c>
    </row>
    <row r="807" spans="16:17">
      <c r="P807" s="12" t="s">
        <v>504</v>
      </c>
      <c r="Q807" s="12">
        <v>45752944</v>
      </c>
    </row>
    <row r="808" spans="16:17">
      <c r="P808" s="12" t="s">
        <v>506</v>
      </c>
      <c r="Q808" s="12">
        <v>12891</v>
      </c>
    </row>
    <row r="809" spans="16:17">
      <c r="P809" s="12" t="s">
        <v>508</v>
      </c>
      <c r="Q809" s="12">
        <v>12340</v>
      </c>
    </row>
    <row r="810" spans="16:17">
      <c r="P810" t="s">
        <v>1307</v>
      </c>
      <c r="Q810" s="12">
        <v>36696432</v>
      </c>
    </row>
    <row r="811" spans="16:17">
      <c r="P811" s="12" t="s">
        <v>1308</v>
      </c>
      <c r="Q811" s="12">
        <v>44303987</v>
      </c>
    </row>
    <row r="812" spans="16:17">
      <c r="P812" t="s">
        <v>1309</v>
      </c>
      <c r="Q812" s="12">
        <v>44303987</v>
      </c>
    </row>
    <row r="813" spans="16:17">
      <c r="P813" s="12" t="s">
        <v>1310</v>
      </c>
      <c r="Q813" s="12">
        <v>36696432</v>
      </c>
    </row>
    <row r="814" spans="16:17">
      <c r="P814" t="s">
        <v>1311</v>
      </c>
      <c r="Q814" s="12">
        <v>36696432</v>
      </c>
    </row>
    <row r="815" spans="16:17">
      <c r="P815" s="12" t="s">
        <v>1312</v>
      </c>
      <c r="Q815" s="12">
        <v>12685</v>
      </c>
    </row>
    <row r="816" spans="16:17">
      <c r="P816" s="12" t="s">
        <v>1313</v>
      </c>
      <c r="Q816" s="12">
        <v>27678067</v>
      </c>
    </row>
    <row r="817" spans="16:17">
      <c r="P817" s="12" t="s">
        <v>510</v>
      </c>
      <c r="Q817" s="12">
        <v>27678067</v>
      </c>
    </row>
    <row r="818" spans="16:17">
      <c r="P818" t="s">
        <v>1314</v>
      </c>
      <c r="Q818">
        <v>28460124</v>
      </c>
    </row>
    <row r="819" spans="16:17">
      <c r="P819" s="12" t="s">
        <v>1315</v>
      </c>
      <c r="Q819" s="12">
        <v>43987705</v>
      </c>
    </row>
    <row r="820" spans="16:17">
      <c r="P820" t="s">
        <v>1316</v>
      </c>
      <c r="Q820" s="12">
        <v>43987705</v>
      </c>
    </row>
    <row r="821" spans="16:17">
      <c r="P821" s="12" t="s">
        <v>1317</v>
      </c>
      <c r="Q821" s="12">
        <v>43987705</v>
      </c>
    </row>
    <row r="822" spans="16:17">
      <c r="P822" s="12" t="s">
        <v>1318</v>
      </c>
      <c r="Q822" s="12">
        <v>13058</v>
      </c>
    </row>
    <row r="823" spans="16:17">
      <c r="P823" t="s">
        <v>1319</v>
      </c>
      <c r="Q823" s="12">
        <v>12290</v>
      </c>
    </row>
    <row r="824" spans="16:17">
      <c r="P824" s="12" t="s">
        <v>1320</v>
      </c>
      <c r="Q824" s="12">
        <v>12290</v>
      </c>
    </row>
    <row r="825" spans="16:17">
      <c r="P825" s="12" t="s">
        <v>1321</v>
      </c>
      <c r="Q825" s="12">
        <v>12290</v>
      </c>
    </row>
    <row r="826" spans="16:17">
      <c r="P826" s="12" t="s">
        <v>1322</v>
      </c>
      <c r="Q826" s="12">
        <v>12290</v>
      </c>
    </row>
    <row r="827" spans="16:17">
      <c r="P827" s="12" t="s">
        <v>1323</v>
      </c>
      <c r="Q827" s="12">
        <v>42146164</v>
      </c>
    </row>
    <row r="828" spans="16:17">
      <c r="P828" s="12" t="s">
        <v>512</v>
      </c>
      <c r="Q828" s="12">
        <v>42146164</v>
      </c>
    </row>
    <row r="829" spans="16:17">
      <c r="P829" t="s">
        <v>1324</v>
      </c>
      <c r="Q829" s="12">
        <v>42146164</v>
      </c>
    </row>
    <row r="830" spans="16:17">
      <c r="P830" s="12" t="s">
        <v>1325</v>
      </c>
      <c r="Q830" s="12">
        <v>41471324</v>
      </c>
    </row>
    <row r="831" spans="16:17">
      <c r="P831" s="12" t="s">
        <v>1326</v>
      </c>
      <c r="Q831" s="12">
        <v>41471324</v>
      </c>
    </row>
    <row r="832" spans="16:17">
      <c r="P832" s="12" t="s">
        <v>1327</v>
      </c>
      <c r="Q832" s="12">
        <v>41471324</v>
      </c>
    </row>
    <row r="833" spans="16:17">
      <c r="P833" s="12" t="s">
        <v>1328</v>
      </c>
      <c r="Q833" s="12">
        <v>12475</v>
      </c>
    </row>
    <row r="834" spans="16:17">
      <c r="P834" s="12" t="s">
        <v>1329</v>
      </c>
      <c r="Q834" s="12">
        <v>12595</v>
      </c>
    </row>
    <row r="835" spans="16:17">
      <c r="P835" s="12" t="s">
        <v>514</v>
      </c>
      <c r="Q835" s="12">
        <v>12290</v>
      </c>
    </row>
    <row r="836" spans="16:17">
      <c r="P836" s="12" t="s">
        <v>1330</v>
      </c>
      <c r="Q836" s="12">
        <v>12290</v>
      </c>
    </row>
    <row r="837" spans="16:17">
      <c r="P837" s="12" t="s">
        <v>1331</v>
      </c>
      <c r="Q837" s="12">
        <v>41471324</v>
      </c>
    </row>
    <row r="838" spans="16:17">
      <c r="P838" s="12" t="s">
        <v>1332</v>
      </c>
      <c r="Q838" s="12">
        <v>41471324</v>
      </c>
    </row>
    <row r="839" spans="16:17">
      <c r="P839" s="12" t="s">
        <v>1333</v>
      </c>
      <c r="Q839" s="12">
        <v>41471324</v>
      </c>
    </row>
    <row r="840" spans="16:17">
      <c r="P840" s="12" t="s">
        <v>516</v>
      </c>
      <c r="Q840" s="12">
        <v>41471324</v>
      </c>
    </row>
    <row r="841" spans="16:17">
      <c r="P841" s="12" t="s">
        <v>1334</v>
      </c>
      <c r="Q841" s="12">
        <v>12595</v>
      </c>
    </row>
    <row r="842" spans="16:17">
      <c r="P842" s="12" t="s">
        <v>1335</v>
      </c>
      <c r="Q842" s="12">
        <v>12595</v>
      </c>
    </row>
    <row r="843" spans="16:17">
      <c r="P843" t="s">
        <v>1336</v>
      </c>
      <c r="Q843" s="12">
        <v>12595</v>
      </c>
    </row>
    <row r="844" spans="16:17">
      <c r="P844" s="12" t="s">
        <v>517</v>
      </c>
      <c r="Q844" s="12">
        <v>12595</v>
      </c>
    </row>
    <row r="845" spans="16:17">
      <c r="P845" s="12" t="s">
        <v>1337</v>
      </c>
      <c r="Q845" s="12">
        <v>30237443</v>
      </c>
    </row>
    <row r="846" spans="16:17">
      <c r="P846" s="12" t="s">
        <v>519</v>
      </c>
      <c r="Q846" s="12">
        <v>30237443</v>
      </c>
    </row>
    <row r="847" spans="16:17">
      <c r="P847" t="s">
        <v>1338</v>
      </c>
      <c r="Q847" s="12">
        <v>12290</v>
      </c>
    </row>
    <row r="848" spans="16:17">
      <c r="P848" s="12" t="s">
        <v>1339</v>
      </c>
      <c r="Q848" s="12">
        <v>22472519</v>
      </c>
    </row>
    <row r="849" spans="16:17">
      <c r="P849" s="12" t="s">
        <v>1340</v>
      </c>
      <c r="Q849" s="12">
        <v>22472519</v>
      </c>
    </row>
    <row r="850" spans="16:17">
      <c r="P850" s="12" t="s">
        <v>1341</v>
      </c>
      <c r="Q850" s="12">
        <v>37181824</v>
      </c>
    </row>
    <row r="851" spans="16:17">
      <c r="P851" s="12" t="s">
        <v>521</v>
      </c>
      <c r="Q851" s="12">
        <v>37181824</v>
      </c>
    </row>
    <row r="852" spans="16:17">
      <c r="P852" s="12" t="s">
        <v>1342</v>
      </c>
      <c r="Q852" s="12">
        <v>37181824</v>
      </c>
    </row>
    <row r="853" spans="16:17">
      <c r="P853" s="12" t="s">
        <v>1343</v>
      </c>
      <c r="Q853" s="12">
        <v>44425086</v>
      </c>
    </row>
    <row r="854" spans="16:17">
      <c r="P854" s="12" t="s">
        <v>1344</v>
      </c>
      <c r="Q854" s="12">
        <v>44425086</v>
      </c>
    </row>
    <row r="855" spans="16:17">
      <c r="P855" t="s">
        <v>1345</v>
      </c>
      <c r="Q855" s="12">
        <v>44425086</v>
      </c>
    </row>
    <row r="856" spans="16:17">
      <c r="P856" s="12" t="s">
        <v>1346</v>
      </c>
      <c r="Q856" s="12">
        <v>77084</v>
      </c>
    </row>
    <row r="857" spans="16:17">
      <c r="P857" s="12" t="s">
        <v>1347</v>
      </c>
      <c r="Q857" s="12">
        <v>77084</v>
      </c>
    </row>
    <row r="858" spans="16:17">
      <c r="P858" s="12" t="s">
        <v>1348</v>
      </c>
      <c r="Q858" s="12">
        <v>77084</v>
      </c>
    </row>
    <row r="859" spans="16:17">
      <c r="P859" s="12" t="s">
        <v>1349</v>
      </c>
      <c r="Q859" s="12">
        <v>77084</v>
      </c>
    </row>
    <row r="860" spans="16:17">
      <c r="P860" t="s">
        <v>1350</v>
      </c>
      <c r="Q860" s="12">
        <v>77084</v>
      </c>
    </row>
    <row r="861" spans="16:17">
      <c r="P861" s="12" t="s">
        <v>1351</v>
      </c>
      <c r="Q861" s="12">
        <v>37919380</v>
      </c>
    </row>
    <row r="862" spans="16:17">
      <c r="P862" s="12" t="s">
        <v>1352</v>
      </c>
      <c r="Q862" s="12">
        <v>45677429</v>
      </c>
    </row>
    <row r="863" spans="16:17">
      <c r="P863" s="12" t="s">
        <v>1353</v>
      </c>
      <c r="Q863" s="12">
        <v>45677429</v>
      </c>
    </row>
    <row r="864" spans="16:17">
      <c r="P864" t="s">
        <v>1354</v>
      </c>
      <c r="Q864">
        <v>44052040</v>
      </c>
    </row>
    <row r="865" spans="16:17">
      <c r="P865" t="s">
        <v>1355</v>
      </c>
      <c r="Q865">
        <v>44052040</v>
      </c>
    </row>
    <row r="866" spans="16:17">
      <c r="P866" t="s">
        <v>1356</v>
      </c>
      <c r="Q866" t="s">
        <v>1357</v>
      </c>
    </row>
    <row r="867" spans="16:17">
      <c r="P867" t="s">
        <v>1358</v>
      </c>
      <c r="Q867">
        <v>44052040</v>
      </c>
    </row>
    <row r="868" spans="16:17">
      <c r="P868" t="s">
        <v>1359</v>
      </c>
      <c r="Q868">
        <v>44052040</v>
      </c>
    </row>
    <row r="869" spans="16:17">
      <c r="P869" t="s">
        <v>1360</v>
      </c>
      <c r="Q869">
        <v>44052040</v>
      </c>
    </row>
    <row r="870" spans="16:17">
      <c r="P870" s="12" t="s">
        <v>1361</v>
      </c>
      <c r="Q870" s="12">
        <v>35000430</v>
      </c>
    </row>
    <row r="871" spans="16:17">
      <c r="P871" s="12" t="s">
        <v>524</v>
      </c>
      <c r="Q871" s="12">
        <v>35000430</v>
      </c>
    </row>
    <row r="872" spans="16:17">
      <c r="P872" t="s">
        <v>1362</v>
      </c>
      <c r="Q872">
        <v>32784025</v>
      </c>
    </row>
    <row r="873" spans="16:17">
      <c r="P873" t="s">
        <v>1363</v>
      </c>
      <c r="Q873">
        <v>32784025</v>
      </c>
    </row>
    <row r="874" spans="16:17">
      <c r="P874" s="12" t="s">
        <v>1364</v>
      </c>
      <c r="Q874" s="12">
        <v>41687128</v>
      </c>
    </row>
    <row r="875" spans="16:17">
      <c r="P875" s="12" t="s">
        <v>1365</v>
      </c>
      <c r="Q875" s="12">
        <v>41687128</v>
      </c>
    </row>
    <row r="876" spans="16:17">
      <c r="P876" t="s">
        <v>1366</v>
      </c>
      <c r="Q876">
        <v>34470856</v>
      </c>
    </row>
    <row r="877" spans="16:17">
      <c r="P877" t="s">
        <v>1367</v>
      </c>
      <c r="Q877">
        <v>34470856</v>
      </c>
    </row>
    <row r="878" spans="16:17">
      <c r="P878" t="s">
        <v>1368</v>
      </c>
      <c r="Q878">
        <v>34470856</v>
      </c>
    </row>
    <row r="879" spans="16:17">
      <c r="P879" t="s">
        <v>1369</v>
      </c>
      <c r="Q879">
        <v>34470856</v>
      </c>
    </row>
    <row r="880" spans="16:17">
      <c r="P880" t="s">
        <v>1370</v>
      </c>
      <c r="Q880">
        <v>34470856</v>
      </c>
    </row>
    <row r="881" spans="16:17">
      <c r="P881" s="12" t="s">
        <v>1371</v>
      </c>
      <c r="Q881" s="12">
        <v>34418180</v>
      </c>
    </row>
    <row r="882" spans="16:17">
      <c r="P882" t="s">
        <v>1372</v>
      </c>
      <c r="Q882" s="12">
        <v>17212</v>
      </c>
    </row>
    <row r="883" spans="16:17">
      <c r="P883" t="s">
        <v>1373</v>
      </c>
      <c r="Q883">
        <v>17212</v>
      </c>
    </row>
    <row r="884" spans="16:17">
      <c r="P884" s="12" t="s">
        <v>1374</v>
      </c>
      <c r="Q884" s="12">
        <v>17212</v>
      </c>
    </row>
    <row r="885" spans="16:17">
      <c r="P885" s="12" t="s">
        <v>526</v>
      </c>
      <c r="Q885" s="12">
        <v>17212</v>
      </c>
    </row>
    <row r="886" spans="16:17">
      <c r="P886" s="12" t="s">
        <v>1375</v>
      </c>
      <c r="Q886" s="12">
        <v>35724023</v>
      </c>
    </row>
    <row r="887" spans="16:17">
      <c r="P887" t="s">
        <v>1376</v>
      </c>
      <c r="Q887" s="12">
        <v>17212</v>
      </c>
    </row>
    <row r="888" spans="16:17">
      <c r="P888" s="12" t="s">
        <v>1377</v>
      </c>
      <c r="Q888" s="12">
        <v>35724023</v>
      </c>
    </row>
    <row r="889" spans="16:17">
      <c r="P889" s="12" t="s">
        <v>1378</v>
      </c>
      <c r="Q889" s="12" t="s">
        <v>791</v>
      </c>
    </row>
    <row r="890" spans="16:17">
      <c r="P890" t="s">
        <v>1379</v>
      </c>
      <c r="Q890">
        <v>44656163</v>
      </c>
    </row>
    <row r="891" spans="16:17">
      <c r="P891" s="12" t="s">
        <v>1380</v>
      </c>
      <c r="Q891" s="12">
        <v>39711917</v>
      </c>
    </row>
    <row r="892" spans="16:17">
      <c r="P892" s="12" t="s">
        <v>1381</v>
      </c>
      <c r="Q892" s="12">
        <v>39711917</v>
      </c>
    </row>
    <row r="893" spans="16:17">
      <c r="P893" t="s">
        <v>1382</v>
      </c>
      <c r="Q893" s="12">
        <v>41204026</v>
      </c>
    </row>
    <row r="894" spans="16:17">
      <c r="P894" s="12" t="s">
        <v>1383</v>
      </c>
      <c r="Q894" s="12">
        <v>45012085</v>
      </c>
    </row>
    <row r="895" spans="16:17">
      <c r="P895" s="12" t="s">
        <v>1384</v>
      </c>
      <c r="Q895" s="12">
        <v>12149</v>
      </c>
    </row>
    <row r="896" spans="16:17">
      <c r="P896" s="12" t="s">
        <v>1385</v>
      </c>
      <c r="Q896" s="12">
        <v>38400473</v>
      </c>
    </row>
    <row r="897" spans="16:17">
      <c r="P897" t="s">
        <v>1386</v>
      </c>
      <c r="Q897">
        <v>44656163</v>
      </c>
    </row>
    <row r="898" spans="16:17">
      <c r="P898" s="12" t="s">
        <v>528</v>
      </c>
      <c r="Q898" s="12">
        <v>39711917</v>
      </c>
    </row>
    <row r="899" spans="16:17">
      <c r="P899" s="12" t="s">
        <v>1387</v>
      </c>
      <c r="Q899" s="12">
        <v>39711917</v>
      </c>
    </row>
    <row r="900" spans="16:17">
      <c r="P900" t="s">
        <v>1388</v>
      </c>
      <c r="Q900" s="12">
        <v>41204026</v>
      </c>
    </row>
    <row r="901" spans="16:17">
      <c r="P901" t="s">
        <v>1389</v>
      </c>
      <c r="Q901" s="12">
        <v>41204026</v>
      </c>
    </row>
    <row r="902" spans="16:17">
      <c r="P902" s="12" t="s">
        <v>1390</v>
      </c>
      <c r="Q902" s="12">
        <v>42353574</v>
      </c>
    </row>
    <row r="903" spans="16:17">
      <c r="P903" s="12" t="s">
        <v>1391</v>
      </c>
      <c r="Q903" s="12">
        <v>44209201</v>
      </c>
    </row>
    <row r="904" spans="16:17">
      <c r="P904" s="12" t="s">
        <v>530</v>
      </c>
      <c r="Q904" s="12">
        <v>44209201</v>
      </c>
    </row>
    <row r="905" spans="16:17">
      <c r="P905" s="12" t="s">
        <v>1392</v>
      </c>
      <c r="Q905" s="12">
        <v>44209201</v>
      </c>
    </row>
    <row r="906" spans="16:17">
      <c r="P906" s="12" t="s">
        <v>1393</v>
      </c>
      <c r="Q906" s="12">
        <v>40181393</v>
      </c>
    </row>
    <row r="907" spans="16:17">
      <c r="P907" s="12" t="s">
        <v>1394</v>
      </c>
      <c r="Q907" s="12">
        <v>37548171</v>
      </c>
    </row>
    <row r="908" spans="16:17">
      <c r="P908" s="12" t="s">
        <v>532</v>
      </c>
      <c r="Q908" s="12">
        <v>37548171</v>
      </c>
    </row>
    <row r="909" spans="16:17">
      <c r="P909" s="12" t="s">
        <v>1395</v>
      </c>
      <c r="Q909" s="12">
        <v>37548171</v>
      </c>
    </row>
    <row r="910" spans="16:17">
      <c r="P910" s="12" t="s">
        <v>1396</v>
      </c>
      <c r="Q910" s="12">
        <v>40284689</v>
      </c>
    </row>
    <row r="911" spans="16:17">
      <c r="P911" s="12" t="s">
        <v>1397</v>
      </c>
      <c r="Q911" s="12">
        <v>44544722</v>
      </c>
    </row>
    <row r="912" spans="16:17">
      <c r="P912" s="12" t="s">
        <v>533</v>
      </c>
      <c r="Q912" s="12">
        <v>45012085</v>
      </c>
    </row>
    <row r="913" spans="16:17">
      <c r="P913" s="12" t="s">
        <v>1398</v>
      </c>
      <c r="Q913" s="12">
        <v>45012085</v>
      </c>
    </row>
    <row r="914" spans="16:17">
      <c r="P914" s="12" t="s">
        <v>1399</v>
      </c>
      <c r="Q914" s="12">
        <v>12149</v>
      </c>
    </row>
    <row r="915" spans="16:17">
      <c r="P915" s="12" t="s">
        <v>1400</v>
      </c>
      <c r="Q915" s="12">
        <v>12149</v>
      </c>
    </row>
    <row r="916" spans="16:17">
      <c r="P916" s="12" t="s">
        <v>535</v>
      </c>
      <c r="Q916" s="12">
        <v>12149</v>
      </c>
    </row>
    <row r="917" spans="16:17">
      <c r="P917" t="s">
        <v>1401</v>
      </c>
      <c r="Q917" s="12">
        <v>44544722</v>
      </c>
    </row>
    <row r="918" spans="16:17">
      <c r="P918" s="12" t="s">
        <v>1402</v>
      </c>
      <c r="Q918" s="12">
        <v>39711917</v>
      </c>
    </row>
    <row r="919" spans="16:17">
      <c r="P919" t="s">
        <v>1403</v>
      </c>
      <c r="Q919">
        <v>46293555</v>
      </c>
    </row>
    <row r="920" spans="16:17">
      <c r="P920" t="s">
        <v>1404</v>
      </c>
      <c r="Q920">
        <v>46293555</v>
      </c>
    </row>
    <row r="921" spans="16:17">
      <c r="P921" t="s">
        <v>1405</v>
      </c>
      <c r="Q921">
        <v>46293555</v>
      </c>
    </row>
    <row r="922" spans="16:17">
      <c r="P922" s="12" t="s">
        <v>1406</v>
      </c>
      <c r="Q922" s="12">
        <v>43301986</v>
      </c>
    </row>
    <row r="923" spans="16:17">
      <c r="P923" t="s">
        <v>1407</v>
      </c>
      <c r="Q923" s="12">
        <v>18224482</v>
      </c>
    </row>
    <row r="924" spans="16:17">
      <c r="P924" s="12" t="s">
        <v>1408</v>
      </c>
      <c r="Q924" s="12" t="s">
        <v>791</v>
      </c>
    </row>
    <row r="925" spans="16:17">
      <c r="P925" s="12" t="s">
        <v>1409</v>
      </c>
      <c r="Q925" s="12">
        <v>16677784</v>
      </c>
    </row>
    <row r="926" spans="16:17">
      <c r="P926" s="12" t="s">
        <v>1410</v>
      </c>
      <c r="Q926" s="12">
        <v>43301986</v>
      </c>
    </row>
    <row r="927" spans="16:17">
      <c r="P927" t="s">
        <v>1411</v>
      </c>
      <c r="Q927" s="12">
        <v>28172877</v>
      </c>
    </row>
    <row r="928" spans="16:17">
      <c r="P928" t="s">
        <v>1412</v>
      </c>
      <c r="Q928">
        <v>37214657</v>
      </c>
    </row>
    <row r="929" spans="16:17">
      <c r="P929" t="s">
        <v>1413</v>
      </c>
      <c r="Q929" s="12">
        <v>43311360</v>
      </c>
    </row>
    <row r="930" spans="16:17">
      <c r="P930" s="12" t="s">
        <v>1414</v>
      </c>
      <c r="Q930" s="12">
        <v>42472862</v>
      </c>
    </row>
    <row r="931" spans="16:17">
      <c r="P931" s="12" t="s">
        <v>1415</v>
      </c>
      <c r="Q931" s="12">
        <v>42472862</v>
      </c>
    </row>
    <row r="932" spans="16:17">
      <c r="P932" s="12" t="s">
        <v>1416</v>
      </c>
      <c r="Q932" s="12">
        <v>42472862</v>
      </c>
    </row>
    <row r="933" spans="16:17">
      <c r="P933" s="12" t="s">
        <v>1417</v>
      </c>
      <c r="Q933" s="12">
        <v>94775601</v>
      </c>
    </row>
    <row r="934" spans="16:17">
      <c r="P934" s="12" t="s">
        <v>1418</v>
      </c>
      <c r="Q934" s="12">
        <v>94775601</v>
      </c>
    </row>
    <row r="935" spans="16:17">
      <c r="P935" s="12" t="s">
        <v>1419</v>
      </c>
      <c r="Q935" s="12">
        <v>96117187</v>
      </c>
    </row>
    <row r="936" spans="16:17">
      <c r="P936" s="12" t="s">
        <v>537</v>
      </c>
      <c r="Q936" s="12">
        <v>96117187</v>
      </c>
    </row>
    <row r="937" spans="16:17">
      <c r="P937" s="12" t="s">
        <v>1420</v>
      </c>
      <c r="Q937" s="12">
        <v>96117187</v>
      </c>
    </row>
    <row r="938" spans="16:17">
      <c r="P938" t="s">
        <v>1421</v>
      </c>
      <c r="Q938">
        <v>36359202</v>
      </c>
    </row>
    <row r="939" spans="16:17">
      <c r="P939" s="12" t="s">
        <v>1422</v>
      </c>
      <c r="Q939" s="12">
        <v>45900681</v>
      </c>
    </row>
    <row r="940" spans="16:17">
      <c r="P940" t="s">
        <v>1423</v>
      </c>
      <c r="Q940">
        <v>36359202</v>
      </c>
    </row>
    <row r="941" spans="16:17">
      <c r="P941" t="s">
        <v>1424</v>
      </c>
      <c r="Q941">
        <v>36359202</v>
      </c>
    </row>
    <row r="942" spans="16:17">
      <c r="P942" t="s">
        <v>1425</v>
      </c>
      <c r="Q942">
        <v>36359202</v>
      </c>
    </row>
    <row r="943" spans="16:17">
      <c r="P943" s="12" t="s">
        <v>1426</v>
      </c>
      <c r="Q943" s="12">
        <v>18224482</v>
      </c>
    </row>
    <row r="944" spans="16:17">
      <c r="P944" t="s">
        <v>1427</v>
      </c>
      <c r="Q944">
        <v>43319446</v>
      </c>
    </row>
    <row r="945" spans="16:17">
      <c r="P945" s="12" t="s">
        <v>1428</v>
      </c>
      <c r="Q945" s="12">
        <v>16677784</v>
      </c>
    </row>
    <row r="946" spans="16:17">
      <c r="P946" t="s">
        <v>1429</v>
      </c>
      <c r="Q946">
        <v>94914642</v>
      </c>
    </row>
    <row r="947" spans="16:17">
      <c r="P947" t="s">
        <v>1430</v>
      </c>
      <c r="Q947">
        <v>94914642</v>
      </c>
    </row>
    <row r="948" spans="16:17">
      <c r="P948" s="12" t="s">
        <v>539</v>
      </c>
      <c r="Q948" s="12">
        <v>28172877</v>
      </c>
    </row>
    <row r="949" spans="16:17">
      <c r="P949" s="12" t="s">
        <v>1431</v>
      </c>
      <c r="Q949" s="12">
        <v>28172877</v>
      </c>
    </row>
    <row r="950" spans="16:17">
      <c r="P950" t="s">
        <v>1432</v>
      </c>
      <c r="Q950">
        <v>94914642</v>
      </c>
    </row>
    <row r="951" spans="16:17">
      <c r="P951" t="s">
        <v>1433</v>
      </c>
      <c r="Q951">
        <v>37214657</v>
      </c>
    </row>
    <row r="952" spans="16:17">
      <c r="P952" s="12" t="s">
        <v>1434</v>
      </c>
      <c r="Q952" s="12">
        <v>42144841</v>
      </c>
    </row>
    <row r="953" spans="16:17">
      <c r="P953" s="12" t="s">
        <v>541</v>
      </c>
      <c r="Q953" s="12">
        <v>43311360</v>
      </c>
    </row>
    <row r="954" spans="16:17">
      <c r="P954" s="12" t="s">
        <v>1435</v>
      </c>
      <c r="Q954" s="12">
        <v>30403455</v>
      </c>
    </row>
    <row r="955" spans="16:17">
      <c r="P955" s="12" t="s">
        <v>1436</v>
      </c>
      <c r="Q955" s="12">
        <v>30403455</v>
      </c>
    </row>
    <row r="956" spans="16:17">
      <c r="P956" s="12" t="s">
        <v>1437</v>
      </c>
      <c r="Q956" s="12">
        <v>30403455</v>
      </c>
    </row>
    <row r="957" spans="16:17">
      <c r="P957" s="12" t="s">
        <v>1438</v>
      </c>
      <c r="Q957" s="12">
        <v>42472862</v>
      </c>
    </row>
    <row r="958" spans="16:17">
      <c r="P958" s="12" t="s">
        <v>1439</v>
      </c>
      <c r="Q958" s="12">
        <v>42472862</v>
      </c>
    </row>
    <row r="959" spans="16:17">
      <c r="P959" s="12" t="s">
        <v>1440</v>
      </c>
      <c r="Q959" s="12">
        <v>94775601</v>
      </c>
    </row>
    <row r="960" spans="16:17">
      <c r="P960" s="12" t="s">
        <v>543</v>
      </c>
      <c r="Q960" s="12">
        <v>43301986</v>
      </c>
    </row>
    <row r="961" spans="16:17">
      <c r="P961" s="12" t="s">
        <v>1441</v>
      </c>
      <c r="Q961" s="12">
        <v>29434522</v>
      </c>
    </row>
    <row r="962" spans="16:17">
      <c r="P962" s="12" t="s">
        <v>545</v>
      </c>
      <c r="Q962" s="12">
        <v>45900681</v>
      </c>
    </row>
    <row r="963" spans="16:17">
      <c r="P963" s="12" t="s">
        <v>547</v>
      </c>
      <c r="Q963" s="12">
        <v>18224482</v>
      </c>
    </row>
    <row r="964" spans="16:17">
      <c r="P964" s="12" t="s">
        <v>1442</v>
      </c>
      <c r="Q964" s="12">
        <v>18224482</v>
      </c>
    </row>
    <row r="965" spans="16:17">
      <c r="P965" t="s">
        <v>1443</v>
      </c>
      <c r="Q965">
        <v>18224482</v>
      </c>
    </row>
    <row r="966" spans="16:17">
      <c r="P966" s="12" t="s">
        <v>1444</v>
      </c>
      <c r="Q966" s="12">
        <v>35948823</v>
      </c>
    </row>
    <row r="967" spans="16:17">
      <c r="P967" s="12" t="s">
        <v>549</v>
      </c>
      <c r="Q967" s="12">
        <v>35948823</v>
      </c>
    </row>
    <row r="968" spans="16:17">
      <c r="P968" s="12" t="s">
        <v>1445</v>
      </c>
      <c r="Q968" s="12">
        <v>35948823</v>
      </c>
    </row>
    <row r="969" spans="16:17">
      <c r="P969" t="s">
        <v>1446</v>
      </c>
      <c r="Q969">
        <v>43319446</v>
      </c>
    </row>
    <row r="970" spans="16:17">
      <c r="P970" t="s">
        <v>1447</v>
      </c>
      <c r="Q970">
        <v>43319446</v>
      </c>
    </row>
    <row r="971" spans="16:17">
      <c r="P971" t="s">
        <v>1448</v>
      </c>
      <c r="Q971">
        <v>43319446</v>
      </c>
    </row>
    <row r="972" spans="16:17">
      <c r="P972" t="s">
        <v>1449</v>
      </c>
      <c r="Q972">
        <v>43319446</v>
      </c>
    </row>
    <row r="973" spans="16:17">
      <c r="P973" s="12" t="s">
        <v>1450</v>
      </c>
      <c r="Q973" s="12">
        <v>16677784</v>
      </c>
    </row>
    <row r="974" spans="16:17">
      <c r="P974" t="s">
        <v>1451</v>
      </c>
      <c r="Q974">
        <v>16677784</v>
      </c>
    </row>
    <row r="975" spans="16:17">
      <c r="P975" s="12" t="s">
        <v>1452</v>
      </c>
      <c r="Q975" s="12">
        <v>40423591</v>
      </c>
    </row>
    <row r="976" spans="16:17">
      <c r="P976" s="12" t="s">
        <v>1453</v>
      </c>
      <c r="Q976" s="12">
        <v>39343492</v>
      </c>
    </row>
    <row r="977" spans="16:17">
      <c r="P977" s="12" t="s">
        <v>1454</v>
      </c>
      <c r="Q977" s="12">
        <v>39343492</v>
      </c>
    </row>
    <row r="978" spans="16:17">
      <c r="P978" t="s">
        <v>1455</v>
      </c>
      <c r="Q978" s="12">
        <v>43311360</v>
      </c>
    </row>
    <row r="979" spans="16:17">
      <c r="P979" s="12" t="s">
        <v>1456</v>
      </c>
      <c r="Q979" s="12">
        <v>41248020</v>
      </c>
    </row>
    <row r="980" spans="16:17">
      <c r="P980" s="12" t="s">
        <v>1457</v>
      </c>
      <c r="Q980" s="12">
        <v>41248020</v>
      </c>
    </row>
    <row r="981" spans="16:17">
      <c r="P981" s="12" t="s">
        <v>551</v>
      </c>
      <c r="Q981" s="12">
        <v>41248020</v>
      </c>
    </row>
    <row r="982" spans="16:17">
      <c r="P982" s="12" t="s">
        <v>1458</v>
      </c>
      <c r="Q982" s="12">
        <v>44425086</v>
      </c>
    </row>
    <row r="983" spans="16:17">
      <c r="P983" s="12" t="s">
        <v>1459</v>
      </c>
      <c r="Q983" s="12">
        <v>95761763</v>
      </c>
    </row>
    <row r="984" spans="16:17">
      <c r="P984" s="12" t="s">
        <v>1460</v>
      </c>
      <c r="Q984" s="12">
        <v>95761763</v>
      </c>
    </row>
    <row r="985" spans="16:17">
      <c r="P985" s="12" t="s">
        <v>1461</v>
      </c>
      <c r="Q985" s="12">
        <v>95761763</v>
      </c>
    </row>
    <row r="986" spans="16:17">
      <c r="P986" t="s">
        <v>1462</v>
      </c>
      <c r="Q986" s="12">
        <v>40073390</v>
      </c>
    </row>
    <row r="987" spans="16:17">
      <c r="P987" s="12" t="s">
        <v>1463</v>
      </c>
      <c r="Q987" s="12">
        <v>40073390</v>
      </c>
    </row>
    <row r="988" spans="16:17">
      <c r="P988" s="12" t="s">
        <v>1464</v>
      </c>
      <c r="Q988" s="12">
        <v>37864833</v>
      </c>
    </row>
    <row r="989" spans="16:17">
      <c r="P989" t="s">
        <v>1465</v>
      </c>
      <c r="Q989" s="12">
        <v>40073390</v>
      </c>
    </row>
    <row r="990" spans="16:17">
      <c r="P990" t="s">
        <v>1466</v>
      </c>
      <c r="Q990">
        <v>39344532</v>
      </c>
    </row>
    <row r="991" spans="16:17">
      <c r="P991" s="12" t="s">
        <v>1467</v>
      </c>
      <c r="Q991" s="12">
        <v>31640951</v>
      </c>
    </row>
    <row r="992" spans="16:17">
      <c r="P992" s="12" t="s">
        <v>1468</v>
      </c>
      <c r="Q992" s="12">
        <v>13956</v>
      </c>
    </row>
    <row r="993" spans="16:17">
      <c r="P993" s="12" t="s">
        <v>553</v>
      </c>
      <c r="Q993" s="12">
        <v>13956</v>
      </c>
    </row>
    <row r="994" spans="16:17">
      <c r="P994" t="s">
        <v>1469</v>
      </c>
      <c r="Q994">
        <v>13956</v>
      </c>
    </row>
    <row r="995" spans="16:17">
      <c r="P995" t="s">
        <v>1470</v>
      </c>
      <c r="Q995">
        <v>32762527</v>
      </c>
    </row>
    <row r="996" spans="16:17">
      <c r="P996" t="s">
        <v>1471</v>
      </c>
      <c r="Q996">
        <v>32762527</v>
      </c>
    </row>
    <row r="997" spans="16:17">
      <c r="P997" t="s">
        <v>1472</v>
      </c>
      <c r="Q997">
        <v>32762527</v>
      </c>
    </row>
    <row r="998" spans="16:17">
      <c r="P998" t="s">
        <v>1473</v>
      </c>
      <c r="Q998">
        <v>32762527</v>
      </c>
    </row>
    <row r="999" spans="16:17">
      <c r="P999" s="12" t="s">
        <v>1474</v>
      </c>
      <c r="Q999" s="12">
        <v>46753451</v>
      </c>
    </row>
    <row r="1000" spans="16:17">
      <c r="P1000" t="s">
        <v>1475</v>
      </c>
      <c r="Q1000">
        <v>40677307</v>
      </c>
    </row>
    <row r="1001" spans="16:17">
      <c r="P1001" t="s">
        <v>1476</v>
      </c>
      <c r="Q1001">
        <v>40677307</v>
      </c>
    </row>
    <row r="1002" spans="16:17">
      <c r="P1002" t="s">
        <v>1477</v>
      </c>
      <c r="Q1002">
        <v>46702815</v>
      </c>
    </row>
    <row r="1003" spans="16:17">
      <c r="P1003" t="s">
        <v>1478</v>
      </c>
      <c r="Q1003">
        <v>46702815</v>
      </c>
    </row>
    <row r="1004" spans="16:17">
      <c r="P1004" t="s">
        <v>1479</v>
      </c>
      <c r="Q1004">
        <v>46702815</v>
      </c>
    </row>
    <row r="1005" spans="16:17">
      <c r="P1005" s="12" t="s">
        <v>1480</v>
      </c>
      <c r="Q1005" s="12">
        <v>37607470</v>
      </c>
    </row>
    <row r="1006" spans="16:17">
      <c r="P1006" s="12" t="s">
        <v>555</v>
      </c>
      <c r="Q1006" s="12">
        <v>44262710</v>
      </c>
    </row>
    <row r="1007" spans="16:17">
      <c r="P1007" t="s">
        <v>1481</v>
      </c>
      <c r="Q1007">
        <v>40677307</v>
      </c>
    </row>
    <row r="1008" spans="16:17">
      <c r="P1008" t="s">
        <v>1482</v>
      </c>
      <c r="Q1008">
        <v>40677307</v>
      </c>
    </row>
    <row r="1009" spans="16:17">
      <c r="P1009" t="s">
        <v>1483</v>
      </c>
      <c r="Q1009">
        <v>40677307</v>
      </c>
    </row>
    <row r="1010" spans="16:17">
      <c r="P1010" s="12" t="s">
        <v>557</v>
      </c>
      <c r="Q1010" s="12">
        <v>39215989</v>
      </c>
    </row>
    <row r="1011" spans="16:17">
      <c r="P1011" t="s">
        <v>1484</v>
      </c>
      <c r="Q1011">
        <v>46702815</v>
      </c>
    </row>
    <row r="1012" spans="16:17">
      <c r="P1012" s="12" t="s">
        <v>1485</v>
      </c>
      <c r="Q1012" s="12">
        <v>37607470</v>
      </c>
    </row>
    <row r="1013" spans="16:17">
      <c r="P1013" s="12" t="s">
        <v>558</v>
      </c>
      <c r="Q1013" s="12">
        <v>37607470</v>
      </c>
    </row>
    <row r="1014" spans="16:17">
      <c r="P1014" t="s">
        <v>1486</v>
      </c>
      <c r="Q1014" s="12">
        <v>12884</v>
      </c>
    </row>
    <row r="1015" spans="16:17">
      <c r="P1015" s="12" t="s">
        <v>1487</v>
      </c>
      <c r="Q1015" s="12">
        <v>12884</v>
      </c>
    </row>
    <row r="1016" spans="16:17">
      <c r="P1016" s="12" t="s">
        <v>560</v>
      </c>
      <c r="Q1016" s="12">
        <v>12884</v>
      </c>
    </row>
    <row r="1017" spans="16:17">
      <c r="P1017" t="s">
        <v>1488</v>
      </c>
      <c r="Q1017">
        <v>18880507</v>
      </c>
    </row>
    <row r="1018" spans="16:17">
      <c r="P1018" s="12" t="s">
        <v>1489</v>
      </c>
      <c r="Q1018" s="12">
        <v>46753451</v>
      </c>
    </row>
    <row r="1019" spans="16:17">
      <c r="P1019" s="12" t="s">
        <v>1490</v>
      </c>
      <c r="Q1019" s="12">
        <v>46753451</v>
      </c>
    </row>
    <row r="1020" spans="16:17">
      <c r="P1020" s="12" t="s">
        <v>561</v>
      </c>
      <c r="Q1020" s="12">
        <v>46753451</v>
      </c>
    </row>
    <row r="1021" spans="16:17">
      <c r="P1021" t="s">
        <v>1491</v>
      </c>
      <c r="Q1021" s="12">
        <v>45417600</v>
      </c>
    </row>
    <row r="1022" spans="16:17">
      <c r="P1022" t="s">
        <v>1492</v>
      </c>
      <c r="Q1022">
        <v>42409809</v>
      </c>
    </row>
    <row r="1023" spans="16:17">
      <c r="P1023" s="12" t="s">
        <v>1493</v>
      </c>
      <c r="Q1023" s="12">
        <v>37559346</v>
      </c>
    </row>
    <row r="1024" spans="16:17">
      <c r="P1024" t="s">
        <v>1494</v>
      </c>
      <c r="Q1024">
        <v>33501856</v>
      </c>
    </row>
    <row r="1025" spans="16:17">
      <c r="P1025" t="s">
        <v>1495</v>
      </c>
      <c r="Q1025">
        <v>33501856</v>
      </c>
    </row>
    <row r="1026" spans="16:17">
      <c r="P1026" t="s">
        <v>1496</v>
      </c>
      <c r="Q1026">
        <v>42409809</v>
      </c>
    </row>
    <row r="1027" spans="16:17">
      <c r="P1027" s="12" t="s">
        <v>1497</v>
      </c>
      <c r="Q1027" s="12">
        <v>94624772</v>
      </c>
    </row>
    <row r="1028" spans="16:17">
      <c r="P1028" s="12" t="s">
        <v>563</v>
      </c>
      <c r="Q1028" s="12">
        <v>42575970</v>
      </c>
    </row>
    <row r="1029" spans="16:17">
      <c r="P1029" s="12" t="s">
        <v>1498</v>
      </c>
      <c r="Q1029" s="12">
        <v>42575970</v>
      </c>
    </row>
    <row r="1030" spans="16:17">
      <c r="P1030" s="12" t="s">
        <v>565</v>
      </c>
      <c r="Q1030" s="12">
        <v>45417600</v>
      </c>
    </row>
    <row r="1031" spans="16:17">
      <c r="P1031" s="12" t="s">
        <v>1499</v>
      </c>
      <c r="Q1031" s="12">
        <v>45417600</v>
      </c>
    </row>
    <row r="1032" spans="16:17">
      <c r="P1032" s="12" t="s">
        <v>1500</v>
      </c>
      <c r="Q1032" s="12">
        <v>41687048</v>
      </c>
    </row>
    <row r="1033" spans="16:17">
      <c r="P1033" s="12" t="s">
        <v>1501</v>
      </c>
      <c r="Q1033" s="12">
        <v>26427019</v>
      </c>
    </row>
    <row r="1034" spans="16:17">
      <c r="P1034" s="12" t="s">
        <v>1502</v>
      </c>
      <c r="Q1034" s="12">
        <v>37559346</v>
      </c>
    </row>
    <row r="1035" spans="16:17">
      <c r="P1035" s="12" t="s">
        <v>567</v>
      </c>
      <c r="Q1035" s="12">
        <v>37559346</v>
      </c>
    </row>
    <row r="1036" spans="16:17">
      <c r="P1036" s="12" t="s">
        <v>1503</v>
      </c>
      <c r="Q1036" s="12">
        <v>37559346</v>
      </c>
    </row>
    <row r="1037" spans="16:17">
      <c r="P1037" t="s">
        <v>1504</v>
      </c>
      <c r="Q1037">
        <v>33501856</v>
      </c>
    </row>
    <row r="1038" spans="16:17">
      <c r="P1038" t="s">
        <v>1505</v>
      </c>
      <c r="Q1038">
        <v>33501856</v>
      </c>
    </row>
    <row r="1039" spans="16:17">
      <c r="P1039" t="s">
        <v>1506</v>
      </c>
      <c r="Q1039">
        <v>47202075</v>
      </c>
    </row>
    <row r="1040" spans="16:17">
      <c r="P1040" s="12" t="s">
        <v>569</v>
      </c>
      <c r="Q1040" s="12">
        <v>40424860</v>
      </c>
    </row>
    <row r="1041" spans="16:17">
      <c r="P1041" s="12" t="s">
        <v>1507</v>
      </c>
      <c r="Q1041" s="12">
        <v>40424860</v>
      </c>
    </row>
    <row r="1042" spans="16:17">
      <c r="P1042" t="s">
        <v>1508</v>
      </c>
      <c r="Q1042">
        <v>47202075</v>
      </c>
    </row>
    <row r="1043" spans="16:17">
      <c r="P1043" t="s">
        <v>1509</v>
      </c>
      <c r="Q1043">
        <v>47202075</v>
      </c>
    </row>
    <row r="1044" spans="16:17">
      <c r="P1044" t="s">
        <v>1510</v>
      </c>
      <c r="Q1044">
        <v>42933370</v>
      </c>
    </row>
    <row r="1045" spans="16:17">
      <c r="P1045" t="s">
        <v>1511</v>
      </c>
      <c r="Q1045">
        <v>42933370</v>
      </c>
    </row>
    <row r="1046" spans="16:17">
      <c r="P1046" t="s">
        <v>1512</v>
      </c>
      <c r="Q1046">
        <v>42933370</v>
      </c>
    </row>
    <row r="1047" spans="16:17">
      <c r="P1047" t="s">
        <v>1513</v>
      </c>
      <c r="Q1047">
        <v>42933370</v>
      </c>
    </row>
    <row r="1048" spans="16:17">
      <c r="P1048" t="s">
        <v>1514</v>
      </c>
      <c r="Q1048">
        <v>42933370</v>
      </c>
    </row>
    <row r="1049" spans="16:17">
      <c r="P1049" t="s">
        <v>1515</v>
      </c>
      <c r="Q1049">
        <v>42933370</v>
      </c>
    </row>
    <row r="1050" spans="16:17">
      <c r="P1050" s="12" t="s">
        <v>570</v>
      </c>
      <c r="Q1050" s="12">
        <v>12936</v>
      </c>
    </row>
    <row r="1051" spans="16:17">
      <c r="P1051" s="12" t="s">
        <v>1516</v>
      </c>
      <c r="Q1051" s="12">
        <v>12936</v>
      </c>
    </row>
    <row r="1052" spans="16:17">
      <c r="P1052" s="12" t="s">
        <v>1517</v>
      </c>
      <c r="Q1052" s="12">
        <v>36492062</v>
      </c>
    </row>
    <row r="1053" spans="16:17">
      <c r="P1053" s="12" t="s">
        <v>572</v>
      </c>
      <c r="Q1053" s="12">
        <v>36492062</v>
      </c>
    </row>
    <row r="1054" spans="16:17">
      <c r="P1054" s="12" t="s">
        <v>1518</v>
      </c>
      <c r="Q1054" s="12">
        <v>42821138</v>
      </c>
    </row>
    <row r="1055" spans="16:17">
      <c r="P1055" s="12" t="s">
        <v>1519</v>
      </c>
      <c r="Q1055" s="12">
        <v>42821138</v>
      </c>
    </row>
    <row r="1056" spans="16:17">
      <c r="P1056" s="12" t="s">
        <v>1520</v>
      </c>
      <c r="Q1056" s="12">
        <v>30040861</v>
      </c>
    </row>
    <row r="1057" spans="16:17">
      <c r="P1057" s="12" t="s">
        <v>1521</v>
      </c>
      <c r="Q1057" s="12">
        <v>33470</v>
      </c>
    </row>
    <row r="1058" spans="16:17">
      <c r="P1058" s="12" t="s">
        <v>1522</v>
      </c>
      <c r="Q1058" s="12">
        <v>36592786</v>
      </c>
    </row>
    <row r="1059" spans="16:17">
      <c r="P1059" s="12" t="s">
        <v>1523</v>
      </c>
      <c r="Q1059" s="12">
        <v>41898021</v>
      </c>
    </row>
    <row r="1060" spans="16:17">
      <c r="P1060" t="s">
        <v>1524</v>
      </c>
      <c r="Q1060" s="12">
        <v>41898021</v>
      </c>
    </row>
    <row r="1061" spans="16:17">
      <c r="P1061" s="12" t="s">
        <v>1525</v>
      </c>
      <c r="Q1061" s="12">
        <v>41898021</v>
      </c>
    </row>
    <row r="1062" spans="16:17">
      <c r="P1062" s="12" t="s">
        <v>1526</v>
      </c>
      <c r="Q1062" s="12">
        <v>41898021</v>
      </c>
    </row>
    <row r="1063" spans="16:17">
      <c r="P1063" s="12" t="s">
        <v>1527</v>
      </c>
      <c r="Q1063" s="12">
        <v>41898021</v>
      </c>
    </row>
    <row r="1064" spans="16:17">
      <c r="P1064" s="12" t="s">
        <v>1528</v>
      </c>
      <c r="Q1064" s="12">
        <v>40858014</v>
      </c>
    </row>
    <row r="1065" spans="16:17">
      <c r="P1065" s="12" t="s">
        <v>576</v>
      </c>
      <c r="Q1065" s="12">
        <v>40858014</v>
      </c>
    </row>
    <row r="1066" spans="16:17">
      <c r="P1066" s="12" t="s">
        <v>1529</v>
      </c>
      <c r="Q1066" s="12">
        <v>41069315</v>
      </c>
    </row>
    <row r="1067" spans="16:17">
      <c r="P1067" s="12" t="s">
        <v>578</v>
      </c>
      <c r="Q1067" s="12">
        <v>41069315</v>
      </c>
    </row>
    <row r="1068" spans="16:17">
      <c r="P1068" s="12" t="s">
        <v>1530</v>
      </c>
      <c r="Q1068" s="12">
        <v>12398</v>
      </c>
    </row>
    <row r="1069" spans="16:17">
      <c r="P1069" s="12" t="s">
        <v>1531</v>
      </c>
      <c r="Q1069" s="12">
        <v>12258</v>
      </c>
    </row>
    <row r="1070" spans="16:17">
      <c r="P1070" s="12" t="s">
        <v>1532</v>
      </c>
      <c r="Q1070" s="12">
        <v>38177033</v>
      </c>
    </row>
    <row r="1071" spans="16:17">
      <c r="P1071" s="12" t="s">
        <v>1533</v>
      </c>
      <c r="Q1071" s="12">
        <v>18406304</v>
      </c>
    </row>
    <row r="1072" spans="16:17">
      <c r="P1072" s="12" t="s">
        <v>1534</v>
      </c>
      <c r="Q1072" s="12">
        <v>39979506</v>
      </c>
    </row>
    <row r="1073" spans="16:17">
      <c r="P1073" s="12" t="s">
        <v>1535</v>
      </c>
      <c r="Q1073" s="12">
        <v>36160913</v>
      </c>
    </row>
    <row r="1074" spans="16:17">
      <c r="P1074" s="12" t="s">
        <v>1536</v>
      </c>
      <c r="Q1074" s="12">
        <v>13872</v>
      </c>
    </row>
    <row r="1075" spans="16:17">
      <c r="P1075" s="12" t="s">
        <v>1537</v>
      </c>
      <c r="Q1075" s="12">
        <v>20202536</v>
      </c>
    </row>
    <row r="1076" spans="16:17">
      <c r="P1076" s="12" t="s">
        <v>1538</v>
      </c>
      <c r="Q1076" s="12">
        <v>36160913</v>
      </c>
    </row>
    <row r="1077" spans="16:17">
      <c r="P1077" s="12" t="s">
        <v>1539</v>
      </c>
      <c r="Q1077" s="12">
        <v>36160913</v>
      </c>
    </row>
    <row r="1078" spans="16:17">
      <c r="P1078" s="12" t="s">
        <v>1540</v>
      </c>
      <c r="Q1078" s="12">
        <v>36160913</v>
      </c>
    </row>
    <row r="1079" spans="16:17">
      <c r="P1079" s="12" t="s">
        <v>1541</v>
      </c>
      <c r="Q1079" s="12">
        <v>13872</v>
      </c>
    </row>
    <row r="1080" spans="16:17">
      <c r="P1080" t="s">
        <v>1542</v>
      </c>
      <c r="Q1080" s="12">
        <v>13872</v>
      </c>
    </row>
    <row r="1081" spans="16:17">
      <c r="P1081" s="12" t="s">
        <v>1543</v>
      </c>
      <c r="Q1081" s="12">
        <v>38356710</v>
      </c>
    </row>
    <row r="1082" spans="16:17">
      <c r="P1082" s="12" t="s">
        <v>580</v>
      </c>
      <c r="Q1082" s="12">
        <v>38356710</v>
      </c>
    </row>
    <row r="1083" spans="16:17">
      <c r="P1083" s="12" t="s">
        <v>1544</v>
      </c>
      <c r="Q1083" s="12">
        <v>38356710</v>
      </c>
    </row>
    <row r="1084" spans="16:17">
      <c r="P1084" s="12" t="s">
        <v>1545</v>
      </c>
      <c r="Q1084" s="12">
        <v>40391777</v>
      </c>
    </row>
    <row r="1085" spans="16:17">
      <c r="P1085" s="12" t="s">
        <v>1546</v>
      </c>
      <c r="Q1085" s="12">
        <v>37358594</v>
      </c>
    </row>
    <row r="1086" spans="16:17">
      <c r="P1086" s="12" t="s">
        <v>1547</v>
      </c>
      <c r="Q1086" s="12">
        <v>37358594</v>
      </c>
    </row>
    <row r="1087" spans="16:17">
      <c r="P1087" s="12" t="s">
        <v>581</v>
      </c>
      <c r="Q1087" s="12">
        <v>37358594</v>
      </c>
    </row>
    <row r="1088" spans="16:17">
      <c r="P1088" s="12" t="s">
        <v>1548</v>
      </c>
      <c r="Q1088" s="12">
        <v>42472862</v>
      </c>
    </row>
    <row r="1089" spans="16:17">
      <c r="P1089" s="12" t="s">
        <v>1549</v>
      </c>
      <c r="Q1089" s="12">
        <v>42472862</v>
      </c>
    </row>
    <row r="1090" spans="16:17">
      <c r="P1090" t="s">
        <v>1550</v>
      </c>
      <c r="Q1090" s="12">
        <v>11675</v>
      </c>
    </row>
    <row r="1091" spans="16:17">
      <c r="P1091" s="12" t="s">
        <v>1551</v>
      </c>
      <c r="Q1091" s="12">
        <v>11675</v>
      </c>
    </row>
    <row r="1092" spans="16:17">
      <c r="P1092" s="12" t="s">
        <v>583</v>
      </c>
      <c r="Q1092" s="12">
        <v>11675</v>
      </c>
    </row>
    <row r="1093" spans="16:17">
      <c r="P1093" s="12" t="s">
        <v>1552</v>
      </c>
      <c r="Q1093" s="12">
        <v>41197602</v>
      </c>
    </row>
    <row r="1094" spans="16:17">
      <c r="P1094" s="12" t="s">
        <v>1553</v>
      </c>
      <c r="Q1094" s="12">
        <v>40878502</v>
      </c>
    </row>
    <row r="1095" spans="16:17">
      <c r="P1095" s="12" t="s">
        <v>1554</v>
      </c>
      <c r="Q1095" s="12">
        <v>45147543</v>
      </c>
    </row>
    <row r="1096" spans="16:17">
      <c r="P1096" s="12" t="s">
        <v>1555</v>
      </c>
      <c r="Q1096" s="12">
        <v>10737</v>
      </c>
    </row>
    <row r="1097" spans="16:17">
      <c r="P1097" s="12" t="s">
        <v>1556</v>
      </c>
      <c r="Q1097" s="12">
        <v>10737</v>
      </c>
    </row>
    <row r="1098" spans="16:17">
      <c r="P1098" s="12" t="s">
        <v>1557</v>
      </c>
      <c r="Q1098" s="12">
        <v>46252382</v>
      </c>
    </row>
    <row r="1099" spans="16:17">
      <c r="P1099" s="12" t="s">
        <v>1558</v>
      </c>
      <c r="Q1099" s="12">
        <v>34369092</v>
      </c>
    </row>
    <row r="1100" spans="16:17">
      <c r="P1100" s="12" t="s">
        <v>1559</v>
      </c>
      <c r="Q1100" s="12">
        <v>12898</v>
      </c>
    </row>
    <row r="1101" spans="16:17">
      <c r="P1101" s="12" t="s">
        <v>1560</v>
      </c>
      <c r="Q1101" s="12">
        <v>12299</v>
      </c>
    </row>
    <row r="1102" spans="16:17">
      <c r="P1102" s="12" t="s">
        <v>1561</v>
      </c>
      <c r="Q1102" s="12">
        <v>12299</v>
      </c>
    </row>
    <row r="1103" spans="16:17">
      <c r="P1103" s="12" t="s">
        <v>1562</v>
      </c>
      <c r="Q1103" s="12">
        <v>12299</v>
      </c>
    </row>
    <row r="1104" spans="16:17">
      <c r="P1104" s="12" t="s">
        <v>584</v>
      </c>
      <c r="Q1104" s="12">
        <v>12299</v>
      </c>
    </row>
    <row r="1105" spans="16:17">
      <c r="P1105" s="12" t="s">
        <v>1563</v>
      </c>
      <c r="Q1105" s="12">
        <v>37480598</v>
      </c>
    </row>
    <row r="1106" spans="16:17">
      <c r="P1106" t="s">
        <v>1564</v>
      </c>
      <c r="Q1106">
        <v>38319746</v>
      </c>
    </row>
    <row r="1107" spans="16:17">
      <c r="P1107" s="12" t="s">
        <v>1565</v>
      </c>
      <c r="Q1107" s="12">
        <v>45926911</v>
      </c>
    </row>
    <row r="1108" spans="16:17">
      <c r="P1108" s="12" t="s">
        <v>1566</v>
      </c>
      <c r="Q1108" s="12">
        <v>45926911</v>
      </c>
    </row>
    <row r="1109" spans="16:17">
      <c r="P1109" s="12" t="s">
        <v>1567</v>
      </c>
      <c r="Q1109" s="12">
        <v>45926911</v>
      </c>
    </row>
    <row r="1110" spans="16:17">
      <c r="P1110" s="12" t="s">
        <v>587</v>
      </c>
      <c r="Q1110" s="12">
        <v>45012267</v>
      </c>
    </row>
    <row r="1111" spans="16:17">
      <c r="P1111" s="12" t="s">
        <v>1568</v>
      </c>
      <c r="Q1111" s="12">
        <v>35142167</v>
      </c>
    </row>
    <row r="1112" spans="16:17">
      <c r="P1112" s="12" t="s">
        <v>1569</v>
      </c>
      <c r="Q1112" s="12">
        <v>35142167</v>
      </c>
    </row>
    <row r="1113" spans="16:17">
      <c r="P1113" s="12" t="s">
        <v>1570</v>
      </c>
      <c r="Q1113" s="12">
        <v>42516697</v>
      </c>
    </row>
    <row r="1114" spans="16:17">
      <c r="P1114" s="12" t="s">
        <v>1571</v>
      </c>
      <c r="Q1114" s="12">
        <v>38943072</v>
      </c>
    </row>
    <row r="1115" spans="16:17">
      <c r="P1115" s="12" t="s">
        <v>1572</v>
      </c>
      <c r="Q1115" s="12">
        <v>38943072</v>
      </c>
    </row>
    <row r="1116" spans="16:17">
      <c r="P1116" s="12" t="s">
        <v>1573</v>
      </c>
      <c r="Q1116" s="12">
        <v>24293262</v>
      </c>
    </row>
    <row r="1117" spans="16:17">
      <c r="P1117" s="12" t="s">
        <v>1574</v>
      </c>
      <c r="Q1117" s="12">
        <v>24293262</v>
      </c>
    </row>
    <row r="1118" spans="16:17">
      <c r="P1118" s="12" t="s">
        <v>1575</v>
      </c>
      <c r="Q1118" s="12">
        <v>24293262</v>
      </c>
    </row>
    <row r="1119" spans="16:17">
      <c r="P1119" s="12" t="s">
        <v>588</v>
      </c>
      <c r="Q1119" s="12">
        <v>24293262</v>
      </c>
    </row>
    <row r="1120" spans="16:17">
      <c r="P1120" s="12" t="s">
        <v>1576</v>
      </c>
      <c r="Q1120" s="12">
        <v>24293262</v>
      </c>
    </row>
    <row r="1121" spans="16:17">
      <c r="P1121" s="12" t="s">
        <v>1577</v>
      </c>
      <c r="Q1121" s="12">
        <v>25988340</v>
      </c>
    </row>
    <row r="1122" spans="16:17">
      <c r="P1122" s="12" t="s">
        <v>1578</v>
      </c>
      <c r="Q1122" s="12">
        <v>41290026</v>
      </c>
    </row>
    <row r="1123" spans="16:17">
      <c r="P1123" s="12" t="s">
        <v>1579</v>
      </c>
      <c r="Q1123" s="12">
        <v>45983709</v>
      </c>
    </row>
    <row r="1124" spans="16:17">
      <c r="P1124" s="12" t="s">
        <v>589</v>
      </c>
      <c r="Q1124" s="12">
        <v>41290026</v>
      </c>
    </row>
    <row r="1125" spans="16:17">
      <c r="P1125" t="s">
        <v>1580</v>
      </c>
      <c r="Q1125" s="12">
        <v>41290026</v>
      </c>
    </row>
    <row r="1126" spans="16:17">
      <c r="P1126" t="s">
        <v>1581</v>
      </c>
      <c r="Q1126" s="12">
        <v>41290026</v>
      </c>
    </row>
    <row r="1127" spans="16:17">
      <c r="P1127" s="12" t="s">
        <v>1582</v>
      </c>
      <c r="Q1127" s="12">
        <v>45983709</v>
      </c>
    </row>
    <row r="1128" spans="16:17">
      <c r="P1128" s="12" t="s">
        <v>1583</v>
      </c>
      <c r="Q1128" s="12">
        <v>45983709</v>
      </c>
    </row>
    <row r="1129" spans="16:17">
      <c r="P1129" s="12" t="s">
        <v>591</v>
      </c>
      <c r="Q1129" s="12">
        <v>45983709</v>
      </c>
    </row>
    <row r="1130" spans="16:17">
      <c r="P1130" s="12" t="s">
        <v>1584</v>
      </c>
      <c r="Q1130" s="12">
        <v>41290026</v>
      </c>
    </row>
    <row r="1131" spans="16:17">
      <c r="P1131" t="s">
        <v>1585</v>
      </c>
      <c r="Q1131">
        <v>47646971</v>
      </c>
    </row>
    <row r="1132" spans="16:17">
      <c r="P1132" t="s">
        <v>1586</v>
      </c>
      <c r="Q1132">
        <v>47646971</v>
      </c>
    </row>
    <row r="1133" spans="16:17">
      <c r="P1133" s="12" t="s">
        <v>1587</v>
      </c>
      <c r="Q1133" s="12">
        <v>39849206</v>
      </c>
    </row>
    <row r="1134" spans="16:17">
      <c r="P1134" s="12" t="s">
        <v>1588</v>
      </c>
      <c r="Q1134" s="12">
        <v>37673874</v>
      </c>
    </row>
    <row r="1135" spans="16:17">
      <c r="P1135" s="12" t="s">
        <v>593</v>
      </c>
      <c r="Q1135" s="12">
        <v>45777770</v>
      </c>
    </row>
    <row r="1136" spans="16:17">
      <c r="P1136" t="s">
        <v>1589</v>
      </c>
      <c r="Q1136" s="12">
        <v>45777770</v>
      </c>
    </row>
    <row r="1137" spans="16:17">
      <c r="P1137" s="12" t="s">
        <v>1590</v>
      </c>
      <c r="Q1137" s="12">
        <v>42949397</v>
      </c>
    </row>
    <row r="1138" spans="16:17">
      <c r="P1138" s="12" t="s">
        <v>1591</v>
      </c>
      <c r="Q1138" s="12">
        <v>42949397</v>
      </c>
    </row>
    <row r="1139" spans="16:17">
      <c r="P1139" s="12" t="s">
        <v>1592</v>
      </c>
      <c r="Q1139" s="12">
        <v>42949397</v>
      </c>
    </row>
    <row r="1140" spans="16:17">
      <c r="P1140" s="12" t="s">
        <v>1593</v>
      </c>
      <c r="Q1140" s="12">
        <v>38983856</v>
      </c>
    </row>
    <row r="1141" spans="16:17">
      <c r="P1141" s="12" t="s">
        <v>1594</v>
      </c>
      <c r="Q1141" s="12">
        <v>38983856</v>
      </c>
    </row>
    <row r="1142" spans="16:17">
      <c r="P1142" s="12" t="s">
        <v>1595</v>
      </c>
      <c r="Q1142" s="12">
        <v>38983856</v>
      </c>
    </row>
    <row r="1143" spans="16:17">
      <c r="P1143" s="12" t="s">
        <v>595</v>
      </c>
      <c r="Q1143" s="12">
        <v>38983856</v>
      </c>
    </row>
    <row r="1144" spans="16:17">
      <c r="P1144" s="12" t="s">
        <v>596</v>
      </c>
      <c r="Q1144" s="12">
        <v>12892</v>
      </c>
    </row>
    <row r="1145" spans="16:17">
      <c r="P1145" s="12" t="s">
        <v>1596</v>
      </c>
      <c r="Q1145" s="12">
        <v>12892</v>
      </c>
    </row>
    <row r="1146" spans="16:17">
      <c r="P1146" t="s">
        <v>1597</v>
      </c>
      <c r="Q1146" s="12">
        <v>12892</v>
      </c>
    </row>
    <row r="1147" spans="16:17">
      <c r="P1147" s="12" t="s">
        <v>598</v>
      </c>
      <c r="Q1147" s="12">
        <v>29479568</v>
      </c>
    </row>
    <row r="1148" spans="16:17">
      <c r="P1148" s="12" t="s">
        <v>600</v>
      </c>
      <c r="Q1148" s="12">
        <v>40170135</v>
      </c>
    </row>
    <row r="1149" spans="16:17">
      <c r="P1149" s="12" t="s">
        <v>1598</v>
      </c>
      <c r="Q1149" s="12">
        <v>40015710</v>
      </c>
    </row>
    <row r="1150" spans="16:17">
      <c r="P1150" s="12" t="s">
        <v>1599</v>
      </c>
      <c r="Q1150" s="12">
        <v>39464433</v>
      </c>
    </row>
    <row r="1151" spans="16:17">
      <c r="P1151" s="12" t="s">
        <v>1600</v>
      </c>
      <c r="Q1151" s="12">
        <v>46955156</v>
      </c>
    </row>
    <row r="1152" spans="16:17">
      <c r="P1152" s="12" t="s">
        <v>1601</v>
      </c>
      <c r="Q1152" s="12">
        <v>46955156</v>
      </c>
    </row>
    <row r="1153" spans="16:17">
      <c r="P1153" t="s">
        <v>1602</v>
      </c>
      <c r="Q1153" s="12">
        <v>18057238</v>
      </c>
    </row>
    <row r="1154" spans="16:17">
      <c r="P1154" s="12" t="s">
        <v>1603</v>
      </c>
      <c r="Q1154" s="12">
        <v>18057238</v>
      </c>
    </row>
    <row r="1155" spans="16:17">
      <c r="P1155" s="12" t="s">
        <v>601</v>
      </c>
      <c r="Q1155" s="12">
        <v>18057238</v>
      </c>
    </row>
    <row r="1156" spans="16:17">
      <c r="P1156" s="12" t="s">
        <v>1604</v>
      </c>
      <c r="Q1156" s="12">
        <v>18057238</v>
      </c>
    </row>
    <row r="1157" spans="16:17">
      <c r="P1157" s="12" t="s">
        <v>1605</v>
      </c>
      <c r="Q1157" s="12">
        <v>18057238</v>
      </c>
    </row>
    <row r="1158" spans="16:17">
      <c r="P1158" s="12" t="s">
        <v>1606</v>
      </c>
      <c r="Q1158" s="12">
        <v>40185441</v>
      </c>
    </row>
    <row r="1159" spans="16:17">
      <c r="P1159" s="12" t="s">
        <v>1607</v>
      </c>
      <c r="Q1159" s="12">
        <v>34309230</v>
      </c>
    </row>
    <row r="1160" spans="16:17">
      <c r="P1160" s="12" t="s">
        <v>1608</v>
      </c>
      <c r="Q1160" s="12">
        <v>34309230</v>
      </c>
    </row>
    <row r="1161" spans="16:17">
      <c r="P1161" s="12" t="s">
        <v>1609</v>
      </c>
      <c r="Q1161" s="12">
        <v>34309230</v>
      </c>
    </row>
    <row r="1162" spans="16:17">
      <c r="P1162" s="12" t="s">
        <v>603</v>
      </c>
      <c r="Q1162" s="12">
        <v>34309230</v>
      </c>
    </row>
    <row r="1163" spans="16:17">
      <c r="P1163" t="s">
        <v>1610</v>
      </c>
      <c r="Q1163">
        <v>39467782</v>
      </c>
    </row>
    <row r="1164" spans="16:17">
      <c r="P1164" t="s">
        <v>1611</v>
      </c>
      <c r="Q1164">
        <v>39467782</v>
      </c>
    </row>
    <row r="1165" spans="16:17">
      <c r="P1165" t="s">
        <v>1612</v>
      </c>
      <c r="Q1165">
        <v>39467782</v>
      </c>
    </row>
    <row r="1166" spans="16:17">
      <c r="P1166" t="s">
        <v>1613</v>
      </c>
      <c r="Q1166">
        <v>39467782</v>
      </c>
    </row>
    <row r="1167" spans="16:17">
      <c r="P1167" t="s">
        <v>1614</v>
      </c>
      <c r="Q1167">
        <v>39467782</v>
      </c>
    </row>
    <row r="1168" spans="16:17">
      <c r="P1168" s="12" t="s">
        <v>1615</v>
      </c>
      <c r="Q1168" s="12">
        <v>12687</v>
      </c>
    </row>
    <row r="1169" spans="16:17">
      <c r="P1169" s="12" t="s">
        <v>1616</v>
      </c>
      <c r="Q1169" s="12">
        <v>40006637</v>
      </c>
    </row>
    <row r="1170" spans="16:17">
      <c r="P1170" s="12" t="s">
        <v>1617</v>
      </c>
      <c r="Q1170" s="12">
        <v>40006637</v>
      </c>
    </row>
    <row r="1171" spans="16:17">
      <c r="P1171" s="12" t="s">
        <v>1618</v>
      </c>
      <c r="Q1171" s="12">
        <v>40006637</v>
      </c>
    </row>
    <row r="1172" spans="16:17">
      <c r="P1172" s="12" t="s">
        <v>1619</v>
      </c>
      <c r="Q1172" s="12">
        <v>45417782</v>
      </c>
    </row>
    <row r="1173" spans="16:17">
      <c r="P1173" s="12" t="s">
        <v>1620</v>
      </c>
      <c r="Q1173" s="12">
        <v>45417782</v>
      </c>
    </row>
    <row r="1174" spans="16:17">
      <c r="P1174" s="12" t="s">
        <v>1621</v>
      </c>
      <c r="Q1174" s="12">
        <v>45417782</v>
      </c>
    </row>
    <row r="1175" spans="16:17">
      <c r="P1175" s="12" t="s">
        <v>605</v>
      </c>
      <c r="Q1175" s="12">
        <v>45417782</v>
      </c>
    </row>
    <row r="1176" spans="16:17">
      <c r="P1176" s="12" t="s">
        <v>1622</v>
      </c>
      <c r="Q1176" s="12">
        <v>45417782</v>
      </c>
    </row>
    <row r="1177" spans="16:17">
      <c r="P1177" s="12" t="s">
        <v>1623</v>
      </c>
      <c r="Q1177" s="12">
        <v>12435</v>
      </c>
    </row>
    <row r="1178" spans="16:17">
      <c r="P1178" s="12" t="s">
        <v>1624</v>
      </c>
      <c r="Q1178" s="12">
        <v>12435</v>
      </c>
    </row>
    <row r="1179" spans="16:17">
      <c r="P1179" s="12" t="s">
        <v>606</v>
      </c>
      <c r="Q1179" s="12">
        <v>12435</v>
      </c>
    </row>
    <row r="1180" spans="16:17">
      <c r="P1180" s="12" t="s">
        <v>1625</v>
      </c>
      <c r="Q1180" s="12">
        <v>12435</v>
      </c>
    </row>
    <row r="1181" spans="16:17">
      <c r="P1181" s="12" t="s">
        <v>1626</v>
      </c>
      <c r="Q1181" s="12">
        <v>37837661</v>
      </c>
    </row>
    <row r="1182" spans="16:17">
      <c r="P1182" s="12" t="s">
        <v>608</v>
      </c>
      <c r="Q1182" s="12">
        <v>37837661</v>
      </c>
    </row>
    <row r="1183" spans="16:17">
      <c r="P1183" t="s">
        <v>1627</v>
      </c>
      <c r="Q1183">
        <v>37019337</v>
      </c>
    </row>
    <row r="1184" spans="16:17">
      <c r="P1184" s="12" t="s">
        <v>1628</v>
      </c>
      <c r="Q1184" s="12">
        <v>11836</v>
      </c>
    </row>
    <row r="1185" spans="16:17">
      <c r="P1185" t="s">
        <v>1629</v>
      </c>
      <c r="Q1185">
        <v>37989596</v>
      </c>
    </row>
    <row r="1186" spans="16:17">
      <c r="P1186" t="s">
        <v>1630</v>
      </c>
      <c r="Q1186">
        <v>37989596</v>
      </c>
    </row>
    <row r="1187" spans="16:17">
      <c r="P1187" t="s">
        <v>1631</v>
      </c>
      <c r="Q1187">
        <v>37989596</v>
      </c>
    </row>
    <row r="1188" spans="16:17">
      <c r="P1188" t="s">
        <v>1632</v>
      </c>
      <c r="Q1188">
        <v>37989596</v>
      </c>
    </row>
    <row r="1189" spans="16:17">
      <c r="P1189" t="s">
        <v>1633</v>
      </c>
      <c r="Q1189">
        <v>37989596</v>
      </c>
    </row>
    <row r="1190" spans="16:17">
      <c r="P1190" s="12" t="s">
        <v>1634</v>
      </c>
      <c r="Q1190" s="12">
        <v>44598859</v>
      </c>
    </row>
    <row r="1191" spans="16:17">
      <c r="P1191" s="12" t="s">
        <v>1635</v>
      </c>
      <c r="Q1191" s="12">
        <v>39149791</v>
      </c>
    </row>
    <row r="1192" spans="16:17">
      <c r="P1192" s="12" t="s">
        <v>1636</v>
      </c>
      <c r="Q1192" s="12">
        <v>39149791</v>
      </c>
    </row>
    <row r="1193" spans="16:17">
      <c r="P1193" t="s">
        <v>1637</v>
      </c>
      <c r="Q1193">
        <v>36404018</v>
      </c>
    </row>
    <row r="1194" spans="16:17">
      <c r="P1194" t="s">
        <v>1638</v>
      </c>
      <c r="Q1194">
        <v>36404018</v>
      </c>
    </row>
    <row r="1195" spans="16:17">
      <c r="P1195" s="12" t="s">
        <v>1639</v>
      </c>
      <c r="Q1195" s="12">
        <v>33045090</v>
      </c>
    </row>
    <row r="1196" spans="16:17">
      <c r="P1196" t="s">
        <v>1640</v>
      </c>
      <c r="Q1196">
        <v>36404018</v>
      </c>
    </row>
    <row r="1197" spans="16:17">
      <c r="P1197" t="s">
        <v>1641</v>
      </c>
      <c r="Q1197">
        <v>36404018</v>
      </c>
    </row>
    <row r="1198" spans="16:17">
      <c r="P1198" t="s">
        <v>1642</v>
      </c>
      <c r="Q1198">
        <v>36404018</v>
      </c>
    </row>
    <row r="1199" spans="16:17">
      <c r="P1199" t="s">
        <v>1643</v>
      </c>
      <c r="Q1199">
        <v>27259537</v>
      </c>
    </row>
    <row r="1200" spans="16:17">
      <c r="P1200" t="s">
        <v>1644</v>
      </c>
      <c r="Q1200">
        <v>27259537</v>
      </c>
    </row>
    <row r="1201" spans="16:17">
      <c r="P1201" t="s">
        <v>1645</v>
      </c>
      <c r="Q1201">
        <v>27259537</v>
      </c>
    </row>
    <row r="1202" spans="16:17">
      <c r="P1202" t="s">
        <v>1646</v>
      </c>
      <c r="Q1202">
        <v>27259537</v>
      </c>
    </row>
    <row r="1203" spans="16:17">
      <c r="P1203" s="12" t="s">
        <v>1647</v>
      </c>
      <c r="Q1203" s="12">
        <v>12317</v>
      </c>
    </row>
    <row r="1204" spans="16:17">
      <c r="P1204" s="12" t="s">
        <v>609</v>
      </c>
      <c r="Q1204" s="12">
        <v>12317</v>
      </c>
    </row>
    <row r="1205" spans="16:17">
      <c r="P1205" s="12" t="s">
        <v>1648</v>
      </c>
      <c r="Q1205" s="12">
        <v>28898771</v>
      </c>
    </row>
    <row r="1206" spans="16:17">
      <c r="P1206" s="12" t="s">
        <v>1649</v>
      </c>
      <c r="Q1206" s="12">
        <v>28898771</v>
      </c>
    </row>
    <row r="1207" spans="16:17">
      <c r="P1207" s="12" t="s">
        <v>1650</v>
      </c>
      <c r="Q1207" s="12">
        <v>43089412</v>
      </c>
    </row>
    <row r="1208" spans="16:17">
      <c r="P1208" t="s">
        <v>1651</v>
      </c>
      <c r="Q1208" s="12">
        <v>43089412</v>
      </c>
    </row>
    <row r="1209" spans="16:17">
      <c r="P1209" s="12" t="s">
        <v>1652</v>
      </c>
      <c r="Q1209" s="12">
        <v>28898771</v>
      </c>
    </row>
    <row r="1210" spans="16:17">
      <c r="P1210" s="12" t="s">
        <v>1653</v>
      </c>
      <c r="Q1210" s="12">
        <v>43089412</v>
      </c>
    </row>
    <row r="1211" spans="16:17">
      <c r="P1211" s="12" t="s">
        <v>611</v>
      </c>
      <c r="Q1211" s="12">
        <v>43089412</v>
      </c>
    </row>
    <row r="1212" spans="16:17">
      <c r="P1212" s="12" t="s">
        <v>1654</v>
      </c>
      <c r="Q1212" s="12">
        <v>43089412</v>
      </c>
    </row>
    <row r="1213" spans="16:17">
      <c r="P1213" s="12" t="s">
        <v>1655</v>
      </c>
      <c r="Q1213" s="12">
        <v>28898771</v>
      </c>
    </row>
    <row r="1214" spans="16:17">
      <c r="P1214" s="12" t="s">
        <v>1656</v>
      </c>
      <c r="Q1214" s="12">
        <v>13786</v>
      </c>
    </row>
    <row r="1215" spans="16:17">
      <c r="P1215" s="12" t="s">
        <v>613</v>
      </c>
      <c r="Q1215" s="12">
        <v>13786</v>
      </c>
    </row>
    <row r="1216" spans="16:17">
      <c r="P1216" s="12" t="s">
        <v>1657</v>
      </c>
      <c r="Q1216" s="12">
        <v>39418634</v>
      </c>
    </row>
    <row r="1217" spans="16:17">
      <c r="P1217" s="12" t="s">
        <v>1658</v>
      </c>
      <c r="Q1217" s="12">
        <v>39418634</v>
      </c>
    </row>
    <row r="1218" spans="16:17">
      <c r="P1218" s="12" t="s">
        <v>1659</v>
      </c>
      <c r="Q1218" s="12">
        <v>41103385</v>
      </c>
    </row>
    <row r="1219" spans="16:17">
      <c r="P1219" s="12" t="s">
        <v>615</v>
      </c>
      <c r="Q1219" s="12">
        <v>42412716</v>
      </c>
    </row>
    <row r="1220" spans="16:17">
      <c r="P1220" s="12" t="s">
        <v>1660</v>
      </c>
      <c r="Q1220" s="12">
        <v>42412716</v>
      </c>
    </row>
    <row r="1221" spans="16:17">
      <c r="P1221" s="12" t="s">
        <v>1661</v>
      </c>
      <c r="Q1221" s="12">
        <v>40671810</v>
      </c>
    </row>
    <row r="1222" spans="16:17">
      <c r="P1222" s="12" t="s">
        <v>1662</v>
      </c>
      <c r="Q1222" s="12">
        <v>40671810</v>
      </c>
    </row>
    <row r="1223" spans="16:17">
      <c r="P1223" s="12" t="s">
        <v>1663</v>
      </c>
      <c r="Q1223" s="12">
        <v>40671810</v>
      </c>
    </row>
    <row r="1224" spans="16:17">
      <c r="P1224" s="12" t="s">
        <v>1664</v>
      </c>
      <c r="Q1224" s="12">
        <v>94656597</v>
      </c>
    </row>
    <row r="1225" spans="16:17">
      <c r="P1225" s="12" t="s">
        <v>617</v>
      </c>
      <c r="Q1225" s="12">
        <v>94656597</v>
      </c>
    </row>
    <row r="1226" spans="16:17">
      <c r="P1226" s="12" t="s">
        <v>619</v>
      </c>
      <c r="Q1226" s="12">
        <v>39418634</v>
      </c>
    </row>
    <row r="1227" spans="16:17">
      <c r="P1227" s="12" t="s">
        <v>1665</v>
      </c>
      <c r="Q1227" s="12">
        <v>39418634</v>
      </c>
    </row>
    <row r="1228" spans="16:17">
      <c r="P1228" s="12" t="s">
        <v>1666</v>
      </c>
      <c r="Q1228" s="12">
        <v>94656597</v>
      </c>
    </row>
    <row r="1229" spans="16:17">
      <c r="P1229" s="12" t="s">
        <v>1667</v>
      </c>
      <c r="Q1229" s="12">
        <v>94656597</v>
      </c>
    </row>
    <row r="1230" spans="16:17">
      <c r="P1230" s="12" t="s">
        <v>1668</v>
      </c>
      <c r="Q1230" s="12">
        <v>41103385</v>
      </c>
    </row>
    <row r="1231" spans="16:17">
      <c r="P1231" s="12" t="s">
        <v>1669</v>
      </c>
      <c r="Q1231" s="12">
        <v>29392005</v>
      </c>
    </row>
    <row r="1232" spans="16:17">
      <c r="P1232" s="12" t="s">
        <v>1670</v>
      </c>
      <c r="Q1232" s="12">
        <v>37480598</v>
      </c>
    </row>
    <row r="1233" spans="16:17">
      <c r="P1233" s="12" t="s">
        <v>1671</v>
      </c>
      <c r="Q1233" s="12">
        <v>37480598</v>
      </c>
    </row>
    <row r="1234" spans="16:17">
      <c r="P1234" s="12" t="s">
        <v>1672</v>
      </c>
      <c r="Q1234" s="12">
        <v>37480598</v>
      </c>
    </row>
    <row r="1235" spans="16:17">
      <c r="P1235" s="12" t="s">
        <v>1673</v>
      </c>
      <c r="Q1235" s="12">
        <v>44656733</v>
      </c>
    </row>
    <row r="1236" spans="16:17">
      <c r="P1236" s="12" t="s">
        <v>621</v>
      </c>
      <c r="Q1236" s="12">
        <v>44656733</v>
      </c>
    </row>
    <row r="1237" spans="16:17">
      <c r="P1237" s="12" t="s">
        <v>1674</v>
      </c>
      <c r="Q1237" s="12">
        <v>38947757</v>
      </c>
    </row>
    <row r="1238" spans="16:17">
      <c r="P1238" s="12" t="s">
        <v>1675</v>
      </c>
      <c r="Q1238" s="12">
        <v>40381683</v>
      </c>
    </row>
    <row r="1239" spans="16:17">
      <c r="P1239" s="12" t="s">
        <v>1676</v>
      </c>
      <c r="Q1239" s="12">
        <v>45687042</v>
      </c>
    </row>
    <row r="1240" spans="16:17">
      <c r="P1240" s="12" t="s">
        <v>1677</v>
      </c>
      <c r="Q1240" s="12">
        <v>45687042</v>
      </c>
    </row>
    <row r="1241" spans="16:17">
      <c r="P1241" t="s">
        <v>1678</v>
      </c>
      <c r="Q1241">
        <v>45356816</v>
      </c>
    </row>
    <row r="1242" spans="16:17">
      <c r="P1242" s="12" t="s">
        <v>623</v>
      </c>
      <c r="Q1242" s="12">
        <v>35617100</v>
      </c>
    </row>
    <row r="1243" spans="16:17">
      <c r="P1243" t="s">
        <v>1679</v>
      </c>
      <c r="Q1243" s="12">
        <v>17212</v>
      </c>
    </row>
    <row r="1244" spans="16:17">
      <c r="P1244" t="s">
        <v>1680</v>
      </c>
      <c r="Q1244" s="12">
        <v>17212</v>
      </c>
    </row>
    <row r="1245" spans="16:17">
      <c r="P1245" t="s">
        <v>1681</v>
      </c>
      <c r="Q1245">
        <v>37786037</v>
      </c>
    </row>
    <row r="1246" spans="16:17">
      <c r="P1246" s="12" t="s">
        <v>1682</v>
      </c>
      <c r="Q1246" s="12">
        <v>39393504</v>
      </c>
    </row>
    <row r="1247" spans="16:17">
      <c r="P1247" s="12" t="s">
        <v>1683</v>
      </c>
      <c r="Q1247" s="12">
        <v>43998966</v>
      </c>
    </row>
    <row r="1248" spans="16:17">
      <c r="P1248" s="12" t="s">
        <v>1684</v>
      </c>
      <c r="Q1248" s="12">
        <v>43998966</v>
      </c>
    </row>
    <row r="1249" spans="16:17">
      <c r="P1249" s="12" t="s">
        <v>1685</v>
      </c>
      <c r="Q1249" s="12">
        <v>50441124</v>
      </c>
    </row>
    <row r="1250" spans="16:17">
      <c r="P1250" s="12" t="s">
        <v>1686</v>
      </c>
      <c r="Q1250" s="12">
        <v>50441124</v>
      </c>
    </row>
    <row r="1251" spans="16:17">
      <c r="P1251" s="12" t="s">
        <v>1687</v>
      </c>
      <c r="Q1251" s="12">
        <v>50441124</v>
      </c>
    </row>
    <row r="1252" spans="16:17">
      <c r="P1252" s="12" t="s">
        <v>1688</v>
      </c>
      <c r="Q1252" s="12">
        <v>44447985</v>
      </c>
    </row>
    <row r="1253" spans="16:17">
      <c r="P1253" t="s">
        <v>1689</v>
      </c>
      <c r="Q1253">
        <v>33122187</v>
      </c>
    </row>
    <row r="1254" spans="16:17">
      <c r="P1254" t="s">
        <v>1690</v>
      </c>
      <c r="Q1254">
        <v>33122187</v>
      </c>
    </row>
    <row r="1255" spans="16:17">
      <c r="P1255" t="s">
        <v>1691</v>
      </c>
      <c r="Q1255">
        <v>33122187</v>
      </c>
    </row>
    <row r="1256" spans="16:17">
      <c r="P1256" t="s">
        <v>1692</v>
      </c>
      <c r="Q1256">
        <v>33122187</v>
      </c>
    </row>
    <row r="1257" spans="16:17">
      <c r="P1257" s="12" t="s">
        <v>1693</v>
      </c>
      <c r="Q1257" s="12">
        <v>26550375</v>
      </c>
    </row>
    <row r="1258" spans="16:17">
      <c r="P1258" s="12" t="s">
        <v>1694</v>
      </c>
      <c r="Q1258" s="12">
        <v>34959036</v>
      </c>
    </row>
    <row r="1259" spans="16:17">
      <c r="P1259" s="12" t="s">
        <v>1695</v>
      </c>
      <c r="Q1259" s="12">
        <v>43574382</v>
      </c>
    </row>
    <row r="1260" spans="16:17">
      <c r="P1260" s="12" t="s">
        <v>1696</v>
      </c>
      <c r="Q1260" s="12">
        <v>22819436</v>
      </c>
    </row>
    <row r="1261" spans="16:17">
      <c r="P1261" s="12" t="s">
        <v>1697</v>
      </c>
      <c r="Q1261" s="12">
        <v>22819436</v>
      </c>
    </row>
    <row r="1262" spans="16:17">
      <c r="P1262" s="12" t="s">
        <v>624</v>
      </c>
      <c r="Q1262" s="12">
        <v>22819436</v>
      </c>
    </row>
    <row r="1263" spans="16:17">
      <c r="P1263" s="12" t="s">
        <v>1698</v>
      </c>
      <c r="Q1263" s="12">
        <v>41150966</v>
      </c>
    </row>
    <row r="1264" spans="16:17">
      <c r="P1264" s="12" t="s">
        <v>1699</v>
      </c>
      <c r="Q1264" s="12">
        <v>40024253</v>
      </c>
    </row>
    <row r="1265" spans="16:17">
      <c r="P1265" s="12" t="s">
        <v>1700</v>
      </c>
      <c r="Q1265" s="12">
        <v>12219</v>
      </c>
    </row>
    <row r="1266" spans="16:17">
      <c r="P1266" s="12" t="s">
        <v>1701</v>
      </c>
      <c r="Q1266" s="12">
        <v>39418565</v>
      </c>
    </row>
    <row r="1267" spans="16:17">
      <c r="P1267" s="12" t="s">
        <v>1702</v>
      </c>
      <c r="Q1267" s="12">
        <v>39418565</v>
      </c>
    </row>
    <row r="1268" spans="16:17">
      <c r="P1268" s="12" t="s">
        <v>626</v>
      </c>
      <c r="Q1268" s="12">
        <v>21594484</v>
      </c>
    </row>
    <row r="1269" spans="16:17">
      <c r="P1269" s="12" t="s">
        <v>1703</v>
      </c>
      <c r="Q1269" s="12">
        <v>44508898</v>
      </c>
    </row>
    <row r="1270" spans="16:17">
      <c r="P1270" s="12" t="s">
        <v>1704</v>
      </c>
      <c r="Q1270" s="12">
        <v>44508898</v>
      </c>
    </row>
    <row r="1271" spans="16:17">
      <c r="P1271" s="12" t="s">
        <v>1705</v>
      </c>
      <c r="Q1271" s="12">
        <v>44508898</v>
      </c>
    </row>
    <row r="1272" spans="16:17">
      <c r="P1272" s="12" t="s">
        <v>1706</v>
      </c>
      <c r="Q1272" s="12">
        <v>44554412</v>
      </c>
    </row>
    <row r="1273" spans="16:17">
      <c r="P1273" s="12" t="s">
        <v>628</v>
      </c>
      <c r="Q1273" s="12">
        <v>44554412</v>
      </c>
    </row>
    <row r="1274" spans="16:17">
      <c r="P1274" s="12" t="s">
        <v>1707</v>
      </c>
      <c r="Q1274" s="12">
        <v>44554412</v>
      </c>
    </row>
    <row r="1275" spans="16:17">
      <c r="P1275" s="12" t="s">
        <v>1708</v>
      </c>
      <c r="Q1275" s="12">
        <v>29635735</v>
      </c>
    </row>
    <row r="1276" spans="16:17">
      <c r="P1276" s="12" t="s">
        <v>1709</v>
      </c>
      <c r="Q1276" s="12">
        <v>12877</v>
      </c>
    </row>
    <row r="1277" spans="16:17">
      <c r="P1277" t="s">
        <v>1710</v>
      </c>
      <c r="Q1277">
        <v>36561378</v>
      </c>
    </row>
    <row r="1278" spans="16:17">
      <c r="P1278" s="12" t="s">
        <v>1711</v>
      </c>
      <c r="Q1278" s="12">
        <v>35166947</v>
      </c>
    </row>
    <row r="1279" spans="16:17">
      <c r="P1279" s="12" t="s">
        <v>1712</v>
      </c>
      <c r="Q1279" s="12">
        <v>41898391</v>
      </c>
    </row>
    <row r="1280" spans="16:17">
      <c r="P1280" s="12" t="s">
        <v>1713</v>
      </c>
      <c r="Q1280" s="12">
        <v>42364427</v>
      </c>
    </row>
    <row r="1281" spans="16:17">
      <c r="P1281" s="12" t="s">
        <v>1714</v>
      </c>
      <c r="Q1281" s="12">
        <v>35419741</v>
      </c>
    </row>
    <row r="1282" spans="16:17">
      <c r="P1282" s="12" t="s">
        <v>1715</v>
      </c>
      <c r="Q1282" s="12">
        <v>95552922</v>
      </c>
    </row>
    <row r="1283" spans="16:17">
      <c r="P1283" s="12" t="s">
        <v>1716</v>
      </c>
      <c r="Q1283" s="12">
        <v>42998850</v>
      </c>
    </row>
    <row r="1284" spans="16:17">
      <c r="P1284" s="12" t="s">
        <v>1717</v>
      </c>
      <c r="Q1284" s="12">
        <v>43672243</v>
      </c>
    </row>
    <row r="1285" spans="16:17">
      <c r="P1285" s="12" t="s">
        <v>1718</v>
      </c>
      <c r="Q1285" s="12">
        <v>43672243</v>
      </c>
    </row>
    <row r="1286" spans="16:17">
      <c r="P1286" s="12" t="s">
        <v>629</v>
      </c>
      <c r="Q1286" s="12">
        <v>43672243</v>
      </c>
    </row>
    <row r="1287" spans="16:17">
      <c r="P1287" s="12" t="s">
        <v>1719</v>
      </c>
      <c r="Q1287" s="12">
        <v>43262077</v>
      </c>
    </row>
    <row r="1288" spans="16:17">
      <c r="P1288" s="12" t="s">
        <v>631</v>
      </c>
      <c r="Q1288" s="12">
        <v>34488</v>
      </c>
    </row>
    <row r="1289" spans="16:17">
      <c r="P1289" s="12" t="s">
        <v>1720</v>
      </c>
      <c r="Q1289" s="12">
        <v>34488</v>
      </c>
    </row>
    <row r="1290" spans="16:17">
      <c r="P1290" t="s">
        <v>1721</v>
      </c>
      <c r="Q1290">
        <v>33789775</v>
      </c>
    </row>
    <row r="1291" spans="16:17">
      <c r="P1291" t="s">
        <v>1722</v>
      </c>
      <c r="Q1291">
        <v>33789775</v>
      </c>
    </row>
    <row r="1292" spans="16:17">
      <c r="P1292" s="12" t="s">
        <v>1723</v>
      </c>
      <c r="Q1292" s="12">
        <v>39065166</v>
      </c>
    </row>
    <row r="1293" spans="16:17">
      <c r="P1293" s="12" t="s">
        <v>1724</v>
      </c>
      <c r="Q1293" s="12">
        <v>37667255</v>
      </c>
    </row>
    <row r="1294" spans="16:17">
      <c r="P1294" s="12" t="s">
        <v>1725</v>
      </c>
      <c r="Q1294" s="12">
        <v>37667255</v>
      </c>
    </row>
    <row r="1295" spans="16:17">
      <c r="P1295" s="12" t="s">
        <v>1726</v>
      </c>
      <c r="Q1295" s="12">
        <v>44789774</v>
      </c>
    </row>
    <row r="1296" spans="16:17">
      <c r="P1296" s="12" t="s">
        <v>1727</v>
      </c>
      <c r="Q1296" s="12">
        <v>44789774</v>
      </c>
    </row>
    <row r="1297" spans="16:17">
      <c r="P1297" s="12" t="s">
        <v>633</v>
      </c>
      <c r="Q1297" s="12">
        <v>44789774</v>
      </c>
    </row>
    <row r="1298" spans="16:17">
      <c r="P1298" s="12" t="s">
        <v>1728</v>
      </c>
      <c r="Q1298" s="12">
        <v>43310085</v>
      </c>
    </row>
    <row r="1299" spans="16:17">
      <c r="P1299" s="12" t="s">
        <v>1729</v>
      </c>
      <c r="Q1299" s="12">
        <v>36387276</v>
      </c>
    </row>
    <row r="1300" spans="16:17">
      <c r="P1300" s="12" t="s">
        <v>1730</v>
      </c>
      <c r="Q1300" s="12">
        <v>44156353</v>
      </c>
    </row>
    <row r="1301" spans="16:17">
      <c r="P1301" s="12" t="s">
        <v>1731</v>
      </c>
      <c r="Q1301" s="12">
        <v>38346365</v>
      </c>
    </row>
    <row r="1302" spans="16:17">
      <c r="P1302" s="12" t="s">
        <v>1732</v>
      </c>
      <c r="Q1302" s="12">
        <v>38458057</v>
      </c>
    </row>
    <row r="1303" spans="16:17">
      <c r="P1303" s="12" t="s">
        <v>1733</v>
      </c>
      <c r="Q1303" s="12">
        <v>38458057</v>
      </c>
    </row>
    <row r="1304" spans="16:17">
      <c r="P1304" t="s">
        <v>1734</v>
      </c>
      <c r="Q1304">
        <v>22986617</v>
      </c>
    </row>
    <row r="1305" spans="16:17">
      <c r="P1305" t="s">
        <v>1735</v>
      </c>
      <c r="Q1305">
        <v>22986617</v>
      </c>
    </row>
    <row r="1306" spans="16:17">
      <c r="P1306" t="s">
        <v>1736</v>
      </c>
      <c r="Q1306" s="12">
        <v>38346365</v>
      </c>
    </row>
    <row r="1307" spans="16:17">
      <c r="P1307" s="12" t="s">
        <v>635</v>
      </c>
      <c r="Q1307" s="12">
        <v>38346365</v>
      </c>
    </row>
    <row r="1308" spans="16:17">
      <c r="P1308" s="12" t="s">
        <v>1737</v>
      </c>
      <c r="Q1308" s="12">
        <v>38346365</v>
      </c>
    </row>
    <row r="1309" spans="16:17">
      <c r="P1309" t="s">
        <v>1738</v>
      </c>
      <c r="Q1309" s="12">
        <v>38346365</v>
      </c>
    </row>
    <row r="1310" spans="16:17">
      <c r="P1310" s="12" t="s">
        <v>1739</v>
      </c>
      <c r="Q1310" s="12">
        <v>39427173</v>
      </c>
    </row>
    <row r="1311" spans="16:17">
      <c r="P1311" t="s">
        <v>1740</v>
      </c>
      <c r="Q1311">
        <v>35820013</v>
      </c>
    </row>
    <row r="1312" spans="16:17">
      <c r="P1312" t="s">
        <v>1741</v>
      </c>
      <c r="Q1312">
        <v>35820013</v>
      </c>
    </row>
    <row r="1313" spans="16:17">
      <c r="P1313" s="12" t="s">
        <v>1742</v>
      </c>
      <c r="Q1313" s="12">
        <v>30494494</v>
      </c>
    </row>
    <row r="1314" spans="16:17">
      <c r="P1314" s="12" t="s">
        <v>636</v>
      </c>
      <c r="Q1314" s="12">
        <v>43310085</v>
      </c>
    </row>
    <row r="1315" spans="16:17">
      <c r="P1315" s="12" t="s">
        <v>1743</v>
      </c>
      <c r="Q1315" s="12">
        <v>43310085</v>
      </c>
    </row>
    <row r="1316" spans="16:17">
      <c r="P1316" s="12" t="s">
        <v>638</v>
      </c>
      <c r="Q1316" s="12">
        <v>36387276</v>
      </c>
    </row>
    <row r="1317" spans="16:17">
      <c r="P1317" s="12" t="s">
        <v>1744</v>
      </c>
      <c r="Q1317" s="12">
        <v>36387276</v>
      </c>
    </row>
    <row r="1318" spans="16:17">
      <c r="P1318" s="12" t="s">
        <v>639</v>
      </c>
      <c r="Q1318" s="12">
        <v>44156353</v>
      </c>
    </row>
    <row r="1319" spans="16:17">
      <c r="P1319" s="12" t="s">
        <v>1745</v>
      </c>
      <c r="Q1319" s="12">
        <v>39269078</v>
      </c>
    </row>
    <row r="1320" spans="16:17">
      <c r="P1320" t="s">
        <v>1746</v>
      </c>
      <c r="Q1320">
        <v>22986617</v>
      </c>
    </row>
    <row r="1321" spans="16:17">
      <c r="P1321" t="s">
        <v>1747</v>
      </c>
      <c r="Q1321">
        <v>22986617</v>
      </c>
    </row>
    <row r="1322" spans="16:17">
      <c r="P1322" s="12" t="s">
        <v>1748</v>
      </c>
      <c r="Q1322" s="12">
        <v>13297618</v>
      </c>
    </row>
    <row r="1323" spans="16:17">
      <c r="P1323" s="12" t="s">
        <v>1749</v>
      </c>
      <c r="Q1323" s="12">
        <v>43724496</v>
      </c>
    </row>
    <row r="1324" spans="16:17">
      <c r="P1324" s="12" t="s">
        <v>1750</v>
      </c>
      <c r="Q1324" s="12">
        <v>43724496</v>
      </c>
    </row>
    <row r="1325" spans="16:17">
      <c r="P1325" s="12" t="s">
        <v>1751</v>
      </c>
      <c r="Q1325" s="12">
        <v>11714</v>
      </c>
    </row>
    <row r="1326" spans="16:17">
      <c r="P1326" t="s">
        <v>1752</v>
      </c>
      <c r="Q1326">
        <v>11714</v>
      </c>
    </row>
    <row r="1327" spans="16:17">
      <c r="P1327" s="12" t="s">
        <v>1753</v>
      </c>
      <c r="Q1327" s="12">
        <v>11714</v>
      </c>
    </row>
    <row r="1328" spans="16:17">
      <c r="P1328" s="12" t="s">
        <v>641</v>
      </c>
      <c r="Q1328" s="12">
        <v>11714</v>
      </c>
    </row>
    <row r="1329" spans="16:17">
      <c r="P1329" s="12" t="s">
        <v>1754</v>
      </c>
      <c r="Q1329" s="12">
        <v>38346365</v>
      </c>
    </row>
    <row r="1330" spans="16:17">
      <c r="P1330" s="12" t="s">
        <v>1755</v>
      </c>
      <c r="Q1330" s="12">
        <v>42820200</v>
      </c>
    </row>
    <row r="1331" spans="16:17">
      <c r="P1331" s="12" t="s">
        <v>1756</v>
      </c>
      <c r="Q1331" s="12">
        <v>42820200</v>
      </c>
    </row>
    <row r="1332" spans="16:17">
      <c r="P1332" s="12" t="s">
        <v>643</v>
      </c>
      <c r="Q1332" s="12">
        <v>42820200</v>
      </c>
    </row>
    <row r="1333" spans="16:17">
      <c r="P1333" s="12" t="s">
        <v>1757</v>
      </c>
      <c r="Q1333" s="12">
        <v>42567123</v>
      </c>
    </row>
    <row r="1334" spans="16:17">
      <c r="P1334" s="12" t="s">
        <v>645</v>
      </c>
      <c r="Q1334" s="12">
        <v>32087816</v>
      </c>
    </row>
    <row r="1335" spans="16:17">
      <c r="P1335" s="12" t="s">
        <v>1758</v>
      </c>
      <c r="Q1335" s="12">
        <v>42157414</v>
      </c>
    </row>
    <row r="1336" spans="16:17">
      <c r="P1336" s="12" t="s">
        <v>1759</v>
      </c>
      <c r="Q1336" s="12">
        <v>42157414</v>
      </c>
    </row>
    <row r="1337" spans="16:17">
      <c r="P1337" s="12" t="s">
        <v>1760</v>
      </c>
      <c r="Q1337" s="12">
        <v>42157414</v>
      </c>
    </row>
    <row r="1338" spans="16:17">
      <c r="P1338" s="12" t="s">
        <v>1761</v>
      </c>
      <c r="Q1338" s="12">
        <v>40745396</v>
      </c>
    </row>
    <row r="1339" spans="16:17">
      <c r="P1339" s="12" t="s">
        <v>1762</v>
      </c>
      <c r="Q1339" s="12">
        <v>36779160</v>
      </c>
    </row>
    <row r="1340" spans="16:17">
      <c r="P1340" s="12" t="s">
        <v>1763</v>
      </c>
      <c r="Q1340" s="12">
        <v>39849147</v>
      </c>
    </row>
    <row r="1341" spans="16:17">
      <c r="P1341" s="12" t="s">
        <v>1764</v>
      </c>
      <c r="Q1341" s="12">
        <v>39849147</v>
      </c>
    </row>
    <row r="1342" spans="16:17">
      <c r="P1342" t="s">
        <v>1765</v>
      </c>
      <c r="Q1342" s="12">
        <v>39849147</v>
      </c>
    </row>
    <row r="1343" spans="16:17">
      <c r="P1343" s="12" t="s">
        <v>648</v>
      </c>
      <c r="Q1343" s="12">
        <v>43180231</v>
      </c>
    </row>
    <row r="1344" spans="16:17">
      <c r="P1344" s="12" t="s">
        <v>1766</v>
      </c>
      <c r="Q1344" s="12">
        <v>45678365</v>
      </c>
    </row>
    <row r="1345" spans="16:17">
      <c r="P1345" t="s">
        <v>1767</v>
      </c>
      <c r="Q1345">
        <v>25805778</v>
      </c>
    </row>
    <row r="1346" spans="16:17">
      <c r="P1346" t="s">
        <v>1768</v>
      </c>
      <c r="Q1346" s="12">
        <v>43039140</v>
      </c>
    </row>
    <row r="1347" spans="16:17">
      <c r="P1347" s="12" t="s">
        <v>650</v>
      </c>
      <c r="Q1347" s="12">
        <v>45678365</v>
      </c>
    </row>
    <row r="1348" spans="16:17">
      <c r="P1348" t="s">
        <v>1769</v>
      </c>
      <c r="Q1348" s="12">
        <v>45678365</v>
      </c>
    </row>
    <row r="1349" spans="16:17">
      <c r="P1349" t="s">
        <v>1770</v>
      </c>
      <c r="Q1349">
        <v>25805778</v>
      </c>
    </row>
    <row r="1350" spans="16:17">
      <c r="P1350" t="s">
        <v>1771</v>
      </c>
      <c r="Q1350">
        <v>25805778</v>
      </c>
    </row>
    <row r="1351" spans="16:17">
      <c r="P1351" s="12" t="s">
        <v>652</v>
      </c>
      <c r="Q1351" s="12">
        <v>43039140</v>
      </c>
    </row>
    <row r="1352" spans="16:17">
      <c r="P1352" s="12" t="s">
        <v>1772</v>
      </c>
      <c r="Q1352" s="12">
        <v>43039140</v>
      </c>
    </row>
    <row r="1353" spans="16:17">
      <c r="P1353" s="12" t="s">
        <v>1773</v>
      </c>
      <c r="Q1353" s="12">
        <v>36156558</v>
      </c>
    </row>
    <row r="1354" spans="16:17">
      <c r="P1354" t="s">
        <v>1774</v>
      </c>
      <c r="Q1354" s="12">
        <v>13764</v>
      </c>
    </row>
    <row r="1355" spans="16:17">
      <c r="P1355" t="s">
        <v>1775</v>
      </c>
      <c r="Q1355" s="12">
        <v>13764</v>
      </c>
    </row>
    <row r="1356" spans="16:17">
      <c r="P1356" s="12" t="s">
        <v>654</v>
      </c>
      <c r="Q1356" s="12">
        <v>13764</v>
      </c>
    </row>
    <row r="1357" spans="16:17">
      <c r="P1357" t="s">
        <v>1776</v>
      </c>
      <c r="Q1357" s="12">
        <v>13764</v>
      </c>
    </row>
    <row r="1358" spans="16:17">
      <c r="P1358" t="s">
        <v>1777</v>
      </c>
      <c r="Q1358" s="12">
        <v>13764</v>
      </c>
    </row>
    <row r="1359" spans="16:17">
      <c r="P1359" s="12" t="s">
        <v>1778</v>
      </c>
      <c r="Q1359" s="12">
        <v>41263276</v>
      </c>
    </row>
    <row r="1360" spans="16:17">
      <c r="P1360" t="s">
        <v>1779</v>
      </c>
      <c r="Q1360" s="12">
        <v>44484098</v>
      </c>
    </row>
    <row r="1361" spans="16:17">
      <c r="P1361" s="12" t="s">
        <v>1780</v>
      </c>
      <c r="Q1361" s="12">
        <v>44484098</v>
      </c>
    </row>
    <row r="1362" spans="16:17">
      <c r="P1362" s="12" t="s">
        <v>1781</v>
      </c>
      <c r="Q1362" s="12">
        <v>44484098</v>
      </c>
    </row>
    <row r="1363" spans="16:17">
      <c r="P1363" s="12" t="s">
        <v>656</v>
      </c>
      <c r="Q1363" s="12">
        <v>44484098</v>
      </c>
    </row>
    <row r="1364" spans="16:17">
      <c r="P1364" s="12" t="s">
        <v>1782</v>
      </c>
      <c r="Q1364" s="12">
        <v>94465774</v>
      </c>
    </row>
    <row r="1365" spans="16:17">
      <c r="P1365" s="12" t="s">
        <v>658</v>
      </c>
      <c r="Q1365" s="12">
        <v>94465774</v>
      </c>
    </row>
    <row r="1366" spans="16:17">
      <c r="P1366" s="12" t="s">
        <v>1783</v>
      </c>
      <c r="Q1366" s="12">
        <v>94465774</v>
      </c>
    </row>
    <row r="1367" spans="16:17">
      <c r="P1367" s="12" t="s">
        <v>1784</v>
      </c>
      <c r="Q1367" s="12">
        <v>39712754</v>
      </c>
    </row>
    <row r="1368" spans="16:17">
      <c r="P1368" s="12" t="s">
        <v>660</v>
      </c>
      <c r="Q1368" s="12">
        <v>39712754</v>
      </c>
    </row>
    <row r="1369" spans="16:17">
      <c r="P1369" s="12" t="s">
        <v>1785</v>
      </c>
      <c r="Q1369" s="12">
        <v>39712754</v>
      </c>
    </row>
    <row r="1370" spans="16:17">
      <c r="P1370" t="s">
        <v>1786</v>
      </c>
      <c r="Q1370">
        <v>43629113</v>
      </c>
    </row>
    <row r="1371" spans="16:17">
      <c r="P1371" t="s">
        <v>1787</v>
      </c>
      <c r="Q1371" s="12">
        <v>35166947</v>
      </c>
    </row>
    <row r="1372" spans="16:17">
      <c r="P1372" s="12" t="s">
        <v>1788</v>
      </c>
      <c r="Q1372" s="12">
        <v>28374699</v>
      </c>
    </row>
    <row r="1373" spans="16:17">
      <c r="P1373" t="s">
        <v>1789</v>
      </c>
      <c r="Q1373">
        <v>34809431</v>
      </c>
    </row>
    <row r="1374" spans="16:17">
      <c r="P1374" t="s">
        <v>1790</v>
      </c>
      <c r="Q1374">
        <v>34809431</v>
      </c>
    </row>
    <row r="1375" spans="16:17">
      <c r="P1375" s="12" t="s">
        <v>1791</v>
      </c>
      <c r="Q1375" s="12">
        <v>39268829</v>
      </c>
    </row>
    <row r="1376" spans="16:17">
      <c r="P1376" s="12" t="s">
        <v>1792</v>
      </c>
      <c r="Q1376" s="12">
        <v>33947</v>
      </c>
    </row>
    <row r="1377" spans="16:17">
      <c r="P1377" s="12" t="s">
        <v>1793</v>
      </c>
      <c r="Q1377" s="12">
        <v>33947</v>
      </c>
    </row>
    <row r="1378" spans="16:17">
      <c r="P1378" t="s">
        <v>1794</v>
      </c>
      <c r="Q1378">
        <v>44533037</v>
      </c>
    </row>
    <row r="1379" spans="16:17">
      <c r="P1379" t="s">
        <v>1795</v>
      </c>
      <c r="Q1379">
        <v>44533037</v>
      </c>
    </row>
    <row r="1380" spans="16:17">
      <c r="P1380" t="s">
        <v>1796</v>
      </c>
      <c r="Q1380">
        <v>44533037</v>
      </c>
    </row>
    <row r="1381" spans="16:17">
      <c r="P1381" t="s">
        <v>1797</v>
      </c>
      <c r="Q1381">
        <v>44533037</v>
      </c>
    </row>
    <row r="1382" spans="16:17">
      <c r="P1382" t="s">
        <v>1798</v>
      </c>
      <c r="Q1382">
        <v>44533037</v>
      </c>
    </row>
    <row r="1383" spans="16:17">
      <c r="P1383" t="s">
        <v>1799</v>
      </c>
      <c r="Q1383">
        <v>47229174</v>
      </c>
    </row>
    <row r="1384" spans="16:17">
      <c r="P1384" t="s">
        <v>1800</v>
      </c>
      <c r="Q1384">
        <v>47229174</v>
      </c>
    </row>
    <row r="1385" spans="16:17">
      <c r="P1385" s="12" t="s">
        <v>662</v>
      </c>
      <c r="Q1385" s="12">
        <v>43816402</v>
      </c>
    </row>
    <row r="1386" spans="16:17">
      <c r="P1386" s="12" t="s">
        <v>1801</v>
      </c>
      <c r="Q1386" s="12">
        <v>43816402</v>
      </c>
    </row>
    <row r="1387" spans="16:17">
      <c r="P1387" s="12" t="s">
        <v>1802</v>
      </c>
      <c r="Q1387" s="12">
        <v>41204212</v>
      </c>
    </row>
    <row r="1388" spans="16:17">
      <c r="P1388" s="12" t="s">
        <v>664</v>
      </c>
      <c r="Q1388" s="12">
        <v>12826</v>
      </c>
    </row>
    <row r="1389" spans="16:17">
      <c r="P1389" s="12" t="s">
        <v>1803</v>
      </c>
      <c r="Q1389" s="12">
        <v>94243803</v>
      </c>
    </row>
    <row r="1390" spans="16:17">
      <c r="P1390" t="s">
        <v>1804</v>
      </c>
      <c r="Q1390" s="12">
        <v>18224482</v>
      </c>
    </row>
    <row r="1391" spans="16:17">
      <c r="P1391" s="12" t="s">
        <v>1805</v>
      </c>
      <c r="Q1391" s="12">
        <v>44339059</v>
      </c>
    </row>
    <row r="1392" spans="16:17">
      <c r="P1392" s="12" t="s">
        <v>1806</v>
      </c>
      <c r="Q1392" s="12">
        <v>41777987</v>
      </c>
    </row>
    <row r="1393" spans="16:17">
      <c r="P1393" s="12" t="s">
        <v>1807</v>
      </c>
      <c r="Q1393" s="12">
        <v>41777987</v>
      </c>
    </row>
    <row r="1394" spans="16:17">
      <c r="P1394" s="12" t="s">
        <v>1808</v>
      </c>
      <c r="Q1394" s="12">
        <v>41777987</v>
      </c>
    </row>
    <row r="1395" spans="16:17">
      <c r="P1395" s="12" t="s">
        <v>1809</v>
      </c>
      <c r="Q1395" s="12">
        <v>22080853</v>
      </c>
    </row>
    <row r="1396" spans="16:17">
      <c r="P1396" s="12" t="s">
        <v>665</v>
      </c>
      <c r="Q1396" s="12">
        <v>22080853</v>
      </c>
    </row>
    <row r="1397" spans="16:17">
      <c r="P1397" s="12" t="s">
        <v>1810</v>
      </c>
      <c r="Q1397" s="12">
        <v>43034720</v>
      </c>
    </row>
    <row r="1398" spans="16:17">
      <c r="P1398" s="12" t="s">
        <v>1811</v>
      </c>
      <c r="Q1398" s="12">
        <v>43034720</v>
      </c>
    </row>
    <row r="1399" spans="16:17">
      <c r="P1399" s="12" t="s">
        <v>1812</v>
      </c>
      <c r="Q1399" s="12">
        <v>43034720</v>
      </c>
    </row>
    <row r="1400" spans="16:17">
      <c r="P1400" s="12" t="s">
        <v>666</v>
      </c>
      <c r="Q1400" s="12">
        <v>43034720</v>
      </c>
    </row>
    <row r="1401" spans="16:17">
      <c r="P1401" s="12" t="s">
        <v>1813</v>
      </c>
      <c r="Q1401" s="12">
        <v>32009469</v>
      </c>
    </row>
    <row r="1402" spans="16:17">
      <c r="P1402" t="s">
        <v>1814</v>
      </c>
      <c r="Q1402" s="12">
        <v>35335213</v>
      </c>
    </row>
    <row r="1403" spans="16:17">
      <c r="P1403" t="s">
        <v>1815</v>
      </c>
      <c r="Q1403" s="12">
        <v>35335213</v>
      </c>
    </row>
    <row r="1404" spans="16:17">
      <c r="P1404" s="12" t="s">
        <v>1816</v>
      </c>
      <c r="Q1404" s="12">
        <v>46252382</v>
      </c>
    </row>
    <row r="1405" spans="16:17">
      <c r="P1405" t="s">
        <v>1817</v>
      </c>
      <c r="Q1405" s="12">
        <v>35335213</v>
      </c>
    </row>
    <row r="1406" spans="16:17">
      <c r="P1406" s="12" t="s">
        <v>1818</v>
      </c>
      <c r="Q1406" s="12">
        <v>46252382</v>
      </c>
    </row>
    <row r="1407" spans="16:17">
      <c r="P1407" s="12" t="s">
        <v>1819</v>
      </c>
      <c r="Q1407" s="12">
        <v>46252382</v>
      </c>
    </row>
    <row r="1408" spans="16:17">
      <c r="P1408" s="12" t="s">
        <v>668</v>
      </c>
      <c r="Q1408" s="12">
        <v>35335213</v>
      </c>
    </row>
    <row r="1409" spans="16:17">
      <c r="P1409" s="12" t="s">
        <v>1820</v>
      </c>
      <c r="Q1409" s="12">
        <v>12163</v>
      </c>
    </row>
    <row r="1410" spans="16:17">
      <c r="P1410" t="s">
        <v>1821</v>
      </c>
      <c r="Q1410" s="12">
        <v>35335213</v>
      </c>
    </row>
    <row r="1411" spans="16:17">
      <c r="P1411" s="12" t="s">
        <v>1822</v>
      </c>
      <c r="Q1411" s="12">
        <v>39208721</v>
      </c>
    </row>
    <row r="1412" spans="16:17">
      <c r="P1412" s="12" t="s">
        <v>670</v>
      </c>
      <c r="Q1412" s="12">
        <v>39208721</v>
      </c>
    </row>
    <row r="1413" spans="16:17">
      <c r="P1413" t="s">
        <v>1823</v>
      </c>
      <c r="Q1413" s="12">
        <v>44339059</v>
      </c>
    </row>
    <row r="1414" spans="16:17">
      <c r="P1414" s="12" t="s">
        <v>1824</v>
      </c>
      <c r="Q1414" s="12">
        <v>44339059</v>
      </c>
    </row>
    <row r="1415" spans="16:17">
      <c r="P1415" s="12" t="s">
        <v>1825</v>
      </c>
      <c r="Q1415" s="12">
        <v>44339059</v>
      </c>
    </row>
    <row r="1416" spans="16:17">
      <c r="P1416" t="s">
        <v>1826</v>
      </c>
      <c r="Q1416">
        <v>29078556</v>
      </c>
    </row>
    <row r="1417" spans="16:17">
      <c r="P1417" t="s">
        <v>1827</v>
      </c>
      <c r="Q1417">
        <v>29078556</v>
      </c>
    </row>
    <row r="1418" spans="16:17">
      <c r="P1418" s="12" t="s">
        <v>1828</v>
      </c>
      <c r="Q1418" s="12">
        <v>39742979</v>
      </c>
    </row>
    <row r="1419" spans="16:17">
      <c r="P1419" s="12" t="s">
        <v>1829</v>
      </c>
      <c r="Q1419" s="12">
        <v>39742979</v>
      </c>
    </row>
    <row r="1420" spans="16:17">
      <c r="P1420" s="12" t="s">
        <v>1830</v>
      </c>
      <c r="Q1420" s="12">
        <v>39742979</v>
      </c>
    </row>
    <row r="1421" spans="16:17">
      <c r="P1421" s="12" t="s">
        <v>1831</v>
      </c>
      <c r="Q1421" s="12">
        <v>39742979</v>
      </c>
    </row>
    <row r="1422" spans="16:17">
      <c r="P1422" s="12" t="s">
        <v>1832</v>
      </c>
      <c r="Q1422" s="12">
        <v>39742979</v>
      </c>
    </row>
    <row r="1423" spans="16:17">
      <c r="P1423" s="12" t="s">
        <v>1833</v>
      </c>
      <c r="Q1423" s="12">
        <v>39742979</v>
      </c>
    </row>
    <row r="1424" spans="16:17">
      <c r="P1424" s="12" t="s">
        <v>1834</v>
      </c>
      <c r="Q1424" s="12">
        <v>39742979</v>
      </c>
    </row>
    <row r="1425" spans="16:17">
      <c r="P1425" s="12" t="s">
        <v>1835</v>
      </c>
      <c r="Q1425" s="12">
        <v>42726749</v>
      </c>
    </row>
    <row r="1426" spans="16:17">
      <c r="P1426" s="12" t="s">
        <v>1836</v>
      </c>
      <c r="Q1426" s="12">
        <v>12478</v>
      </c>
    </row>
    <row r="1427" spans="16:17">
      <c r="P1427" s="12" t="s">
        <v>1837</v>
      </c>
      <c r="Q1427" s="12">
        <v>12478</v>
      </c>
    </row>
    <row r="1428" spans="16:17">
      <c r="P1428" s="12" t="s">
        <v>1838</v>
      </c>
      <c r="Q1428" s="12">
        <v>41128451</v>
      </c>
    </row>
    <row r="1429" spans="16:17">
      <c r="P1429" s="12" t="s">
        <v>1839</v>
      </c>
      <c r="Q1429" s="12">
        <v>41128451</v>
      </c>
    </row>
    <row r="1430" spans="16:17">
      <c r="P1430" s="12" t="s">
        <v>676</v>
      </c>
      <c r="Q1430" s="12">
        <v>41128451</v>
      </c>
    </row>
    <row r="1431" spans="16:17">
      <c r="P1431" s="12" t="s">
        <v>1840</v>
      </c>
      <c r="Q1431" s="12">
        <v>41128451</v>
      </c>
    </row>
    <row r="1432" spans="16:17">
      <c r="P1432" s="12" t="s">
        <v>1841</v>
      </c>
      <c r="Q1432" s="12">
        <v>12582</v>
      </c>
    </row>
    <row r="1433" spans="16:17">
      <c r="P1433" s="12" t="s">
        <v>1842</v>
      </c>
      <c r="Q1433" s="12">
        <v>31507276</v>
      </c>
    </row>
    <row r="1434" spans="16:17">
      <c r="P1434" s="12" t="s">
        <v>1843</v>
      </c>
      <c r="Q1434" s="12">
        <v>31507276</v>
      </c>
    </row>
    <row r="1435" spans="16:17">
      <c r="P1435" s="12" t="s">
        <v>1844</v>
      </c>
      <c r="Q1435" s="12">
        <v>44418926</v>
      </c>
    </row>
    <row r="1436" spans="16:17">
      <c r="P1436" s="12" t="s">
        <v>678</v>
      </c>
      <c r="Q1436" s="12">
        <v>44418926</v>
      </c>
    </row>
    <row r="1437" spans="16:17">
      <c r="P1437" s="12" t="s">
        <v>1845</v>
      </c>
      <c r="Q1437" s="12">
        <v>44939592</v>
      </c>
    </row>
    <row r="1438" spans="16:17">
      <c r="P1438" s="12" t="s">
        <v>680</v>
      </c>
      <c r="Q1438" s="12">
        <v>34418180</v>
      </c>
    </row>
    <row r="1439" spans="16:17">
      <c r="P1439" s="12" t="s">
        <v>1846</v>
      </c>
      <c r="Q1439" s="12">
        <v>34418180</v>
      </c>
    </row>
    <row r="1440" spans="16:17">
      <c r="P1440" s="12" t="s">
        <v>682</v>
      </c>
      <c r="Q1440" s="12">
        <v>13443</v>
      </c>
    </row>
    <row r="1441" spans="16:17">
      <c r="P1441" s="12" t="s">
        <v>1847</v>
      </c>
      <c r="Q1441" s="12">
        <v>41246563</v>
      </c>
    </row>
    <row r="1442" spans="16:17">
      <c r="P1442" s="12" t="s">
        <v>1848</v>
      </c>
      <c r="Q1442" s="12">
        <v>41246563</v>
      </c>
    </row>
    <row r="1443" spans="16:17">
      <c r="P1443" s="12" t="s">
        <v>1849</v>
      </c>
      <c r="Q1443" s="12">
        <v>41246563</v>
      </c>
    </row>
    <row r="1444" spans="16:17">
      <c r="P1444" s="12" t="s">
        <v>1850</v>
      </c>
      <c r="Q1444" s="12">
        <v>41246563</v>
      </c>
    </row>
    <row r="1445" spans="16:17">
      <c r="P1445" s="12" t="s">
        <v>684</v>
      </c>
      <c r="Q1445" s="12">
        <v>41246563</v>
      </c>
    </row>
    <row r="1446" spans="16:17">
      <c r="P1446" s="12" t="s">
        <v>685</v>
      </c>
      <c r="Q1446" s="12">
        <v>40131736</v>
      </c>
    </row>
    <row r="1447" spans="16:17">
      <c r="P1447" s="12" t="s">
        <v>1851</v>
      </c>
      <c r="Q1447" s="12">
        <v>40131736</v>
      </c>
    </row>
    <row r="1448" spans="16:17">
      <c r="P1448" s="12" t="s">
        <v>1852</v>
      </c>
      <c r="Q1448" s="12">
        <v>41623311</v>
      </c>
    </row>
    <row r="1449" spans="16:17">
      <c r="P1449" s="12" t="s">
        <v>1853</v>
      </c>
      <c r="Q1449" s="12">
        <v>41623311</v>
      </c>
    </row>
    <row r="1450" spans="16:17">
      <c r="P1450" s="12" t="s">
        <v>1854</v>
      </c>
      <c r="Q1450" s="12">
        <v>41623311</v>
      </c>
    </row>
    <row r="1451" spans="16:17">
      <c r="P1451" s="12" t="s">
        <v>687</v>
      </c>
      <c r="Q1451" s="12">
        <v>41623311</v>
      </c>
    </row>
    <row r="1452" spans="16:17">
      <c r="P1452" s="12" t="s">
        <v>1855</v>
      </c>
      <c r="Q1452" s="12">
        <v>32128269</v>
      </c>
    </row>
    <row r="1453" spans="16:17">
      <c r="P1453" s="12" t="s">
        <v>1856</v>
      </c>
      <c r="Q1453" s="12">
        <v>44483311</v>
      </c>
    </row>
    <row r="1454" spans="16:17">
      <c r="P1454" s="12" t="s">
        <v>689</v>
      </c>
      <c r="Q1454" s="12">
        <v>44483311</v>
      </c>
    </row>
    <row r="1455" spans="16:17">
      <c r="P1455" s="12" t="s">
        <v>1857</v>
      </c>
      <c r="Q1455" s="12">
        <v>44483311</v>
      </c>
    </row>
    <row r="1456" spans="16:17">
      <c r="P1456" s="12" t="s">
        <v>1858</v>
      </c>
      <c r="Q1456" s="12">
        <v>42564228</v>
      </c>
    </row>
    <row r="1457" spans="16:17">
      <c r="P1457" t="s">
        <v>1859</v>
      </c>
      <c r="Q1457">
        <v>39561148</v>
      </c>
    </row>
    <row r="1458" spans="16:17">
      <c r="P1458" t="s">
        <v>1860</v>
      </c>
      <c r="Q1458">
        <v>42930937</v>
      </c>
    </row>
    <row r="1459" spans="16:17">
      <c r="P1459" t="s">
        <v>1861</v>
      </c>
      <c r="Q1459">
        <v>39561148</v>
      </c>
    </row>
    <row r="1460" spans="16:17">
      <c r="P1460" t="s">
        <v>1862</v>
      </c>
      <c r="Q1460">
        <v>39561148</v>
      </c>
    </row>
    <row r="1461" spans="16:17">
      <c r="P1461" t="s">
        <v>1863</v>
      </c>
      <c r="Q1461">
        <v>39561148</v>
      </c>
    </row>
    <row r="1462" spans="16:17">
      <c r="P1462" t="s">
        <v>1864</v>
      </c>
      <c r="Q1462">
        <v>42930937</v>
      </c>
    </row>
    <row r="1463" spans="16:17">
      <c r="P1463" t="s">
        <v>1865</v>
      </c>
      <c r="Q1463">
        <v>42930937</v>
      </c>
    </row>
    <row r="1464" spans="16:17">
      <c r="P1464" s="12" t="s">
        <v>691</v>
      </c>
      <c r="Q1464" s="12">
        <v>45750108</v>
      </c>
    </row>
    <row r="1465" spans="16:17">
      <c r="P1465" s="12" t="s">
        <v>1866</v>
      </c>
      <c r="Q1465" s="12">
        <v>45750108</v>
      </c>
    </row>
    <row r="1466" spans="16:17">
      <c r="P1466" s="12" t="s">
        <v>1867</v>
      </c>
      <c r="Q1466" s="12">
        <v>22913596</v>
      </c>
    </row>
    <row r="1467" spans="16:17">
      <c r="P1467" s="12" t="s">
        <v>1868</v>
      </c>
      <c r="Q1467" s="12">
        <v>45926911</v>
      </c>
    </row>
    <row r="1468" spans="16:17">
      <c r="P1468" s="12" t="s">
        <v>1869</v>
      </c>
      <c r="Q1468" s="12">
        <v>42412716</v>
      </c>
    </row>
    <row r="1469" spans="16:17">
      <c r="P1469" t="s">
        <v>1870</v>
      </c>
      <c r="Q1469" s="12">
        <v>37542097</v>
      </c>
    </row>
    <row r="1470" spans="16:17">
      <c r="P1470" s="12" t="s">
        <v>1871</v>
      </c>
      <c r="Q1470" s="12">
        <v>43302467</v>
      </c>
    </row>
    <row r="1471" spans="16:17">
      <c r="P1471" s="12" t="s">
        <v>1872</v>
      </c>
      <c r="Q1471" s="12">
        <v>43302467</v>
      </c>
    </row>
    <row r="1472" spans="16:17">
      <c r="P1472" t="s">
        <v>1873</v>
      </c>
      <c r="Q1472">
        <v>37542097</v>
      </c>
    </row>
    <row r="1473" spans="16:17">
      <c r="P1473" s="12" t="s">
        <v>693</v>
      </c>
      <c r="Q1473" s="12">
        <v>37542097</v>
      </c>
    </row>
    <row r="1474" spans="16:17">
      <c r="P1474" s="12" t="s">
        <v>1874</v>
      </c>
      <c r="Q1474" s="12">
        <v>43302467</v>
      </c>
    </row>
    <row r="1475" spans="16:17">
      <c r="P1475" s="12" t="s">
        <v>695</v>
      </c>
      <c r="Q1475" s="12">
        <v>43302467</v>
      </c>
    </row>
    <row r="1476" spans="16:17">
      <c r="P1476" s="12" t="s">
        <v>1875</v>
      </c>
      <c r="Q1476" s="12">
        <v>39813359</v>
      </c>
    </row>
    <row r="1477" spans="16:17">
      <c r="P1477" s="12" t="s">
        <v>1876</v>
      </c>
      <c r="Q1477" s="12">
        <v>37659535</v>
      </c>
    </row>
    <row r="1478" spans="16:17">
      <c r="P1478" s="12" t="s">
        <v>1877</v>
      </c>
      <c r="Q1478" s="12">
        <v>39813359</v>
      </c>
    </row>
    <row r="1479" spans="16:17">
      <c r="P1479" s="12" t="s">
        <v>1878</v>
      </c>
      <c r="Q1479" s="12">
        <v>12296</v>
      </c>
    </row>
    <row r="1480" spans="16:17">
      <c r="P1480" s="12" t="s">
        <v>697</v>
      </c>
      <c r="Q1480" s="12">
        <v>12296</v>
      </c>
    </row>
    <row r="1481" spans="16:17">
      <c r="P1481" s="12" t="s">
        <v>1879</v>
      </c>
      <c r="Q1481" s="12">
        <v>46713073</v>
      </c>
    </row>
    <row r="1482" spans="16:17">
      <c r="P1482" s="12" t="s">
        <v>1880</v>
      </c>
      <c r="Q1482" s="12">
        <v>42432153</v>
      </c>
    </row>
    <row r="1483" spans="16:17">
      <c r="P1483" s="12" t="s">
        <v>1881</v>
      </c>
      <c r="Q1483" s="12">
        <v>36400418</v>
      </c>
    </row>
    <row r="1484" spans="16:17">
      <c r="P1484" s="12" t="s">
        <v>699</v>
      </c>
      <c r="Q1484" s="12">
        <v>36400418</v>
      </c>
    </row>
    <row r="1485" spans="16:17">
      <c r="P1485" s="12" t="s">
        <v>701</v>
      </c>
      <c r="Q1485" s="12">
        <v>42432153</v>
      </c>
    </row>
    <row r="1486" spans="16:17">
      <c r="P1486" s="12" t="s">
        <v>1882</v>
      </c>
      <c r="Q1486" s="12">
        <v>36400418</v>
      </c>
    </row>
    <row r="1487" spans="16:17">
      <c r="P1487" s="12" t="s">
        <v>1883</v>
      </c>
      <c r="Q1487" s="12">
        <v>36400418</v>
      </c>
    </row>
    <row r="1488" spans="16:17">
      <c r="P1488" s="12" t="s">
        <v>1884</v>
      </c>
      <c r="Q1488" s="12">
        <v>45013195</v>
      </c>
    </row>
    <row r="1489" spans="16:17">
      <c r="P1489" s="12" t="s">
        <v>703</v>
      </c>
      <c r="Q1489" s="12">
        <v>45013195</v>
      </c>
    </row>
    <row r="1490" spans="16:17">
      <c r="P1490" s="12" t="s">
        <v>1885</v>
      </c>
      <c r="Q1490" s="12">
        <v>36846795</v>
      </c>
    </row>
    <row r="1491" spans="16:17">
      <c r="P1491" s="12" t="s">
        <v>704</v>
      </c>
      <c r="Q1491" s="12">
        <v>36846795</v>
      </c>
    </row>
    <row r="1492" spans="16:17">
      <c r="P1492" s="12" t="s">
        <v>1886</v>
      </c>
      <c r="Q1492" s="12">
        <v>12831</v>
      </c>
    </row>
    <row r="1493" spans="16:17">
      <c r="P1493" s="12" t="s">
        <v>706</v>
      </c>
      <c r="Q1493" s="12">
        <v>44364851</v>
      </c>
    </row>
    <row r="1494" spans="16:17">
      <c r="P1494" t="s">
        <v>1887</v>
      </c>
      <c r="Q1494">
        <v>32359059</v>
      </c>
    </row>
    <row r="1495" spans="16:17">
      <c r="P1495" t="s">
        <v>1888</v>
      </c>
      <c r="Q1495">
        <v>32359059</v>
      </c>
    </row>
    <row r="1496" spans="16:17">
      <c r="P1496" s="12" t="s">
        <v>1889</v>
      </c>
      <c r="Q1496" s="12">
        <v>30592</v>
      </c>
    </row>
    <row r="1497" spans="16:17">
      <c r="P1497" s="12" t="s">
        <v>1890</v>
      </c>
      <c r="Q1497" s="12">
        <v>43517502</v>
      </c>
    </row>
    <row r="1498" spans="16:17">
      <c r="P1498" s="12" t="s">
        <v>708</v>
      </c>
      <c r="Q1498" s="12">
        <v>43517502</v>
      </c>
    </row>
    <row r="1499" spans="16:17">
      <c r="P1499" s="12" t="s">
        <v>1891</v>
      </c>
      <c r="Q1499" s="12">
        <v>36762888</v>
      </c>
    </row>
    <row r="1500" spans="16:17">
      <c r="P1500" t="s">
        <v>1892</v>
      </c>
      <c r="Q1500" s="12">
        <v>37897431</v>
      </c>
    </row>
    <row r="1501" spans="16:17">
      <c r="P1501" t="s">
        <v>1893</v>
      </c>
      <c r="Q1501">
        <v>36992993</v>
      </c>
    </row>
    <row r="1502" spans="16:17">
      <c r="P1502" t="s">
        <v>1894</v>
      </c>
      <c r="Q1502">
        <v>36992993</v>
      </c>
    </row>
    <row r="1503" spans="16:17">
      <c r="P1503" s="12" t="s">
        <v>709</v>
      </c>
      <c r="Q1503" s="12">
        <v>37897431</v>
      </c>
    </row>
    <row r="1504" spans="16:17">
      <c r="P1504" s="12" t="s">
        <v>1895</v>
      </c>
      <c r="Q1504" s="12">
        <v>37897431</v>
      </c>
    </row>
    <row r="1505" spans="16:17">
      <c r="P1505" t="s">
        <v>1896</v>
      </c>
      <c r="Q1505">
        <v>36992993</v>
      </c>
    </row>
    <row r="1506" spans="16:17">
      <c r="P1506" t="s">
        <v>1897</v>
      </c>
      <c r="Q1506">
        <v>36992993</v>
      </c>
    </row>
    <row r="1507" spans="16:17">
      <c r="P1507" s="12" t="s">
        <v>710</v>
      </c>
      <c r="Q1507" s="12">
        <v>29435017</v>
      </c>
    </row>
    <row r="1508" spans="16:17">
      <c r="P1508" s="12" t="s">
        <v>1898</v>
      </c>
      <c r="Q1508" s="12">
        <v>38701976</v>
      </c>
    </row>
    <row r="1509" spans="16:17">
      <c r="P1509" s="12" t="s">
        <v>1899</v>
      </c>
      <c r="Q1509" s="12">
        <v>38701976</v>
      </c>
    </row>
    <row r="1510" spans="16:17">
      <c r="P1510" s="12" t="s">
        <v>1900</v>
      </c>
      <c r="Q1510" s="12">
        <v>38701976</v>
      </c>
    </row>
    <row r="1511" spans="16:17">
      <c r="P1511" s="12" t="s">
        <v>712</v>
      </c>
      <c r="Q1511" s="12">
        <v>38701976</v>
      </c>
    </row>
    <row r="1512" spans="16:17">
      <c r="P1512" s="12" t="s">
        <v>1901</v>
      </c>
      <c r="Q1512" s="12">
        <v>38701976</v>
      </c>
    </row>
    <row r="1513" spans="16:17">
      <c r="P1513" s="12" t="s">
        <v>1902</v>
      </c>
      <c r="Q1513" s="12">
        <v>12899</v>
      </c>
    </row>
    <row r="1514" spans="16:17">
      <c r="P1514" s="12" t="s">
        <v>714</v>
      </c>
      <c r="Q1514" s="12">
        <v>12899</v>
      </c>
    </row>
    <row r="1515" spans="16:17">
      <c r="P1515" t="s">
        <v>1903</v>
      </c>
      <c r="Q1515">
        <v>43032360</v>
      </c>
    </row>
    <row r="1516" spans="16:17">
      <c r="P1516" s="12" t="s">
        <v>716</v>
      </c>
      <c r="Q1516" s="12">
        <v>38177033</v>
      </c>
    </row>
    <row r="1517" spans="16:17">
      <c r="P1517" s="12" t="s">
        <v>1904</v>
      </c>
      <c r="Q1517" s="12">
        <v>43779589</v>
      </c>
    </row>
    <row r="1518" spans="16:17">
      <c r="P1518" t="s">
        <v>1905</v>
      </c>
      <c r="Q1518">
        <v>43779589</v>
      </c>
    </row>
    <row r="1519" spans="16:17">
      <c r="P1519" t="s">
        <v>1906</v>
      </c>
      <c r="Q1519" s="12">
        <v>43779589</v>
      </c>
    </row>
    <row r="1520" spans="16:17">
      <c r="P1520" s="12" t="s">
        <v>1907</v>
      </c>
      <c r="Q1520" s="12">
        <v>33714135</v>
      </c>
    </row>
    <row r="1521" spans="16:17">
      <c r="P1521" s="12" t="s">
        <v>1908</v>
      </c>
      <c r="Q1521" s="12">
        <v>33714135</v>
      </c>
    </row>
    <row r="1522" spans="16:17">
      <c r="P1522" s="12" t="s">
        <v>1909</v>
      </c>
      <c r="Q1522" s="12">
        <v>33106</v>
      </c>
    </row>
    <row r="1523" spans="16:17">
      <c r="P1523" s="12" t="s">
        <v>1910</v>
      </c>
      <c r="Q1523" s="12">
        <v>33106</v>
      </c>
    </row>
    <row r="1524" spans="16:17">
      <c r="P1524" t="s">
        <v>1911</v>
      </c>
      <c r="Q1524" s="12">
        <v>43779589</v>
      </c>
    </row>
    <row r="1525" spans="16:17">
      <c r="P1525" s="12" t="s">
        <v>1912</v>
      </c>
      <c r="Q1525" s="12">
        <v>43779589</v>
      </c>
    </row>
    <row r="1526" spans="16:17">
      <c r="P1526" t="s">
        <v>1913</v>
      </c>
      <c r="Q1526" s="12">
        <v>43779589</v>
      </c>
    </row>
    <row r="1527" spans="16:17">
      <c r="P1527" s="12" t="s">
        <v>1914</v>
      </c>
      <c r="Q1527" s="12">
        <v>33714135</v>
      </c>
    </row>
    <row r="1528" spans="16:17">
      <c r="P1528" s="12" t="s">
        <v>1915</v>
      </c>
      <c r="Q1528" s="12">
        <v>33714135</v>
      </c>
    </row>
    <row r="1529" spans="16:17">
      <c r="P1529" s="12" t="s">
        <v>718</v>
      </c>
      <c r="Q1529" s="12">
        <v>33714135</v>
      </c>
    </row>
    <row r="1530" spans="16:17">
      <c r="P1530" s="12" t="s">
        <v>1916</v>
      </c>
      <c r="Q1530" s="12">
        <v>33714135</v>
      </c>
    </row>
    <row r="1531" spans="16:17">
      <c r="P1531" s="12" t="s">
        <v>720</v>
      </c>
      <c r="Q1531" s="12">
        <v>33605</v>
      </c>
    </row>
    <row r="1532" spans="16:17">
      <c r="P1532" s="12" t="s">
        <v>721</v>
      </c>
      <c r="Q1532" s="12">
        <v>33106</v>
      </c>
    </row>
    <row r="1533" spans="16:17">
      <c r="P1533" s="12" t="s">
        <v>1917</v>
      </c>
      <c r="Q1533" s="12">
        <v>33106</v>
      </c>
    </row>
    <row r="1534" spans="16:17">
      <c r="P1534" t="s">
        <v>1918</v>
      </c>
      <c r="Q1534" s="12">
        <v>33106</v>
      </c>
    </row>
    <row r="1535" spans="16:17">
      <c r="P1535" t="s">
        <v>1919</v>
      </c>
      <c r="Q1535" s="12">
        <v>33106</v>
      </c>
    </row>
    <row r="1536" spans="16:17">
      <c r="P1536" s="12" t="s">
        <v>1920</v>
      </c>
      <c r="Q1536" s="12">
        <v>43779589</v>
      </c>
    </row>
    <row r="1537" spans="16:17">
      <c r="P1537" s="12" t="s">
        <v>723</v>
      </c>
      <c r="Q1537" s="12">
        <v>12302</v>
      </c>
    </row>
    <row r="1538" spans="16:17">
      <c r="P1538" s="12" t="s">
        <v>1921</v>
      </c>
      <c r="Q1538" s="12">
        <v>12302</v>
      </c>
    </row>
    <row r="1539" spans="16:17">
      <c r="P1539" s="12" t="s">
        <v>1922</v>
      </c>
      <c r="Q1539" s="12">
        <v>43322399</v>
      </c>
    </row>
    <row r="1540" spans="16:17">
      <c r="P1540" s="12" t="s">
        <v>1923</v>
      </c>
      <c r="Q1540" s="12">
        <v>33785658</v>
      </c>
    </row>
    <row r="1541" spans="16:17">
      <c r="P1541" s="12" t="s">
        <v>1924</v>
      </c>
      <c r="Q1541" s="12">
        <v>10437</v>
      </c>
    </row>
    <row r="1542" spans="16:17">
      <c r="P1542" s="12" t="s">
        <v>1925</v>
      </c>
      <c r="Q1542" s="12">
        <v>40021840</v>
      </c>
    </row>
    <row r="1543" spans="16:17">
      <c r="P1543" s="12" t="s">
        <v>1926</v>
      </c>
      <c r="Q1543" s="12">
        <v>40021840</v>
      </c>
    </row>
    <row r="1544" spans="16:17">
      <c r="P1544" s="12" t="s">
        <v>1927</v>
      </c>
      <c r="Q1544" s="12">
        <v>40021840</v>
      </c>
    </row>
    <row r="1545" spans="16:17">
      <c r="P1545" s="12" t="s">
        <v>1928</v>
      </c>
      <c r="Q1545" s="12">
        <v>40021840</v>
      </c>
    </row>
    <row r="1546" spans="16:17">
      <c r="P1546" s="12" t="s">
        <v>727</v>
      </c>
      <c r="Q1546" s="12">
        <v>12894</v>
      </c>
    </row>
    <row r="1547" spans="16:17">
      <c r="P1547" s="12" t="s">
        <v>1929</v>
      </c>
      <c r="Q1547" s="12">
        <v>22497007</v>
      </c>
    </row>
    <row r="1548" spans="16:17">
      <c r="P1548" t="s">
        <v>1930</v>
      </c>
      <c r="Q1548" s="12">
        <v>35499890</v>
      </c>
    </row>
    <row r="1549" spans="16:17">
      <c r="P1549" t="s">
        <v>1931</v>
      </c>
      <c r="Q1549">
        <v>35499890</v>
      </c>
    </row>
    <row r="1550" spans="16:17">
      <c r="P1550" s="12" t="s">
        <v>1932</v>
      </c>
      <c r="Q1550" s="12">
        <v>13802</v>
      </c>
    </row>
    <row r="1551" spans="16:17">
      <c r="P1551" s="12" t="s">
        <v>728</v>
      </c>
      <c r="Q1551" s="12">
        <v>13802</v>
      </c>
    </row>
    <row r="1552" spans="16:17">
      <c r="P1552" t="s">
        <v>1933</v>
      </c>
      <c r="Q1552" s="12">
        <v>47128781</v>
      </c>
    </row>
    <row r="1553" spans="16:17">
      <c r="P1553" s="12" t="s">
        <v>1934</v>
      </c>
      <c r="Q1553" s="12">
        <v>38066226</v>
      </c>
    </row>
    <row r="1554" spans="16:17">
      <c r="P1554" s="12" t="s">
        <v>1935</v>
      </c>
      <c r="Q1554" s="12">
        <v>47128781</v>
      </c>
    </row>
    <row r="1555" spans="16:17">
      <c r="P1555" s="12" t="s">
        <v>1936</v>
      </c>
      <c r="Q1555" s="12">
        <v>38066226</v>
      </c>
    </row>
    <row r="1556" spans="16:17">
      <c r="P1556" s="12" t="s">
        <v>1937</v>
      </c>
      <c r="Q1556" s="12">
        <v>47128781</v>
      </c>
    </row>
    <row r="1557" spans="16:17">
      <c r="P1557" t="s">
        <v>1938</v>
      </c>
      <c r="Q1557">
        <v>47128781</v>
      </c>
    </row>
    <row r="1558" spans="16:17">
      <c r="P1558" s="12" t="s">
        <v>1939</v>
      </c>
      <c r="Q1558" s="12">
        <v>35163372</v>
      </c>
    </row>
    <row r="1559" spans="16:17">
      <c r="P1559" s="12" t="s">
        <v>1940</v>
      </c>
      <c r="Q1559" s="12">
        <v>35163372</v>
      </c>
    </row>
    <row r="1560" spans="16:17">
      <c r="P1560" t="s">
        <v>1941</v>
      </c>
      <c r="Q1560">
        <v>35163372</v>
      </c>
    </row>
    <row r="1561" spans="16:17">
      <c r="P1561" s="12" t="s">
        <v>1942</v>
      </c>
      <c r="Q1561" s="12">
        <v>35163372</v>
      </c>
    </row>
    <row r="1562" spans="16:17">
      <c r="P1562" s="12" t="s">
        <v>1943</v>
      </c>
      <c r="Q1562" s="12">
        <v>35163372</v>
      </c>
    </row>
    <row r="1563" spans="16:17">
      <c r="P1563" s="12" t="s">
        <v>1944</v>
      </c>
      <c r="Q1563" s="12">
        <v>37197970</v>
      </c>
    </row>
    <row r="1564" spans="16:17">
      <c r="P1564" s="12" t="s">
        <v>730</v>
      </c>
      <c r="Q1564" s="12">
        <v>37197970</v>
      </c>
    </row>
    <row r="1565" spans="16:17">
      <c r="P1565" t="s">
        <v>1945</v>
      </c>
      <c r="Q1565">
        <v>43445489</v>
      </c>
    </row>
    <row r="1566" spans="16:17">
      <c r="P1566" t="s">
        <v>1946</v>
      </c>
      <c r="Q1566">
        <v>43445489</v>
      </c>
    </row>
    <row r="1567" spans="16:17">
      <c r="P1567" s="12" t="s">
        <v>1947</v>
      </c>
      <c r="Q1567" s="12">
        <v>28460124</v>
      </c>
    </row>
    <row r="1568" spans="16:17">
      <c r="P1568" s="12" t="s">
        <v>1948</v>
      </c>
      <c r="Q1568" s="12">
        <v>30237443</v>
      </c>
    </row>
    <row r="1569" spans="16:17">
      <c r="P1569" s="12" t="s">
        <v>1949</v>
      </c>
      <c r="Q1569" s="12">
        <v>31821827</v>
      </c>
    </row>
    <row r="1570" spans="16:17">
      <c r="P1570" s="12" t="s">
        <v>1950</v>
      </c>
      <c r="Q1570" s="12">
        <v>35979500</v>
      </c>
    </row>
    <row r="1571" spans="16:17">
      <c r="P1571" s="12" t="s">
        <v>1951</v>
      </c>
      <c r="Q1571" s="12">
        <v>47161746</v>
      </c>
    </row>
    <row r="1572" spans="16:17">
      <c r="P1572" s="12" t="s">
        <v>1952</v>
      </c>
      <c r="Q1572" s="12">
        <v>47161746</v>
      </c>
    </row>
    <row r="1573" spans="16:17">
      <c r="P1573" s="12" t="s">
        <v>1953</v>
      </c>
      <c r="Q1573" s="12">
        <v>35979500</v>
      </c>
    </row>
    <row r="1574" spans="16:17">
      <c r="P1574" s="12" t="s">
        <v>1954</v>
      </c>
      <c r="Q1574" s="12">
        <v>35979500</v>
      </c>
    </row>
    <row r="1575" spans="16:17">
      <c r="P1575" t="s">
        <v>1955</v>
      </c>
      <c r="Q1575">
        <v>35979500</v>
      </c>
    </row>
    <row r="1576" spans="16:17">
      <c r="P1576" t="s">
        <v>1956</v>
      </c>
      <c r="Q1576">
        <v>35979500</v>
      </c>
    </row>
    <row r="1577" spans="16:17">
      <c r="P1577" s="12" t="s">
        <v>1957</v>
      </c>
      <c r="Q1577" s="12">
        <v>44091588</v>
      </c>
    </row>
    <row r="1578" spans="16:17">
      <c r="P1578" s="12" t="s">
        <v>732</v>
      </c>
      <c r="Q1578" s="12">
        <v>44091588</v>
      </c>
    </row>
    <row r="1579" spans="16:17">
      <c r="P1579" s="12" t="s">
        <v>1958</v>
      </c>
      <c r="Q1579" s="12">
        <v>44091588</v>
      </c>
    </row>
    <row r="1580" spans="16:17">
      <c r="P1580" s="12" t="s">
        <v>1959</v>
      </c>
      <c r="Q1580" s="12">
        <v>43659233</v>
      </c>
    </row>
    <row r="1581" spans="16:17">
      <c r="P1581" s="12" t="s">
        <v>1960</v>
      </c>
      <c r="Q1581" s="12">
        <v>43659233</v>
      </c>
    </row>
    <row r="1582" spans="16:17">
      <c r="P1582" s="12" t="s">
        <v>1961</v>
      </c>
      <c r="Q1582" s="12">
        <v>43659233</v>
      </c>
    </row>
    <row r="1583" spans="16:17">
      <c r="P1583" s="12" t="s">
        <v>1962</v>
      </c>
      <c r="Q1583" s="12">
        <v>43659233</v>
      </c>
    </row>
    <row r="1584" spans="16:17">
      <c r="P1584" s="12" t="s">
        <v>734</v>
      </c>
      <c r="Q1584" s="12">
        <v>43659233</v>
      </c>
    </row>
    <row r="1585" spans="16:17">
      <c r="P1585" s="12" t="s">
        <v>1963</v>
      </c>
      <c r="Q1585" s="12">
        <v>41667467</v>
      </c>
    </row>
    <row r="1586" spans="16:17">
      <c r="P1586" s="12" t="s">
        <v>736</v>
      </c>
      <c r="Q1586" s="12">
        <v>41667467</v>
      </c>
    </row>
    <row r="1587" spans="16:17">
      <c r="P1587" s="12" t="s">
        <v>738</v>
      </c>
      <c r="Q1587" s="12">
        <v>12141</v>
      </c>
    </row>
    <row r="1588" spans="16:17">
      <c r="P1588" s="12" t="s">
        <v>1964</v>
      </c>
      <c r="Q1588" s="12">
        <v>34862819</v>
      </c>
    </row>
    <row r="1589" spans="16:17">
      <c r="P1589" s="12" t="s">
        <v>740</v>
      </c>
      <c r="Q1589" s="12">
        <v>33861105</v>
      </c>
    </row>
    <row r="1590" spans="16:17">
      <c r="P1590" s="12" t="s">
        <v>1965</v>
      </c>
      <c r="Q1590" s="12">
        <v>37097744</v>
      </c>
    </row>
    <row r="1591" spans="16:17">
      <c r="P1591" s="12" t="s">
        <v>741</v>
      </c>
      <c r="Q1591" s="12">
        <v>40799857</v>
      </c>
    </row>
    <row r="1592" spans="16:17">
      <c r="P1592" s="12" t="s">
        <v>1966</v>
      </c>
      <c r="Q1592" s="12">
        <v>34862819</v>
      </c>
    </row>
    <row r="1593" spans="16:17">
      <c r="P1593" s="12" t="s">
        <v>1967</v>
      </c>
      <c r="Q1593" s="12">
        <v>34862819</v>
      </c>
    </row>
    <row r="1594" spans="16:17">
      <c r="P1594" s="12" t="s">
        <v>743</v>
      </c>
      <c r="Q1594" s="12">
        <v>34862819</v>
      </c>
    </row>
    <row r="1595" spans="16:17">
      <c r="P1595" s="12" t="s">
        <v>1968</v>
      </c>
      <c r="Q1595" s="12">
        <v>34862819</v>
      </c>
    </row>
    <row r="1596" spans="16:17">
      <c r="P1596" s="12" t="s">
        <v>1969</v>
      </c>
      <c r="Q1596" s="12">
        <v>52413549</v>
      </c>
    </row>
    <row r="1597" spans="16:17">
      <c r="P1597" s="12" t="s">
        <v>1970</v>
      </c>
      <c r="Q1597" s="12">
        <v>52413549</v>
      </c>
    </row>
    <row r="1598" spans="16:17">
      <c r="P1598" s="12" t="s">
        <v>745</v>
      </c>
      <c r="Q1598" s="12">
        <v>28596818</v>
      </c>
    </row>
    <row r="1599" spans="16:17">
      <c r="P1599" s="12" t="s">
        <v>1971</v>
      </c>
      <c r="Q1599" s="12">
        <v>28596818</v>
      </c>
    </row>
    <row r="1600" spans="16:17">
      <c r="P1600" s="12" t="s">
        <v>1972</v>
      </c>
      <c r="Q1600" s="12">
        <v>36779160</v>
      </c>
    </row>
    <row r="1601" spans="16:17">
      <c r="P1601" s="12" t="s">
        <v>747</v>
      </c>
      <c r="Q1601" s="12">
        <v>36779160</v>
      </c>
    </row>
    <row r="1602" spans="16:17">
      <c r="P1602" t="s">
        <v>1973</v>
      </c>
      <c r="Q1602">
        <v>46936229</v>
      </c>
    </row>
    <row r="1603" spans="16:17">
      <c r="P1603" t="s">
        <v>1974</v>
      </c>
      <c r="Q1603">
        <v>46936229</v>
      </c>
    </row>
    <row r="1604" spans="16:17">
      <c r="P1604" t="s">
        <v>1975</v>
      </c>
      <c r="Q1604">
        <v>13521</v>
      </c>
    </row>
    <row r="1605" spans="16:17">
      <c r="P1605" s="12" t="s">
        <v>1976</v>
      </c>
      <c r="Q1605" s="12">
        <v>42283393</v>
      </c>
    </row>
    <row r="1606" spans="16:17">
      <c r="P1606" s="12" t="s">
        <v>1977</v>
      </c>
      <c r="Q1606" s="12">
        <v>45322650</v>
      </c>
    </row>
    <row r="1607" spans="16:17">
      <c r="P1607" s="12" t="s">
        <v>1978</v>
      </c>
      <c r="Q1607" s="12">
        <v>45322650</v>
      </c>
    </row>
    <row r="1608" spans="16:17">
      <c r="P1608" t="s">
        <v>1979</v>
      </c>
      <c r="Q1608">
        <v>47700706</v>
      </c>
    </row>
    <row r="1609" spans="16:17">
      <c r="P1609" s="12" t="s">
        <v>1980</v>
      </c>
      <c r="Q1609" s="12">
        <v>44868083</v>
      </c>
    </row>
    <row r="1610" spans="16:17">
      <c r="P1610" t="s">
        <v>1981</v>
      </c>
      <c r="Q1610">
        <v>46936229</v>
      </c>
    </row>
    <row r="1611" spans="16:17">
      <c r="P1611" t="s">
        <v>1982</v>
      </c>
      <c r="Q1611">
        <v>46936229</v>
      </c>
    </row>
    <row r="1612" spans="16:17">
      <c r="P1612" t="s">
        <v>1983</v>
      </c>
      <c r="Q1612">
        <v>46936229</v>
      </c>
    </row>
    <row r="1613" spans="16:17">
      <c r="P1613" t="s">
        <v>1984</v>
      </c>
      <c r="Q1613">
        <v>46936229</v>
      </c>
    </row>
    <row r="1614" spans="16:17">
      <c r="P1614" s="12" t="s">
        <v>1985</v>
      </c>
      <c r="Q1614" s="12">
        <v>41162557</v>
      </c>
    </row>
    <row r="1615" spans="16:17">
      <c r="P1615" s="12" t="s">
        <v>749</v>
      </c>
      <c r="Q1615" s="12">
        <v>41162557</v>
      </c>
    </row>
    <row r="1616" spans="16:17">
      <c r="P1616" s="12" t="s">
        <v>1986</v>
      </c>
      <c r="Q1616" s="12">
        <v>96099521</v>
      </c>
    </row>
    <row r="1617" spans="16:17">
      <c r="P1617" s="12" t="s">
        <v>751</v>
      </c>
      <c r="Q1617" s="12">
        <v>13521</v>
      </c>
    </row>
    <row r="1618" spans="16:17">
      <c r="P1618" s="12" t="s">
        <v>1987</v>
      </c>
      <c r="Q1618" s="12">
        <v>13521</v>
      </c>
    </row>
    <row r="1619" spans="16:17">
      <c r="P1619" s="12" t="s">
        <v>1988</v>
      </c>
      <c r="Q1619" s="12">
        <v>13521</v>
      </c>
    </row>
    <row r="1620" spans="16:17">
      <c r="P1620" s="12" t="s">
        <v>753</v>
      </c>
      <c r="Q1620" s="12">
        <v>42283393</v>
      </c>
    </row>
    <row r="1621" spans="16:17">
      <c r="P1621" s="12" t="s">
        <v>1989</v>
      </c>
      <c r="Q1621" s="12">
        <v>45322650</v>
      </c>
    </row>
    <row r="1622" spans="16:17">
      <c r="P1622" s="12" t="s">
        <v>1990</v>
      </c>
      <c r="Q1622" s="12">
        <v>45322650</v>
      </c>
    </row>
    <row r="1623" spans="16:17">
      <c r="P1623" s="12" t="s">
        <v>754</v>
      </c>
      <c r="Q1623" s="12">
        <v>45322650</v>
      </c>
    </row>
    <row r="1624" spans="16:17">
      <c r="P1624" t="s">
        <v>1991</v>
      </c>
      <c r="Q1624">
        <v>47700706</v>
      </c>
    </row>
    <row r="1625" spans="16:17">
      <c r="P1625" t="s">
        <v>1992</v>
      </c>
      <c r="Q1625">
        <v>47700706</v>
      </c>
    </row>
    <row r="1626" spans="16:17">
      <c r="P1626" s="12" t="s">
        <v>1993</v>
      </c>
      <c r="Q1626" s="12">
        <v>39469134</v>
      </c>
    </row>
    <row r="1627" spans="16:17">
      <c r="P1627" t="s">
        <v>1994</v>
      </c>
      <c r="Q1627" s="12">
        <v>44868083</v>
      </c>
    </row>
    <row r="1628" spans="16:17">
      <c r="P1628" s="12" t="s">
        <v>755</v>
      </c>
      <c r="Q1628" s="12">
        <v>44868083</v>
      </c>
    </row>
    <row r="1629" spans="16:17">
      <c r="P1629" s="12" t="s">
        <v>1995</v>
      </c>
      <c r="Q1629" s="12">
        <v>44868083</v>
      </c>
    </row>
    <row r="1630" spans="16:17">
      <c r="P1630" s="12" t="s">
        <v>1996</v>
      </c>
      <c r="Q1630" s="12">
        <v>44868083</v>
      </c>
    </row>
    <row r="1631" spans="16:17">
      <c r="P1631" t="s">
        <v>1997</v>
      </c>
      <c r="Q1631" s="12">
        <v>44868083</v>
      </c>
    </row>
    <row r="1632" spans="16:17">
      <c r="P1632" t="s">
        <v>1998</v>
      </c>
      <c r="Q1632" s="12">
        <v>46124914</v>
      </c>
    </row>
    <row r="1633" spans="16:17">
      <c r="P1633" t="s">
        <v>1999</v>
      </c>
      <c r="Q1633" s="12">
        <v>46124914</v>
      </c>
    </row>
    <row r="1634" spans="16:17">
      <c r="P1634" t="s">
        <v>2000</v>
      </c>
      <c r="Q1634" s="12">
        <v>46124914</v>
      </c>
    </row>
    <row r="1635" spans="16:17">
      <c r="P1635" t="s">
        <v>2001</v>
      </c>
      <c r="Q1635" s="12">
        <v>46124914</v>
      </c>
    </row>
    <row r="1636" spans="16:17">
      <c r="P1636" s="12" t="s">
        <v>2002</v>
      </c>
      <c r="Q1636" s="12">
        <v>46124914</v>
      </c>
    </row>
    <row r="1637" spans="16:17">
      <c r="P1637" s="12" t="s">
        <v>2003</v>
      </c>
      <c r="Q1637" s="12">
        <v>46124914</v>
      </c>
    </row>
    <row r="1638" spans="16:17">
      <c r="P1638" t="s">
        <v>2004</v>
      </c>
      <c r="Q1638" s="12">
        <v>46124914</v>
      </c>
    </row>
    <row r="1639" spans="16:17">
      <c r="P1639" s="12" t="s">
        <v>2005</v>
      </c>
      <c r="Q1639" s="12">
        <v>40015015</v>
      </c>
    </row>
    <row r="1640" spans="16:17">
      <c r="P1640" t="s">
        <v>2006</v>
      </c>
      <c r="Q1640" s="12">
        <v>46124914</v>
      </c>
    </row>
    <row r="1641" spans="16:17">
      <c r="P1641" t="s">
        <v>2007</v>
      </c>
      <c r="Q1641" s="12">
        <v>46124914</v>
      </c>
    </row>
    <row r="1642" spans="16:17">
      <c r="P1642" s="12" t="s">
        <v>2008</v>
      </c>
      <c r="Q1642" s="12">
        <v>42470373</v>
      </c>
    </row>
    <row r="1643" spans="16:17">
      <c r="P1643" s="12" t="s">
        <v>2009</v>
      </c>
      <c r="Q1643" s="12">
        <v>42470373</v>
      </c>
    </row>
    <row r="1644" spans="16:17">
      <c r="P1644" s="12" t="s">
        <v>2010</v>
      </c>
      <c r="Q1644" s="12">
        <v>42470373</v>
      </c>
    </row>
    <row r="1645" spans="16:17">
      <c r="P1645" s="12" t="s">
        <v>2011</v>
      </c>
      <c r="Q1645" s="12">
        <v>21795854</v>
      </c>
    </row>
    <row r="1646" spans="16:17">
      <c r="P1646" s="12" t="s">
        <v>2012</v>
      </c>
      <c r="Q1646" s="12">
        <v>39505830</v>
      </c>
    </row>
    <row r="1647" spans="16:17">
      <c r="P1647" s="12" t="s">
        <v>757</v>
      </c>
      <c r="Q1647" s="12">
        <v>39505830</v>
      </c>
    </row>
    <row r="1648" spans="16:17">
      <c r="P1648" s="12" t="s">
        <v>2013</v>
      </c>
      <c r="Q1648" s="12">
        <v>42689887</v>
      </c>
    </row>
    <row r="1649" spans="16:17">
      <c r="P1649" s="12" t="s">
        <v>759</v>
      </c>
      <c r="Q1649" s="12">
        <v>42689887</v>
      </c>
    </row>
    <row r="1650" spans="16:17">
      <c r="P1650" s="12" t="s">
        <v>2014</v>
      </c>
      <c r="Q1650" s="12">
        <v>37608210</v>
      </c>
    </row>
    <row r="1651" spans="16:17">
      <c r="P1651" s="12" t="s">
        <v>2015</v>
      </c>
      <c r="Q1651" s="12">
        <v>37608210</v>
      </c>
    </row>
    <row r="1652" spans="16:17">
      <c r="P1652" s="12" t="s">
        <v>2016</v>
      </c>
      <c r="Q1652" s="12">
        <v>37608210</v>
      </c>
    </row>
    <row r="1653" spans="16:17">
      <c r="P1653" s="12" t="s">
        <v>2017</v>
      </c>
      <c r="Q1653" s="12">
        <v>32258</v>
      </c>
    </row>
    <row r="1654" spans="16:17">
      <c r="P1654" s="12" t="s">
        <v>2018</v>
      </c>
      <c r="Q1654" s="12">
        <v>32258</v>
      </c>
    </row>
    <row r="1655" spans="16:17">
      <c r="P1655" s="12" t="s">
        <v>761</v>
      </c>
      <c r="Q1655" s="12">
        <v>32258</v>
      </c>
    </row>
    <row r="1656" spans="16:17">
      <c r="P1656" s="12" t="s">
        <v>2019</v>
      </c>
      <c r="Q1656" s="12">
        <v>40833512</v>
      </c>
    </row>
    <row r="1657" spans="16:17">
      <c r="P1657" s="12" t="s">
        <v>2020</v>
      </c>
      <c r="Q1657" s="12">
        <v>45070180</v>
      </c>
    </row>
    <row r="1658" spans="16:17">
      <c r="P1658" s="12" t="s">
        <v>2021</v>
      </c>
      <c r="Q1658" s="12">
        <v>45070180</v>
      </c>
    </row>
    <row r="1659" spans="16:17">
      <c r="P1659" s="12" t="s">
        <v>2022</v>
      </c>
      <c r="Q1659" s="12">
        <v>45070180</v>
      </c>
    </row>
    <row r="1660" spans="16:17">
      <c r="P1660" s="12" t="s">
        <v>763</v>
      </c>
      <c r="Q1660" s="12">
        <v>45070180</v>
      </c>
    </row>
    <row r="1661" spans="16:17">
      <c r="P1661" s="12" t="s">
        <v>2023</v>
      </c>
      <c r="Q1661" s="12">
        <v>45070180</v>
      </c>
    </row>
    <row r="1662" spans="16:17">
      <c r="P1662" s="12" t="s">
        <v>2024</v>
      </c>
      <c r="Q1662" s="12">
        <v>43404637</v>
      </c>
    </row>
    <row r="1663" spans="16:17">
      <c r="P1663" s="12" t="s">
        <v>2025</v>
      </c>
      <c r="Q1663" s="12">
        <v>43404637</v>
      </c>
    </row>
    <row r="1664" spans="16:17">
      <c r="P1664" s="12" t="s">
        <v>2026</v>
      </c>
      <c r="Q1664" s="12">
        <v>37406085</v>
      </c>
    </row>
    <row r="1665" spans="16:17">
      <c r="P1665" s="12" t="s">
        <v>2027</v>
      </c>
      <c r="Q1665" s="12">
        <v>37406085</v>
      </c>
    </row>
    <row r="1666" spans="16:17">
      <c r="P1666" s="12" t="s">
        <v>2028</v>
      </c>
      <c r="Q1666" s="12">
        <v>37406085</v>
      </c>
    </row>
    <row r="1667" spans="16:17">
      <c r="P1667" s="12" t="s">
        <v>765</v>
      </c>
      <c r="Q1667" s="12">
        <v>37406085</v>
      </c>
    </row>
    <row r="1668" spans="16:17">
      <c r="P1668" t="s">
        <v>2029</v>
      </c>
      <c r="Q1668" s="12">
        <v>95552922</v>
      </c>
    </row>
    <row r="1669" spans="16:17">
      <c r="P1669" t="s">
        <v>2030</v>
      </c>
      <c r="Q1669" s="12">
        <v>95552922</v>
      </c>
    </row>
    <row r="1670" spans="16:17">
      <c r="P1670" s="12" t="s">
        <v>2031</v>
      </c>
      <c r="Q1670" s="12">
        <v>95552922</v>
      </c>
    </row>
    <row r="1671" spans="16:17">
      <c r="P1671" s="12" t="s">
        <v>2032</v>
      </c>
      <c r="Q1671" s="12">
        <v>95552922</v>
      </c>
    </row>
    <row r="1672" spans="16:17">
      <c r="P1672" s="12" t="s">
        <v>2033</v>
      </c>
      <c r="Q1672" s="12">
        <v>95552922</v>
      </c>
    </row>
    <row r="1673" spans="16:17">
      <c r="P1673" s="12" t="s">
        <v>2034</v>
      </c>
      <c r="Q1673" s="12">
        <v>95552922</v>
      </c>
    </row>
    <row r="1674" spans="16:17">
      <c r="P1674" s="12" t="s">
        <v>2035</v>
      </c>
      <c r="Q1674" s="12">
        <v>45926267</v>
      </c>
    </row>
    <row r="1675" spans="16:17">
      <c r="P1675" s="12" t="s">
        <v>2036</v>
      </c>
      <c r="Q1675" s="12">
        <v>40304870</v>
      </c>
    </row>
    <row r="1676" spans="16:17">
      <c r="P1676" s="12" t="s">
        <v>2037</v>
      </c>
      <c r="Q1676" s="12">
        <v>11569</v>
      </c>
    </row>
    <row r="1677" spans="16:17">
      <c r="P1677" s="12" t="s">
        <v>767</v>
      </c>
      <c r="Q1677" s="12">
        <v>11569</v>
      </c>
    </row>
    <row r="1678" spans="16:17">
      <c r="P1678" t="s">
        <v>2038</v>
      </c>
      <c r="Q1678">
        <v>11569</v>
      </c>
    </row>
    <row r="1679" spans="16:17">
      <c r="P1679" s="12" t="s">
        <v>2039</v>
      </c>
      <c r="Q1679" s="12">
        <v>46647706</v>
      </c>
    </row>
    <row r="1680" spans="16:17">
      <c r="P1680" s="12" t="s">
        <v>2040</v>
      </c>
      <c r="Q1680" s="12">
        <v>46647706</v>
      </c>
    </row>
    <row r="1681" spans="16:17">
      <c r="P1681" s="12" t="s">
        <v>2041</v>
      </c>
      <c r="Q1681" s="12">
        <v>46647706</v>
      </c>
    </row>
    <row r="1682" spans="16:17">
      <c r="P1682" t="s">
        <v>2042</v>
      </c>
      <c r="Q1682">
        <v>22833741</v>
      </c>
    </row>
    <row r="1683" spans="16:17">
      <c r="P1683" t="s">
        <v>2043</v>
      </c>
      <c r="Q1683">
        <v>22833741</v>
      </c>
    </row>
    <row r="1684" spans="16:17">
      <c r="P1684" t="s">
        <v>2044</v>
      </c>
      <c r="Q1684">
        <v>22833741</v>
      </c>
    </row>
    <row r="1685" spans="16:17">
      <c r="P1685" t="s">
        <v>2045</v>
      </c>
      <c r="Q1685">
        <v>45478900</v>
      </c>
    </row>
    <row r="1686" spans="16:17">
      <c r="P1686" s="12" t="s">
        <v>2046</v>
      </c>
      <c r="Q1686" s="12">
        <v>38863901</v>
      </c>
    </row>
    <row r="1687" spans="16:17">
      <c r="P1687" s="12" t="s">
        <v>2047</v>
      </c>
      <c r="Q1687" s="12">
        <v>38863901</v>
      </c>
    </row>
    <row r="1688" spans="16:17">
      <c r="P1688" s="12" t="s">
        <v>2048</v>
      </c>
      <c r="Q1688" s="12">
        <v>38863901</v>
      </c>
    </row>
    <row r="1689" spans="16:17">
      <c r="P1689" s="12" t="s">
        <v>2049</v>
      </c>
      <c r="Q1689" s="12">
        <v>38863901</v>
      </c>
    </row>
    <row r="1690" spans="16:17">
      <c r="P1690" s="12" t="s">
        <v>2050</v>
      </c>
      <c r="Q1690" s="12">
        <v>30642469</v>
      </c>
    </row>
    <row r="1691" spans="16:17">
      <c r="P1691" t="s">
        <v>2051</v>
      </c>
      <c r="Q1691">
        <v>45478900</v>
      </c>
    </row>
    <row r="1692" spans="16:17">
      <c r="P1692" t="s">
        <v>2052</v>
      </c>
      <c r="Q1692">
        <v>45478900</v>
      </c>
    </row>
    <row r="1693" spans="16:17">
      <c r="P1693" t="s">
        <v>2053</v>
      </c>
      <c r="Q1693">
        <v>45478900</v>
      </c>
    </row>
    <row r="1694" spans="16:17">
      <c r="P1694" s="12" t="s">
        <v>2054</v>
      </c>
      <c r="Q1694" s="12">
        <v>30642469</v>
      </c>
    </row>
    <row r="1695" spans="16:17">
      <c r="P1695" s="12" t="s">
        <v>2055</v>
      </c>
      <c r="Q1695" s="12">
        <v>30642469</v>
      </c>
    </row>
    <row r="1696" spans="16:17">
      <c r="P1696" s="12" t="s">
        <v>771</v>
      </c>
      <c r="Q1696" s="12">
        <v>30642469</v>
      </c>
    </row>
    <row r="1697" spans="16:17">
      <c r="P1697" s="12" t="s">
        <v>773</v>
      </c>
      <c r="Q1697" s="12">
        <v>39745023</v>
      </c>
    </row>
    <row r="1698" spans="16:17">
      <c r="P1698" s="12" t="s">
        <v>2056</v>
      </c>
      <c r="Q1698" s="12">
        <v>41075667</v>
      </c>
    </row>
    <row r="1699" spans="16:17">
      <c r="P1699" s="12" t="s">
        <v>775</v>
      </c>
      <c r="Q1699" s="12">
        <v>70702</v>
      </c>
    </row>
    <row r="1700" spans="16:17">
      <c r="P1700" s="12" t="s">
        <v>2057</v>
      </c>
      <c r="Q1700" s="12">
        <v>38994077</v>
      </c>
    </row>
    <row r="1701" spans="16:17">
      <c r="P1701" s="12" t="s">
        <v>776</v>
      </c>
      <c r="Q1701" s="12">
        <v>38994077</v>
      </c>
    </row>
    <row r="1702" spans="16:17">
      <c r="P1702" s="12" t="s">
        <v>2058</v>
      </c>
      <c r="Q1702" s="12">
        <v>38994077</v>
      </c>
    </row>
    <row r="1703" spans="16:17">
      <c r="P1703" s="12" t="s">
        <v>2059</v>
      </c>
      <c r="Q1703" s="12">
        <v>11614</v>
      </c>
    </row>
    <row r="1704" spans="16:17">
      <c r="P1704" s="12" t="s">
        <v>2060</v>
      </c>
      <c r="Q1704" s="12">
        <v>11614</v>
      </c>
    </row>
    <row r="1705" spans="16:17">
      <c r="P1705" s="12" t="s">
        <v>778</v>
      </c>
      <c r="Q1705" s="12">
        <v>11614</v>
      </c>
    </row>
    <row r="1706" spans="16:17">
      <c r="P1706" t="s">
        <v>2061</v>
      </c>
      <c r="Q1706" s="12">
        <v>11614</v>
      </c>
    </row>
    <row r="1707" spans="16:17">
      <c r="P1707" s="12" t="s">
        <v>2062</v>
      </c>
      <c r="Q1707" s="12">
        <v>35338409</v>
      </c>
    </row>
    <row r="1708" spans="16:17">
      <c r="P1708" s="12" t="s">
        <v>2063</v>
      </c>
      <c r="Q1708" s="12">
        <v>35338409</v>
      </c>
    </row>
    <row r="1709" spans="16:17">
      <c r="P1709" s="12" t="s">
        <v>780</v>
      </c>
      <c r="Q1709" s="12">
        <v>35338409</v>
      </c>
    </row>
    <row r="1710" spans="16:17">
      <c r="P1710" t="s">
        <v>2064</v>
      </c>
      <c r="Q1710" s="12">
        <v>46586272</v>
      </c>
    </row>
    <row r="1711" spans="16:17">
      <c r="P1711" s="12" t="s">
        <v>2065</v>
      </c>
      <c r="Q1711" s="12">
        <v>46586272</v>
      </c>
    </row>
    <row r="1712" spans="16:17">
      <c r="P1712" s="12" t="s">
        <v>2066</v>
      </c>
      <c r="Q1712">
        <v>47571699</v>
      </c>
    </row>
    <row r="1713" spans="16:17">
      <c r="P1713" t="s">
        <v>2067</v>
      </c>
      <c r="Q1713">
        <v>47571699</v>
      </c>
    </row>
    <row r="1714" spans="16:17">
      <c r="P1714" t="s">
        <v>2068</v>
      </c>
      <c r="Q1714">
        <v>36561378</v>
      </c>
    </row>
    <row r="1715" spans="16:17">
      <c r="P1715" s="12" t="s">
        <v>2069</v>
      </c>
      <c r="Q1715" s="12">
        <v>94759336</v>
      </c>
    </row>
    <row r="1716" spans="16:17">
      <c r="P1716" t="s">
        <v>2070</v>
      </c>
      <c r="Q1716">
        <v>47257254</v>
      </c>
    </row>
    <row r="1717" spans="16:17">
      <c r="P1717" t="s">
        <v>2071</v>
      </c>
      <c r="Q1717">
        <v>47257254</v>
      </c>
    </row>
    <row r="1718" spans="16:17">
      <c r="P1718" s="12" t="s">
        <v>2072</v>
      </c>
      <c r="Q1718" s="12">
        <v>42251899</v>
      </c>
    </row>
    <row r="1719" spans="16:17">
      <c r="P1719" s="12" t="s">
        <v>782</v>
      </c>
      <c r="Q1719" s="12">
        <v>42251899</v>
      </c>
    </row>
    <row r="1720" spans="16:17">
      <c r="P1720" s="12" t="s">
        <v>2073</v>
      </c>
      <c r="Q1720" s="12">
        <v>44051245</v>
      </c>
    </row>
    <row r="1721" spans="16:17">
      <c r="P1721" s="12" t="s">
        <v>2074</v>
      </c>
      <c r="Q1721" s="12">
        <v>17213</v>
      </c>
    </row>
    <row r="1722" spans="16:17">
      <c r="P1722" s="12" t="s">
        <v>2075</v>
      </c>
      <c r="Q1722" s="12">
        <v>39656195</v>
      </c>
    </row>
    <row r="1723" spans="16:17">
      <c r="P1723" s="12" t="s">
        <v>784</v>
      </c>
      <c r="Q1723" s="12">
        <v>39656195</v>
      </c>
    </row>
    <row r="1724" spans="16:17">
      <c r="P1724" s="12" t="s">
        <v>2076</v>
      </c>
      <c r="Q1724" s="12">
        <v>34059155</v>
      </c>
    </row>
    <row r="1725" spans="16:17">
      <c r="P1725" s="12" t="s">
        <v>785</v>
      </c>
      <c r="Q1725" s="12">
        <v>34059155</v>
      </c>
    </row>
    <row r="1726" spans="16:17">
      <c r="P1726" s="12" t="s">
        <v>2077</v>
      </c>
      <c r="Q1726" s="12">
        <v>34059155</v>
      </c>
    </row>
    <row r="1727" spans="16:17">
      <c r="P1727" s="12" t="s">
        <v>2078</v>
      </c>
      <c r="Q1727" s="12">
        <v>39587047</v>
      </c>
    </row>
    <row r="1728" spans="16:17">
      <c r="P1728" s="12" t="s">
        <v>2079</v>
      </c>
      <c r="Q1728" s="12">
        <v>44051245</v>
      </c>
    </row>
    <row r="1729" spans="16:17">
      <c r="P1729" s="12" t="s">
        <v>787</v>
      </c>
      <c r="Q1729" s="12">
        <v>44051245</v>
      </c>
    </row>
    <row r="1730" spans="16:17">
      <c r="P1730" s="12" t="s">
        <v>789</v>
      </c>
      <c r="Q1730" s="12">
        <v>31751</v>
      </c>
    </row>
    <row r="1731" spans="16:17">
      <c r="P1731" t="s">
        <v>2080</v>
      </c>
      <c r="Q1731" s="12">
        <v>31751</v>
      </c>
    </row>
    <row r="1732" spans="16:17">
      <c r="P1732" t="s">
        <v>2081</v>
      </c>
      <c r="Q1732" s="12">
        <v>40381683</v>
      </c>
    </row>
    <row r="1733" spans="16:17">
      <c r="P1733" s="12" t="s">
        <v>2082</v>
      </c>
      <c r="Q1733" s="12">
        <v>40381683</v>
      </c>
    </row>
    <row r="1734" spans="16:17">
      <c r="P1734" s="12" t="s">
        <v>2083</v>
      </c>
      <c r="Q1734" s="12">
        <v>36422471</v>
      </c>
    </row>
    <row r="1735" spans="16:17">
      <c r="P1735" s="12" t="s">
        <v>2084</v>
      </c>
      <c r="Q1735" s="12">
        <v>36422471</v>
      </c>
    </row>
    <row r="1736" spans="16:17">
      <c r="P1736" s="12" t="s">
        <v>792</v>
      </c>
      <c r="Q1736" s="12">
        <v>40381683</v>
      </c>
    </row>
    <row r="1737" spans="16:17">
      <c r="P1737" t="s">
        <v>2085</v>
      </c>
      <c r="Q1737" s="12">
        <v>40381683</v>
      </c>
    </row>
    <row r="1738" spans="16:17">
      <c r="P1738" s="12" t="s">
        <v>794</v>
      </c>
      <c r="Q1738" s="12">
        <v>41546490</v>
      </c>
    </row>
    <row r="1739" spans="16:17">
      <c r="P1739" s="12" t="s">
        <v>2086</v>
      </c>
      <c r="Q1739" s="44">
        <v>38026420</v>
      </c>
    </row>
    <row r="1740" spans="16:17">
      <c r="P1740" s="12" t="s">
        <v>2087</v>
      </c>
      <c r="Q1740" s="44">
        <v>38026420</v>
      </c>
    </row>
    <row r="1741" spans="16:17">
      <c r="P1741" s="12" t="s">
        <v>2088</v>
      </c>
      <c r="Q1741" s="44">
        <v>38026420</v>
      </c>
    </row>
    <row r="1742" spans="16:17">
      <c r="P1742" s="12" t="s">
        <v>2089</v>
      </c>
      <c r="Q1742" s="12">
        <v>12342</v>
      </c>
    </row>
    <row r="1743" spans="16:17">
      <c r="P1743" s="12" t="s">
        <v>796</v>
      </c>
      <c r="Q1743" s="12">
        <v>12342</v>
      </c>
    </row>
    <row r="1744" spans="16:17">
      <c r="P1744" s="12" t="s">
        <v>2090</v>
      </c>
      <c r="Q1744" s="12">
        <v>12342</v>
      </c>
    </row>
    <row r="1745" spans="16:17">
      <c r="P1745" s="12" t="s">
        <v>2091</v>
      </c>
      <c r="Q1745" s="12">
        <v>42099771</v>
      </c>
    </row>
    <row r="1746" spans="16:17">
      <c r="P1746" s="12" t="s">
        <v>798</v>
      </c>
      <c r="Q1746" s="12">
        <v>43819657</v>
      </c>
    </row>
    <row r="1747" spans="16:17">
      <c r="P1747" s="12" t="s">
        <v>2092</v>
      </c>
      <c r="Q1747" s="12">
        <v>12501</v>
      </c>
    </row>
    <row r="1748" spans="16:17">
      <c r="P1748" s="12" t="s">
        <v>2093</v>
      </c>
      <c r="Q1748" s="12">
        <v>12501</v>
      </c>
    </row>
    <row r="1749" spans="16:17">
      <c r="P1749" s="12" t="s">
        <v>2094</v>
      </c>
      <c r="Q1749" s="12">
        <v>40868950</v>
      </c>
    </row>
    <row r="1750" spans="16:17">
      <c r="P1750" s="12" t="s">
        <v>2095</v>
      </c>
      <c r="Q1750" s="12">
        <v>12501</v>
      </c>
    </row>
    <row r="1751" spans="16:17">
      <c r="P1751" s="12" t="s">
        <v>800</v>
      </c>
      <c r="Q1751" s="12">
        <v>40868950</v>
      </c>
    </row>
    <row r="1752" spans="16:17">
      <c r="P1752" s="12" t="s">
        <v>2096</v>
      </c>
      <c r="Q1752" s="12">
        <v>40868950</v>
      </c>
    </row>
    <row r="1753" spans="16:17">
      <c r="P1753" s="12" t="s">
        <v>2097</v>
      </c>
      <c r="Q1753" s="12">
        <v>40868950</v>
      </c>
    </row>
    <row r="1754" spans="16:17">
      <c r="P1754" s="12" t="s">
        <v>2098</v>
      </c>
      <c r="Q1754" s="12">
        <v>12501</v>
      </c>
    </row>
    <row r="1755" spans="16:17">
      <c r="P1755" s="12" t="s">
        <v>2099</v>
      </c>
      <c r="Q1755" s="12">
        <v>12501</v>
      </c>
    </row>
    <row r="1756" spans="16:17">
      <c r="P1756" s="12" t="s">
        <v>2100</v>
      </c>
      <c r="Q1756" s="12">
        <v>12501</v>
      </c>
    </row>
    <row r="1757" spans="16:17">
      <c r="P1757" t="s">
        <v>2101</v>
      </c>
      <c r="Q1757">
        <v>44101107</v>
      </c>
    </row>
    <row r="1758" spans="16:17">
      <c r="P1758" t="s">
        <v>2102</v>
      </c>
      <c r="Q1758">
        <v>44101107</v>
      </c>
    </row>
    <row r="1759" spans="16:17">
      <c r="P1759" t="s">
        <v>2103</v>
      </c>
      <c r="Q1759">
        <v>44101107</v>
      </c>
    </row>
    <row r="1760" spans="16:17">
      <c r="P1760" t="s">
        <v>2104</v>
      </c>
      <c r="Q1760">
        <v>44101107</v>
      </c>
    </row>
    <row r="1761" spans="16:17">
      <c r="P1761" t="s">
        <v>2105</v>
      </c>
      <c r="Q1761">
        <v>44101107</v>
      </c>
    </row>
    <row r="1762" spans="16:17">
      <c r="P1762" s="12" t="s">
        <v>2106</v>
      </c>
      <c r="Q1762" s="12">
        <v>39185267</v>
      </c>
    </row>
    <row r="1763" spans="16:17">
      <c r="P1763" t="s">
        <v>2107</v>
      </c>
      <c r="Q1763">
        <v>34566476</v>
      </c>
    </row>
    <row r="1764" spans="16:17">
      <c r="P1764" t="s">
        <v>2108</v>
      </c>
      <c r="Q1764">
        <v>34566476</v>
      </c>
    </row>
    <row r="1765" spans="16:17">
      <c r="P1765" t="s">
        <v>2109</v>
      </c>
      <c r="Q1765">
        <v>34566476</v>
      </c>
    </row>
    <row r="1766" spans="16:17">
      <c r="P1766" t="s">
        <v>2110</v>
      </c>
      <c r="Q1766">
        <v>34566476</v>
      </c>
    </row>
    <row r="1767" spans="16:17">
      <c r="P1767" s="12" t="s">
        <v>2111</v>
      </c>
      <c r="Q1767" s="12">
        <v>30049793</v>
      </c>
    </row>
    <row r="1768" spans="16:17">
      <c r="P1768" s="12" t="s">
        <v>2112</v>
      </c>
      <c r="Q1768" s="12">
        <v>30049793</v>
      </c>
    </row>
    <row r="1769" spans="16:17">
      <c r="P1769" s="12" t="s">
        <v>2113</v>
      </c>
      <c r="Q1769" s="12">
        <v>42119402</v>
      </c>
    </row>
    <row r="1770" spans="16:17">
      <c r="P1770" t="s">
        <v>2114</v>
      </c>
      <c r="Q1770">
        <v>36845661</v>
      </c>
    </row>
    <row r="1771" spans="16:17">
      <c r="P1771" s="12" t="s">
        <v>2115</v>
      </c>
      <c r="Q1771" s="12">
        <v>38176861</v>
      </c>
    </row>
    <row r="1772" spans="16:17">
      <c r="P1772" s="12" t="s">
        <v>2116</v>
      </c>
      <c r="Q1772" s="12">
        <v>32874</v>
      </c>
    </row>
    <row r="1773" spans="16:17">
      <c r="P1773" s="12" t="s">
        <v>2117</v>
      </c>
      <c r="Q1773" s="12">
        <v>32874</v>
      </c>
    </row>
    <row r="1774" spans="16:17">
      <c r="P1774" s="12" t="s">
        <v>2118</v>
      </c>
      <c r="Q1774" s="12">
        <v>32874</v>
      </c>
    </row>
    <row r="1775" spans="16:17">
      <c r="P1775" s="12" t="s">
        <v>802</v>
      </c>
      <c r="Q1775" s="12">
        <v>32874</v>
      </c>
    </row>
    <row r="1776" spans="16:17">
      <c r="P1776" t="s">
        <v>2119</v>
      </c>
      <c r="Q1776" s="12">
        <v>32874</v>
      </c>
    </row>
    <row r="1777" spans="16:17">
      <c r="P1777" s="12" t="s">
        <v>2120</v>
      </c>
      <c r="Q1777" s="12">
        <v>32874</v>
      </c>
    </row>
    <row r="1778" spans="16:17">
      <c r="P1778" s="12" t="s">
        <v>2121</v>
      </c>
      <c r="Q1778" s="45">
        <v>45756657</v>
      </c>
    </row>
    <row r="1779" spans="16:17">
      <c r="P1779" s="12" t="s">
        <v>2122</v>
      </c>
      <c r="Q1779" s="12">
        <v>45401340</v>
      </c>
    </row>
    <row r="1780" spans="16:17">
      <c r="P1780" s="12" t="s">
        <v>2123</v>
      </c>
      <c r="Q1780" s="12">
        <v>45401340</v>
      </c>
    </row>
    <row r="1781" spans="16:17">
      <c r="P1781" s="12" t="s">
        <v>804</v>
      </c>
      <c r="Q1781" s="12">
        <v>45401340</v>
      </c>
    </row>
    <row r="1782" spans="16:17">
      <c r="P1782" s="12" t="s">
        <v>2124</v>
      </c>
      <c r="Q1782" s="12">
        <v>12841</v>
      </c>
    </row>
    <row r="1783" spans="16:17">
      <c r="P1783" s="12" t="s">
        <v>2125</v>
      </c>
      <c r="Q1783" s="12">
        <v>12841</v>
      </c>
    </row>
    <row r="1784" spans="16:17">
      <c r="P1784" s="12" t="s">
        <v>2126</v>
      </c>
      <c r="Q1784" s="12">
        <v>27382983</v>
      </c>
    </row>
    <row r="1785" spans="16:17">
      <c r="P1785" s="12" t="s">
        <v>806</v>
      </c>
      <c r="Q1785" s="12">
        <v>27382983</v>
      </c>
    </row>
    <row r="1786" spans="16:17">
      <c r="P1786" s="12" t="s">
        <v>2127</v>
      </c>
      <c r="Q1786" s="12">
        <v>27382983</v>
      </c>
    </row>
    <row r="1787" spans="16:17">
      <c r="P1787" s="12" t="s">
        <v>2128</v>
      </c>
      <c r="Q1787" s="12">
        <v>27382983</v>
      </c>
    </row>
    <row r="1788" spans="16:17">
      <c r="P1788" s="12" t="s">
        <v>2129</v>
      </c>
      <c r="Q1788" s="12">
        <v>29521714</v>
      </c>
    </row>
    <row r="1789" spans="16:17">
      <c r="P1789" s="12" t="s">
        <v>807</v>
      </c>
      <c r="Q1789" s="12">
        <v>29521714</v>
      </c>
    </row>
    <row r="1790" spans="16:17">
      <c r="P1790" s="12" t="s">
        <v>809</v>
      </c>
      <c r="Q1790" s="12">
        <v>40936856</v>
      </c>
    </row>
    <row r="1791" spans="16:17">
      <c r="P1791" s="12" t="s">
        <v>811</v>
      </c>
      <c r="Q1791" s="12">
        <v>12841</v>
      </c>
    </row>
    <row r="1792" spans="16:17">
      <c r="P1792" t="s">
        <v>2130</v>
      </c>
      <c r="Q1792" s="12">
        <v>12841</v>
      </c>
    </row>
    <row r="1793" spans="16:17">
      <c r="P1793" s="12" t="s">
        <v>2131</v>
      </c>
      <c r="Q1793" s="12">
        <v>29521714</v>
      </c>
    </row>
    <row r="1794" spans="16:17">
      <c r="P1794" s="12" t="s">
        <v>2132</v>
      </c>
      <c r="Q1794" s="12">
        <v>43082224</v>
      </c>
    </row>
    <row r="1795" spans="16:17">
      <c r="P1795" s="12" t="s">
        <v>2133</v>
      </c>
      <c r="Q1795" s="12">
        <v>43082224</v>
      </c>
    </row>
    <row r="1796" spans="16:17">
      <c r="P1796" s="12" t="s">
        <v>2134</v>
      </c>
      <c r="Q1796" s="12">
        <v>43082224</v>
      </c>
    </row>
    <row r="1797" spans="16:17">
      <c r="P1797" s="12" t="s">
        <v>813</v>
      </c>
      <c r="Q1797" s="12">
        <v>43912501</v>
      </c>
    </row>
    <row r="1798" spans="16:17">
      <c r="P1798" s="12" t="s">
        <v>2135</v>
      </c>
      <c r="Q1798" s="12">
        <v>43912501</v>
      </c>
    </row>
    <row r="1799" spans="16:17">
      <c r="P1799" s="12" t="s">
        <v>2136</v>
      </c>
      <c r="Q1799" s="12">
        <v>43912501</v>
      </c>
    </row>
    <row r="1800" spans="16:17">
      <c r="P1800" t="s">
        <v>2137</v>
      </c>
      <c r="Q1800" s="46">
        <v>34566476</v>
      </c>
    </row>
    <row r="1801" spans="16:17">
      <c r="P1801" s="12" t="s">
        <v>2138</v>
      </c>
      <c r="Q1801" s="12">
        <v>17672274</v>
      </c>
    </row>
    <row r="1802" spans="16:17">
      <c r="P1802" s="12" t="s">
        <v>815</v>
      </c>
      <c r="Q1802" s="12">
        <v>17672274</v>
      </c>
    </row>
    <row r="1803" spans="16:17">
      <c r="P1803" s="12" t="s">
        <v>2139</v>
      </c>
      <c r="Q1803" s="12">
        <v>17672274</v>
      </c>
    </row>
    <row r="1804" spans="16:17">
      <c r="P1804" t="s">
        <v>2140</v>
      </c>
      <c r="Q1804" s="12">
        <v>34471</v>
      </c>
    </row>
    <row r="1805" spans="16:17">
      <c r="P1805" t="s">
        <v>2141</v>
      </c>
      <c r="Q1805">
        <v>43318554</v>
      </c>
    </row>
    <row r="1806" spans="16:17">
      <c r="P1806" s="12" t="s">
        <v>2142</v>
      </c>
      <c r="Q1806" s="12">
        <v>34471</v>
      </c>
    </row>
    <row r="1807" spans="16:17">
      <c r="P1807" s="12" t="s">
        <v>2143</v>
      </c>
      <c r="Q1807" s="12">
        <v>38498586</v>
      </c>
    </row>
    <row r="1808" spans="16:17">
      <c r="P1808" t="s">
        <v>2144</v>
      </c>
      <c r="Q1808" s="12">
        <v>38498586</v>
      </c>
    </row>
    <row r="1809" spans="16:17">
      <c r="P1809" s="12" t="s">
        <v>2145</v>
      </c>
      <c r="Q1809" s="12">
        <v>38498586</v>
      </c>
    </row>
    <row r="1810" spans="16:17">
      <c r="P1810" t="s">
        <v>2146</v>
      </c>
      <c r="Q1810">
        <v>43318554</v>
      </c>
    </row>
    <row r="1811" spans="16:17">
      <c r="P1811" t="s">
        <v>2147</v>
      </c>
      <c r="Q1811">
        <v>43318554</v>
      </c>
    </row>
    <row r="1812" spans="16:17">
      <c r="P1812" t="s">
        <v>2148</v>
      </c>
      <c r="Q1812">
        <v>43318554</v>
      </c>
    </row>
    <row r="1813" spans="16:17">
      <c r="P1813" t="s">
        <v>2149</v>
      </c>
      <c r="Q1813">
        <v>43318554</v>
      </c>
    </row>
    <row r="1814" spans="16:17">
      <c r="P1814" s="12" t="s">
        <v>2150</v>
      </c>
      <c r="Q1814" s="12">
        <v>34471</v>
      </c>
    </row>
    <row r="1815" spans="16:17">
      <c r="P1815" s="12" t="s">
        <v>816</v>
      </c>
      <c r="Q1815" s="12">
        <v>34471</v>
      </c>
    </row>
    <row r="1816" spans="16:17">
      <c r="P1816" s="12" t="s">
        <v>2151</v>
      </c>
      <c r="Q1816" s="12">
        <v>38498586</v>
      </c>
    </row>
    <row r="1817" spans="16:17">
      <c r="P1817" s="12" t="s">
        <v>818</v>
      </c>
      <c r="Q1817" s="12">
        <v>38498586</v>
      </c>
    </row>
    <row r="1818" spans="16:17">
      <c r="P1818" s="12" t="s">
        <v>2152</v>
      </c>
      <c r="Q1818" s="12">
        <v>38498586</v>
      </c>
    </row>
    <row r="1819" spans="16:17">
      <c r="P1819" s="12" t="s">
        <v>2153</v>
      </c>
      <c r="Q1819" s="12">
        <v>41706256</v>
      </c>
    </row>
    <row r="1820" spans="16:17">
      <c r="P1820" s="12" t="s">
        <v>2154</v>
      </c>
      <c r="Q1820" s="12">
        <v>41706256</v>
      </c>
    </row>
    <row r="1821" spans="16:17">
      <c r="P1821" t="s">
        <v>2155</v>
      </c>
      <c r="Q1821" s="12">
        <v>41706256</v>
      </c>
    </row>
    <row r="1822" spans="16:17">
      <c r="P1822" s="12" t="s">
        <v>2156</v>
      </c>
      <c r="Q1822" s="12">
        <v>47343705</v>
      </c>
    </row>
    <row r="1823" spans="16:17">
      <c r="P1823" t="s">
        <v>2157</v>
      </c>
      <c r="Q1823" s="12">
        <v>47343705</v>
      </c>
    </row>
    <row r="1824" spans="16:17">
      <c r="P1824" s="12" t="s">
        <v>2158</v>
      </c>
      <c r="Q1824" s="12">
        <v>12331</v>
      </c>
    </row>
    <row r="1825" spans="16:17">
      <c r="P1825" s="12" t="s">
        <v>2159</v>
      </c>
      <c r="Q1825" s="12">
        <v>44544554</v>
      </c>
    </row>
    <row r="1826" spans="16:17">
      <c r="P1826" t="s">
        <v>2160</v>
      </c>
      <c r="Q1826" s="12">
        <v>44544554</v>
      </c>
    </row>
    <row r="1827" spans="16:17">
      <c r="P1827" t="s">
        <v>2161</v>
      </c>
      <c r="Q1827">
        <v>30053111</v>
      </c>
    </row>
    <row r="1828" spans="16:17">
      <c r="P1828" s="12" t="s">
        <v>2162</v>
      </c>
      <c r="Q1828" s="12">
        <v>18028620</v>
      </c>
    </row>
    <row r="1829" spans="16:17">
      <c r="P1829" s="12" t="s">
        <v>2163</v>
      </c>
      <c r="Q1829" s="12">
        <v>41162965</v>
      </c>
    </row>
    <row r="1830" spans="16:17">
      <c r="P1830" s="12" t="s">
        <v>2164</v>
      </c>
      <c r="Q1830" s="12">
        <v>41162965</v>
      </c>
    </row>
    <row r="1831" spans="16:17">
      <c r="P1831" s="12" t="s">
        <v>2165</v>
      </c>
      <c r="Q1831" s="12">
        <v>42655553</v>
      </c>
    </row>
    <row r="1832" spans="16:17">
      <c r="P1832" t="s">
        <v>2166</v>
      </c>
      <c r="Q1832" s="12">
        <v>34409</v>
      </c>
    </row>
    <row r="1833" spans="16:17">
      <c r="P1833" s="12" t="s">
        <v>819</v>
      </c>
      <c r="Q1833" s="12">
        <v>34409</v>
      </c>
    </row>
    <row r="1834" spans="16:17">
      <c r="P1834" s="12" t="s">
        <v>2167</v>
      </c>
      <c r="Q1834" s="12">
        <v>34409</v>
      </c>
    </row>
    <row r="1835" spans="16:17">
      <c r="P1835" s="12" t="s">
        <v>2168</v>
      </c>
      <c r="Q1835" s="12">
        <v>33073087</v>
      </c>
    </row>
    <row r="1836" spans="16:17">
      <c r="P1836" s="12" t="s">
        <v>2169</v>
      </c>
      <c r="Q1836" s="12">
        <v>33073087</v>
      </c>
    </row>
    <row r="1837" spans="16:17">
      <c r="P1837" s="12" t="s">
        <v>2170</v>
      </c>
      <c r="Q1837" s="12">
        <v>12903</v>
      </c>
    </row>
    <row r="1838" spans="16:17">
      <c r="P1838" s="12" t="s">
        <v>2171</v>
      </c>
      <c r="Q1838" s="12">
        <v>33794081</v>
      </c>
    </row>
    <row r="1839" spans="16:17">
      <c r="P1839" s="12" t="s">
        <v>197</v>
      </c>
      <c r="Q1839" s="12" t="s">
        <v>5</v>
      </c>
    </row>
    <row r="1840" spans="16:17">
      <c r="P1840" s="12" t="s">
        <v>2172</v>
      </c>
      <c r="Q1840" s="12" t="s">
        <v>523</v>
      </c>
    </row>
    <row r="1841" spans="16:17">
      <c r="P1841" t="s">
        <v>2173</v>
      </c>
      <c r="Q1841">
        <v>30053111</v>
      </c>
    </row>
    <row r="1842" spans="16:17">
      <c r="P1842" t="s">
        <v>2174</v>
      </c>
      <c r="Q1842">
        <v>30053111</v>
      </c>
    </row>
    <row r="1843" spans="16:17">
      <c r="P1843" s="12" t="s">
        <v>2175</v>
      </c>
      <c r="Q1843" s="12">
        <v>18028620</v>
      </c>
    </row>
    <row r="1844" spans="16:17">
      <c r="P1844" s="12" t="s">
        <v>2176</v>
      </c>
      <c r="Q1844" s="12">
        <v>41162965</v>
      </c>
    </row>
    <row r="1845" spans="16:17">
      <c r="P1845" s="12" t="s">
        <v>2177</v>
      </c>
      <c r="Q1845" s="12">
        <v>41162965</v>
      </c>
    </row>
    <row r="1846" spans="16:17">
      <c r="P1846" s="12" t="s">
        <v>821</v>
      </c>
      <c r="Q1846" s="12">
        <v>41162965</v>
      </c>
    </row>
    <row r="1847" spans="16:17">
      <c r="P1847" s="12" t="s">
        <v>2178</v>
      </c>
      <c r="Q1847" s="12">
        <v>41162965</v>
      </c>
    </row>
    <row r="1848" spans="16:17">
      <c r="P1848" s="12" t="s">
        <v>823</v>
      </c>
      <c r="Q1848" s="12">
        <v>42655553</v>
      </c>
    </row>
    <row r="1849" spans="16:17">
      <c r="P1849" t="s">
        <v>2179</v>
      </c>
      <c r="Q1849" s="12">
        <v>42655553</v>
      </c>
    </row>
    <row r="1850" spans="16:17">
      <c r="P1850" s="12" t="s">
        <v>2180</v>
      </c>
      <c r="Q1850" s="12">
        <v>36845727</v>
      </c>
    </row>
    <row r="1851" spans="16:17">
      <c r="P1851" s="12" t="s">
        <v>2181</v>
      </c>
      <c r="Q1851" s="12">
        <v>43423581</v>
      </c>
    </row>
    <row r="1852" spans="16:17">
      <c r="P1852" s="12" t="s">
        <v>2182</v>
      </c>
      <c r="Q1852" s="12">
        <v>43423581</v>
      </c>
    </row>
    <row r="1853" spans="16:17">
      <c r="P1853" s="12" t="s">
        <v>2183</v>
      </c>
      <c r="Q1853" s="12">
        <v>43423581</v>
      </c>
    </row>
    <row r="1854" spans="16:17">
      <c r="P1854" s="12" t="s">
        <v>2184</v>
      </c>
      <c r="Q1854" s="12">
        <v>36845727</v>
      </c>
    </row>
    <row r="1855" spans="16:17">
      <c r="P1855" s="12" t="s">
        <v>2185</v>
      </c>
      <c r="Q1855" s="12">
        <v>36845727</v>
      </c>
    </row>
    <row r="1856" spans="16:17">
      <c r="P1856" t="s">
        <v>2186</v>
      </c>
      <c r="Q1856">
        <v>39344532</v>
      </c>
    </row>
    <row r="1857" spans="16:17">
      <c r="P1857" s="12" t="s">
        <v>2187</v>
      </c>
      <c r="Q1857" s="12">
        <v>40097155</v>
      </c>
    </row>
    <row r="1858" spans="16:17">
      <c r="P1858" s="12" t="s">
        <v>2188</v>
      </c>
      <c r="Q1858" s="12">
        <v>40097155</v>
      </c>
    </row>
    <row r="1859" spans="16:17">
      <c r="P1859" t="s">
        <v>2189</v>
      </c>
      <c r="Q1859">
        <v>21764781</v>
      </c>
    </row>
    <row r="1860" spans="16:17">
      <c r="P1860" s="12" t="s">
        <v>2190</v>
      </c>
      <c r="Q1860" s="12">
        <v>36845727</v>
      </c>
    </row>
    <row r="1861" spans="16:17">
      <c r="P1861" s="12" t="s">
        <v>2191</v>
      </c>
      <c r="Q1861" s="12">
        <v>36845727</v>
      </c>
    </row>
    <row r="1862" spans="16:17">
      <c r="P1862" s="12" t="s">
        <v>825</v>
      </c>
      <c r="Q1862" s="12">
        <v>43423581</v>
      </c>
    </row>
    <row r="1863" spans="16:17">
      <c r="P1863" s="12" t="s">
        <v>2192</v>
      </c>
      <c r="Q1863" s="12">
        <v>36845727</v>
      </c>
    </row>
    <row r="1864" spans="16:17">
      <c r="P1864" s="12" t="s">
        <v>827</v>
      </c>
      <c r="Q1864" s="12">
        <v>36845727</v>
      </c>
    </row>
    <row r="1865" spans="16:17">
      <c r="P1865" s="12" t="s">
        <v>2193</v>
      </c>
      <c r="Q1865" s="12">
        <v>36845727</v>
      </c>
    </row>
    <row r="1866" spans="16:17">
      <c r="P1866" t="s">
        <v>2194</v>
      </c>
      <c r="Q1866">
        <v>39344532</v>
      </c>
    </row>
    <row r="1867" spans="16:17">
      <c r="P1867" s="12" t="s">
        <v>2195</v>
      </c>
      <c r="Q1867" s="12">
        <v>40097155</v>
      </c>
    </row>
    <row r="1868" spans="16:17">
      <c r="P1868" t="s">
        <v>2196</v>
      </c>
      <c r="Q1868" s="12">
        <v>40097155</v>
      </c>
    </row>
    <row r="1869" spans="16:17">
      <c r="P1869" t="s">
        <v>2197</v>
      </c>
      <c r="Q1869">
        <v>21764781</v>
      </c>
    </row>
    <row r="1870" spans="16:17">
      <c r="P1870" t="s">
        <v>2198</v>
      </c>
      <c r="Q1870">
        <v>21764781</v>
      </c>
    </row>
    <row r="1871" spans="16:17">
      <c r="P1871" s="12" t="s">
        <v>2199</v>
      </c>
      <c r="Q1871" s="12">
        <v>13807</v>
      </c>
    </row>
    <row r="1872" spans="16:17">
      <c r="P1872" s="12" t="s">
        <v>828</v>
      </c>
      <c r="Q1872" s="12">
        <v>13807</v>
      </c>
    </row>
    <row r="1873" spans="16:17">
      <c r="P1873" s="12" t="s">
        <v>2200</v>
      </c>
      <c r="Q1873" s="12">
        <v>41460104</v>
      </c>
    </row>
    <row r="1874" spans="16:17">
      <c r="P1874" s="12" t="s">
        <v>2201</v>
      </c>
      <c r="Q1874" s="12">
        <v>39223033</v>
      </c>
    </row>
    <row r="1875" spans="16:17">
      <c r="P1875" s="12" t="s">
        <v>830</v>
      </c>
      <c r="Q1875" s="12">
        <v>39223033</v>
      </c>
    </row>
    <row r="1876" spans="16:17">
      <c r="P1876" s="12" t="s">
        <v>2202</v>
      </c>
      <c r="Q1876" s="12">
        <v>41455032</v>
      </c>
    </row>
    <row r="1877" spans="16:17">
      <c r="P1877" t="s">
        <v>2203</v>
      </c>
      <c r="Q1877">
        <v>43106633</v>
      </c>
    </row>
    <row r="1878" spans="16:17">
      <c r="P1878" t="s">
        <v>2204</v>
      </c>
      <c r="Q1878">
        <v>43106633</v>
      </c>
    </row>
    <row r="1879" spans="16:17">
      <c r="P1879" t="s">
        <v>2205</v>
      </c>
      <c r="Q1879">
        <v>43106633</v>
      </c>
    </row>
    <row r="1880" spans="16:17">
      <c r="P1880" t="s">
        <v>2206</v>
      </c>
      <c r="Q1880">
        <v>43106633</v>
      </c>
    </row>
    <row r="1881" spans="16:17">
      <c r="P1881" t="s">
        <v>2207</v>
      </c>
      <c r="Q1881">
        <v>43106633</v>
      </c>
    </row>
    <row r="1882" spans="16:17">
      <c r="P1882" s="12" t="s">
        <v>2208</v>
      </c>
      <c r="Q1882" s="12">
        <v>29277193</v>
      </c>
    </row>
    <row r="1883" spans="16:17">
      <c r="P1883" s="12" t="s">
        <v>2209</v>
      </c>
      <c r="Q1883" s="12">
        <v>43080505</v>
      </c>
    </row>
    <row r="1884" spans="16:17">
      <c r="P1884" s="12" t="s">
        <v>2210</v>
      </c>
      <c r="Q1884" s="12">
        <v>30353085</v>
      </c>
    </row>
    <row r="1885" spans="16:17">
      <c r="P1885" s="12" t="s">
        <v>2211</v>
      </c>
      <c r="Q1885" s="12">
        <v>45430298</v>
      </c>
    </row>
    <row r="1886" spans="16:17">
      <c r="P1886" s="12" t="s">
        <v>2212</v>
      </c>
      <c r="Q1886" s="12">
        <v>46421021</v>
      </c>
    </row>
    <row r="1887" spans="16:17">
      <c r="P1887" s="12" t="s">
        <v>2213</v>
      </c>
      <c r="Q1887" s="12">
        <v>46421021</v>
      </c>
    </row>
    <row r="1888" spans="16:17">
      <c r="P1888" s="12" t="s">
        <v>832</v>
      </c>
      <c r="Q1888" s="12">
        <v>29277193</v>
      </c>
    </row>
    <row r="1889" spans="16:17">
      <c r="P1889" s="12" t="s">
        <v>834</v>
      </c>
      <c r="Q1889" s="12">
        <v>41435566</v>
      </c>
    </row>
    <row r="1890" spans="16:17">
      <c r="P1890" s="12" t="s">
        <v>2214</v>
      </c>
      <c r="Q1890" s="12">
        <v>41435566</v>
      </c>
    </row>
    <row r="1891" spans="16:17">
      <c r="P1891" s="12" t="s">
        <v>2215</v>
      </c>
      <c r="Q1891" s="12">
        <v>36498353</v>
      </c>
    </row>
    <row r="1892" spans="16:17">
      <c r="P1892" s="12" t="s">
        <v>836</v>
      </c>
      <c r="Q1892" s="12">
        <v>36498353</v>
      </c>
    </row>
    <row r="1893" spans="16:17">
      <c r="P1893" s="12" t="s">
        <v>2216</v>
      </c>
      <c r="Q1893" s="12">
        <v>43080505</v>
      </c>
    </row>
    <row r="1894" spans="16:17">
      <c r="P1894" s="12" t="s">
        <v>838</v>
      </c>
      <c r="Q1894" s="12">
        <v>30353085</v>
      </c>
    </row>
    <row r="1895" spans="16:17">
      <c r="P1895" s="12" t="s">
        <v>2217</v>
      </c>
      <c r="Q1895" s="12">
        <v>30353085</v>
      </c>
    </row>
    <row r="1896" spans="16:17">
      <c r="P1896" s="12" t="s">
        <v>2218</v>
      </c>
      <c r="Q1896" s="12">
        <v>30353085</v>
      </c>
    </row>
    <row r="1897" spans="16:17">
      <c r="P1897" s="12" t="s">
        <v>2219</v>
      </c>
      <c r="Q1897" s="12">
        <v>39416059</v>
      </c>
    </row>
    <row r="1898" spans="16:17">
      <c r="P1898" t="s">
        <v>2220</v>
      </c>
      <c r="Q1898" s="12">
        <v>39416059</v>
      </c>
    </row>
    <row r="1899" spans="16:17">
      <c r="P1899" s="12" t="s">
        <v>2221</v>
      </c>
      <c r="Q1899" s="12">
        <v>39416059</v>
      </c>
    </row>
    <row r="1900" spans="16:17">
      <c r="P1900" t="s">
        <v>2222</v>
      </c>
      <c r="Q1900">
        <v>39416059</v>
      </c>
    </row>
    <row r="1901" spans="16:17">
      <c r="P1901" t="s">
        <v>2223</v>
      </c>
      <c r="Q1901">
        <v>39416059</v>
      </c>
    </row>
    <row r="1902" spans="16:17">
      <c r="P1902" s="12" t="s">
        <v>840</v>
      </c>
      <c r="Q1902" s="12">
        <v>45430298</v>
      </c>
    </row>
    <row r="1903" spans="16:17">
      <c r="P1903" s="12" t="s">
        <v>2224</v>
      </c>
      <c r="Q1903" s="12">
        <v>45430298</v>
      </c>
    </row>
    <row r="1904" spans="16:17">
      <c r="P1904" s="12" t="s">
        <v>842</v>
      </c>
      <c r="Q1904" s="12">
        <v>12468</v>
      </c>
    </row>
    <row r="1905" spans="16:17">
      <c r="P1905" s="12" t="s">
        <v>844</v>
      </c>
      <c r="Q1905" s="12">
        <v>43080505</v>
      </c>
    </row>
    <row r="1906" spans="16:17">
      <c r="P1906" s="12" t="s">
        <v>2225</v>
      </c>
      <c r="Q1906" s="12">
        <v>43080505</v>
      </c>
    </row>
    <row r="1907" spans="16:17">
      <c r="P1907" s="12" t="s">
        <v>2226</v>
      </c>
      <c r="Q1907" s="12">
        <v>46421021</v>
      </c>
    </row>
    <row r="1908" spans="16:17">
      <c r="P1908" s="12" t="s">
        <v>2227</v>
      </c>
      <c r="Q1908" s="12">
        <v>46421021</v>
      </c>
    </row>
    <row r="1909" spans="16:17">
      <c r="P1909" t="s">
        <v>2228</v>
      </c>
      <c r="Q1909" s="12">
        <v>45926480</v>
      </c>
    </row>
    <row r="1910" spans="16:17">
      <c r="P1910" s="12" t="s">
        <v>2229</v>
      </c>
      <c r="Q1910" s="12">
        <v>13778</v>
      </c>
    </row>
    <row r="1911" spans="16:17">
      <c r="P1911" s="12" t="s">
        <v>2230</v>
      </c>
      <c r="Q1911" s="12">
        <v>13778</v>
      </c>
    </row>
    <row r="1912" spans="16:17">
      <c r="P1912" s="12" t="s">
        <v>2231</v>
      </c>
      <c r="Q1912" s="12">
        <v>45926480</v>
      </c>
    </row>
    <row r="1913" spans="16:17">
      <c r="P1913" s="12" t="s">
        <v>2232</v>
      </c>
      <c r="Q1913" s="12">
        <v>10661</v>
      </c>
    </row>
    <row r="1914" spans="16:17">
      <c r="P1914" s="12" t="s">
        <v>2233</v>
      </c>
      <c r="Q1914" s="12">
        <v>38637494</v>
      </c>
    </row>
    <row r="1915" spans="16:17">
      <c r="P1915" s="12" t="s">
        <v>2234</v>
      </c>
      <c r="Q1915" s="12">
        <v>43147897</v>
      </c>
    </row>
    <row r="1916" spans="16:17">
      <c r="P1916" s="12" t="s">
        <v>2235</v>
      </c>
      <c r="Q1916" s="12">
        <v>43147897</v>
      </c>
    </row>
    <row r="1917" spans="16:17">
      <c r="P1917" s="12" t="s">
        <v>2236</v>
      </c>
      <c r="Q1917" s="12">
        <v>17107167</v>
      </c>
    </row>
    <row r="1918" spans="16:17">
      <c r="P1918" s="12" t="s">
        <v>2237</v>
      </c>
      <c r="Q1918" s="12">
        <v>12333</v>
      </c>
    </row>
    <row r="1919" spans="16:17">
      <c r="P1919" s="12" t="s">
        <v>2238</v>
      </c>
      <c r="Q1919" s="12">
        <v>40540883</v>
      </c>
    </row>
    <row r="1920" spans="16:17">
      <c r="P1920" s="12" t="s">
        <v>846</v>
      </c>
      <c r="Q1920" s="12">
        <v>40540883</v>
      </c>
    </row>
    <row r="1921" spans="16:17">
      <c r="P1921" s="12" t="s">
        <v>2239</v>
      </c>
      <c r="Q1921" s="12">
        <v>40540883</v>
      </c>
    </row>
    <row r="1922" spans="16:17">
      <c r="P1922" s="12" t="s">
        <v>2240</v>
      </c>
      <c r="Q1922" s="12">
        <v>30356825</v>
      </c>
    </row>
    <row r="1923" spans="16:17">
      <c r="P1923" s="12" t="s">
        <v>2241</v>
      </c>
      <c r="Q1923" s="12">
        <v>37256965</v>
      </c>
    </row>
    <row r="1924" spans="16:17">
      <c r="P1924" s="12" t="s">
        <v>2242</v>
      </c>
      <c r="Q1924" s="12">
        <v>13551</v>
      </c>
    </row>
    <row r="1925" spans="16:17">
      <c r="P1925" s="12" t="s">
        <v>848</v>
      </c>
      <c r="Q1925" s="12">
        <v>13551</v>
      </c>
    </row>
    <row r="1926" spans="16:17">
      <c r="P1926" s="12" t="s">
        <v>2243</v>
      </c>
      <c r="Q1926" s="12">
        <v>13551</v>
      </c>
    </row>
    <row r="1927" spans="16:17">
      <c r="P1927" t="s">
        <v>2244</v>
      </c>
      <c r="Q1927" s="12">
        <v>12905</v>
      </c>
    </row>
    <row r="1928" spans="16:17">
      <c r="P1928" s="12" t="s">
        <v>2245</v>
      </c>
      <c r="Q1928" s="12">
        <v>12905</v>
      </c>
    </row>
    <row r="1929" spans="16:17">
      <c r="P1929" t="s">
        <v>2246</v>
      </c>
      <c r="Q1929" s="12">
        <v>12905</v>
      </c>
    </row>
    <row r="1930" spans="16:17">
      <c r="P1930" s="12" t="s">
        <v>850</v>
      </c>
      <c r="Q1930" s="12">
        <v>12905</v>
      </c>
    </row>
    <row r="1931" spans="16:17">
      <c r="P1931" s="12" t="s">
        <v>2247</v>
      </c>
      <c r="Q1931" s="12">
        <v>12905</v>
      </c>
    </row>
    <row r="1932" spans="16:17">
      <c r="P1932" s="12" t="s">
        <v>2248</v>
      </c>
      <c r="Q1932" s="43">
        <v>42297260</v>
      </c>
    </row>
    <row r="1933" spans="16:17">
      <c r="P1933" s="12" t="s">
        <v>851</v>
      </c>
      <c r="Q1933" s="12">
        <v>42297260</v>
      </c>
    </row>
    <row r="1934" spans="16:17">
      <c r="P1934" s="12" t="s">
        <v>2249</v>
      </c>
      <c r="Q1934" s="12">
        <v>77257</v>
      </c>
    </row>
    <row r="1935" spans="16:17">
      <c r="P1935" s="12" t="s">
        <v>853</v>
      </c>
      <c r="Q1935" s="12">
        <v>11807</v>
      </c>
    </row>
    <row r="1936" spans="16:17">
      <c r="P1936" t="s">
        <v>2250</v>
      </c>
      <c r="Q1936" s="12">
        <v>44965623</v>
      </c>
    </row>
    <row r="1937" spans="16:17">
      <c r="P1937" s="12" t="s">
        <v>2251</v>
      </c>
      <c r="Q1937" s="12">
        <v>44965623</v>
      </c>
    </row>
    <row r="1938" spans="16:17">
      <c r="P1938" s="12" t="s">
        <v>855</v>
      </c>
      <c r="Q1938" s="12">
        <v>44965623</v>
      </c>
    </row>
    <row r="1939" spans="16:17">
      <c r="P1939" t="s">
        <v>2252</v>
      </c>
      <c r="Q1939" s="12">
        <v>44965623</v>
      </c>
    </row>
    <row r="1940" spans="16:17">
      <c r="P1940" t="s">
        <v>2253</v>
      </c>
      <c r="Q1940" s="12">
        <v>44965623</v>
      </c>
    </row>
    <row r="1941" spans="16:17">
      <c r="P1941" s="12" t="s">
        <v>857</v>
      </c>
      <c r="Q1941" s="12">
        <v>36598399</v>
      </c>
    </row>
    <row r="1942" spans="16:17">
      <c r="P1942" t="s">
        <v>2254</v>
      </c>
      <c r="Q1942" s="12">
        <v>44965623</v>
      </c>
    </row>
    <row r="1943" spans="16:17">
      <c r="P1943" s="12" t="s">
        <v>2255</v>
      </c>
      <c r="Q1943" s="12">
        <v>35803493</v>
      </c>
    </row>
    <row r="1944" spans="16:17">
      <c r="P1944" s="12" t="s">
        <v>2256</v>
      </c>
      <c r="Q1944" s="12">
        <v>36483668</v>
      </c>
    </row>
    <row r="1945" spans="16:17">
      <c r="P1945" s="12" t="s">
        <v>2257</v>
      </c>
      <c r="Q1945" s="12">
        <v>36483668</v>
      </c>
    </row>
    <row r="1946" spans="16:17">
      <c r="P1946" t="s">
        <v>2258</v>
      </c>
      <c r="Q1946">
        <v>36483668</v>
      </c>
    </row>
    <row r="1947" spans="16:17">
      <c r="P1947" s="12" t="s">
        <v>2259</v>
      </c>
      <c r="Q1947" s="12">
        <v>40797725</v>
      </c>
    </row>
    <row r="1948" spans="16:17">
      <c r="P1948" s="12" t="s">
        <v>2260</v>
      </c>
      <c r="Q1948" s="12">
        <v>36483668</v>
      </c>
    </row>
    <row r="1949" spans="16:17">
      <c r="P1949" s="12" t="s">
        <v>859</v>
      </c>
      <c r="Q1949" s="12">
        <v>36483668</v>
      </c>
    </row>
    <row r="1950" spans="16:17">
      <c r="P1950" s="12" t="s">
        <v>2261</v>
      </c>
      <c r="Q1950" s="12">
        <v>46994265</v>
      </c>
    </row>
    <row r="1951" spans="16:17">
      <c r="P1951" s="12" t="s">
        <v>2262</v>
      </c>
      <c r="Q1951" s="12">
        <v>40745396</v>
      </c>
    </row>
    <row r="1952" spans="16:17">
      <c r="P1952" s="12" t="s">
        <v>2263</v>
      </c>
      <c r="Q1952" s="12">
        <v>38678888</v>
      </c>
    </row>
    <row r="1953" spans="16:17">
      <c r="P1953" s="12" t="s">
        <v>2264</v>
      </c>
      <c r="Q1953" s="12">
        <v>35402090</v>
      </c>
    </row>
    <row r="1954" spans="16:17">
      <c r="P1954" s="12" t="s">
        <v>2265</v>
      </c>
      <c r="Q1954" s="12">
        <v>46994265</v>
      </c>
    </row>
    <row r="1955" spans="16:17">
      <c r="P1955" t="s">
        <v>2266</v>
      </c>
      <c r="Q1955" s="12">
        <v>46994265</v>
      </c>
    </row>
    <row r="1956" spans="16:17">
      <c r="P1956" s="12" t="s">
        <v>2267</v>
      </c>
      <c r="Q1956" s="12">
        <v>40745396</v>
      </c>
    </row>
    <row r="1957" spans="16:17">
      <c r="P1957" s="12" t="s">
        <v>861</v>
      </c>
      <c r="Q1957" s="12">
        <v>40745396</v>
      </c>
    </row>
    <row r="1958" spans="16:17">
      <c r="P1958" s="12" t="s">
        <v>2268</v>
      </c>
      <c r="Q1958" s="12">
        <v>42535612</v>
      </c>
    </row>
    <row r="1959" spans="16:17">
      <c r="P1959" s="12" t="s">
        <v>2269</v>
      </c>
      <c r="Q1959" s="12">
        <v>44559741</v>
      </c>
    </row>
    <row r="1960" spans="16:17">
      <c r="P1960" s="12" t="s">
        <v>863</v>
      </c>
      <c r="Q1960" s="12">
        <v>44559741</v>
      </c>
    </row>
    <row r="1961" spans="16:17">
      <c r="P1961" s="12" t="s">
        <v>2270</v>
      </c>
      <c r="Q1961" s="12">
        <v>44559741</v>
      </c>
    </row>
    <row r="1962" spans="16:17">
      <c r="P1962" s="12" t="s">
        <v>2271</v>
      </c>
      <c r="Q1962" s="12">
        <v>12906</v>
      </c>
    </row>
    <row r="1963" spans="16:17">
      <c r="P1963" s="12" t="s">
        <v>2272</v>
      </c>
      <c r="Q1963" s="12">
        <v>34210219</v>
      </c>
    </row>
    <row r="1964" spans="16:17">
      <c r="P1964" t="s">
        <v>2273</v>
      </c>
      <c r="Q1964">
        <v>27928430</v>
      </c>
    </row>
    <row r="1965" spans="16:17">
      <c r="P1965" t="s">
        <v>2274</v>
      </c>
      <c r="Q1965">
        <v>27928430</v>
      </c>
    </row>
    <row r="1966" spans="16:17">
      <c r="P1966" t="s">
        <v>2275</v>
      </c>
      <c r="Q1966">
        <v>27928430</v>
      </c>
    </row>
    <row r="1967" spans="16:17">
      <c r="P1967" t="s">
        <v>2276</v>
      </c>
      <c r="Q1967">
        <v>27928430</v>
      </c>
    </row>
    <row r="1968" spans="16:17">
      <c r="P1968" s="12" t="s">
        <v>2277</v>
      </c>
      <c r="Q1968" s="12">
        <v>40946769</v>
      </c>
    </row>
    <row r="1969" spans="16:17">
      <c r="P1969" s="12" t="s">
        <v>865</v>
      </c>
      <c r="Q1969" s="12">
        <v>40946769</v>
      </c>
    </row>
    <row r="1970" spans="16:17">
      <c r="P1970" t="s">
        <v>2278</v>
      </c>
      <c r="Q1970">
        <v>4259083</v>
      </c>
    </row>
    <row r="1971" spans="16:17">
      <c r="P1971" t="s">
        <v>2279</v>
      </c>
      <c r="Q1971">
        <v>4259083</v>
      </c>
    </row>
    <row r="1972" spans="16:17">
      <c r="P1972" s="12" t="s">
        <v>2280</v>
      </c>
      <c r="Q1972" s="12">
        <v>35087820</v>
      </c>
    </row>
    <row r="1973" spans="16:17">
      <c r="P1973" t="s">
        <v>2281</v>
      </c>
      <c r="Q1973" s="12">
        <v>38465928</v>
      </c>
    </row>
    <row r="1974" spans="16:17">
      <c r="P1974" s="12" t="s">
        <v>2282</v>
      </c>
      <c r="Q1974" s="12">
        <v>38465928</v>
      </c>
    </row>
    <row r="1975" spans="16:17">
      <c r="P1975" s="12" t="s">
        <v>867</v>
      </c>
      <c r="Q1975" s="12">
        <v>38465928</v>
      </c>
    </row>
    <row r="1976" spans="16:17">
      <c r="P1976" t="s">
        <v>2283</v>
      </c>
      <c r="Q1976" s="12">
        <v>38465928</v>
      </c>
    </row>
    <row r="1977" spans="16:17">
      <c r="P1977" t="s">
        <v>2284</v>
      </c>
      <c r="Q1977" s="12">
        <v>38465928</v>
      </c>
    </row>
    <row r="1978" spans="16:17">
      <c r="P1978" s="12" t="s">
        <v>2285</v>
      </c>
      <c r="Q1978" s="12">
        <v>12915</v>
      </c>
    </row>
    <row r="1979" spans="16:17">
      <c r="P1979" s="12" t="s">
        <v>2286</v>
      </c>
      <c r="Q1979" s="12">
        <v>22310347</v>
      </c>
    </row>
    <row r="1980" spans="16:17">
      <c r="P1980" t="s">
        <v>2287</v>
      </c>
      <c r="Q1980">
        <v>22310347</v>
      </c>
    </row>
    <row r="1981" spans="16:17">
      <c r="P1981" t="s">
        <v>2288</v>
      </c>
      <c r="Q1981">
        <v>22310347</v>
      </c>
    </row>
    <row r="1982" spans="16:17">
      <c r="P1982" s="12" t="s">
        <v>2289</v>
      </c>
      <c r="Q1982" s="12">
        <v>12529</v>
      </c>
    </row>
    <row r="1983" spans="16:17">
      <c r="P1983" s="12" t="s">
        <v>869</v>
      </c>
      <c r="Q1983" s="12">
        <v>12529</v>
      </c>
    </row>
    <row r="1984" spans="16:17">
      <c r="P1984" s="12" t="s">
        <v>2290</v>
      </c>
      <c r="Q1984" s="12">
        <v>11677</v>
      </c>
    </row>
    <row r="1985" spans="16:17">
      <c r="P1985" s="12" t="s">
        <v>2291</v>
      </c>
      <c r="Q1985" s="12">
        <v>36829506</v>
      </c>
    </row>
    <row r="1986" spans="16:17">
      <c r="P1986" s="12" t="s">
        <v>871</v>
      </c>
      <c r="Q1986" s="12">
        <v>11677</v>
      </c>
    </row>
    <row r="1987" spans="16:17">
      <c r="P1987" s="12" t="s">
        <v>2292</v>
      </c>
      <c r="Q1987" s="12">
        <v>13578</v>
      </c>
    </row>
    <row r="1988" spans="16:17">
      <c r="P1988" s="12" t="s">
        <v>2293</v>
      </c>
      <c r="Q1988" s="12">
        <v>35040565</v>
      </c>
    </row>
    <row r="1989" spans="16:17">
      <c r="P1989" s="12" t="s">
        <v>873</v>
      </c>
      <c r="Q1989" s="12">
        <v>35040565</v>
      </c>
    </row>
    <row r="1990" spans="16:17">
      <c r="P1990" t="s">
        <v>2294</v>
      </c>
      <c r="Q1990" s="12">
        <v>35040565</v>
      </c>
    </row>
    <row r="1991" spans="16:17">
      <c r="P1991" s="12" t="s">
        <v>875</v>
      </c>
      <c r="Q1991" s="12">
        <v>12351</v>
      </c>
    </row>
    <row r="1992" spans="16:17">
      <c r="P1992" s="12" t="s">
        <v>2295</v>
      </c>
      <c r="Q1992" s="12">
        <v>42012953</v>
      </c>
    </row>
    <row r="1993" spans="16:17">
      <c r="P1993" s="12" t="s">
        <v>2296</v>
      </c>
      <c r="Q1993" s="12">
        <v>36598399</v>
      </c>
    </row>
    <row r="1994" spans="16:17">
      <c r="P1994" t="s">
        <v>2297</v>
      </c>
      <c r="Q1994">
        <v>37786037</v>
      </c>
    </row>
    <row r="1995" spans="16:17">
      <c r="P1995" s="12" t="s">
        <v>2298</v>
      </c>
      <c r="Q1995" s="12">
        <v>46642915</v>
      </c>
    </row>
    <row r="1996" spans="16:17">
      <c r="P1996" s="12" t="s">
        <v>2299</v>
      </c>
      <c r="Q1996" s="12">
        <v>36319307</v>
      </c>
    </row>
    <row r="1997" spans="16:17">
      <c r="P1997" s="12" t="s">
        <v>2300</v>
      </c>
      <c r="Q1997" s="12">
        <v>46642915</v>
      </c>
    </row>
    <row r="1998" spans="16:17">
      <c r="P1998" s="12" t="s">
        <v>877</v>
      </c>
      <c r="Q1998" s="12">
        <v>36319307</v>
      </c>
    </row>
    <row r="1999" spans="16:17">
      <c r="P1999" s="12" t="s">
        <v>2301</v>
      </c>
      <c r="Q1999" s="12">
        <v>36319307</v>
      </c>
    </row>
    <row r="2000" spans="16:17">
      <c r="P2000" t="s">
        <v>2302</v>
      </c>
      <c r="Q2000">
        <v>25980677</v>
      </c>
    </row>
    <row r="2001" spans="16:17">
      <c r="P2001" s="12" t="s">
        <v>2303</v>
      </c>
      <c r="Q2001" s="12">
        <v>37998845</v>
      </c>
    </row>
    <row r="2002" spans="16:17">
      <c r="P2002" s="12" t="s">
        <v>2304</v>
      </c>
      <c r="Q2002" s="12">
        <v>37998845</v>
      </c>
    </row>
    <row r="2003" spans="16:17">
      <c r="P2003" s="12" t="s">
        <v>2305</v>
      </c>
      <c r="Q2003" s="12">
        <v>37998845</v>
      </c>
    </row>
    <row r="2004" spans="16:17">
      <c r="P2004" s="12" t="s">
        <v>878</v>
      </c>
      <c r="Q2004" s="12">
        <v>37998845</v>
      </c>
    </row>
    <row r="2005" spans="16:17">
      <c r="P2005" t="s">
        <v>2306</v>
      </c>
      <c r="Q2005" s="12">
        <v>42374194</v>
      </c>
    </row>
    <row r="2006" spans="16:17">
      <c r="P2006" t="s">
        <v>2307</v>
      </c>
      <c r="Q2006" s="12">
        <v>42374194</v>
      </c>
    </row>
    <row r="2007" spans="16:17">
      <c r="P2007" s="12" t="s">
        <v>2308</v>
      </c>
      <c r="Q2007" s="12">
        <v>42374194</v>
      </c>
    </row>
    <row r="2008" spans="16:17">
      <c r="P2008" s="12" t="s">
        <v>880</v>
      </c>
      <c r="Q2008" s="12">
        <v>42374194</v>
      </c>
    </row>
    <row r="2009" spans="16:17">
      <c r="P2009" t="s">
        <v>2309</v>
      </c>
      <c r="Q2009">
        <v>37536984</v>
      </c>
    </row>
    <row r="2010" spans="16:17">
      <c r="P2010" t="s">
        <v>2310</v>
      </c>
      <c r="Q2010">
        <v>37536984</v>
      </c>
    </row>
    <row r="2011" spans="16:17">
      <c r="P2011" s="12" t="s">
        <v>2311</v>
      </c>
      <c r="Q2011" s="12">
        <v>33972</v>
      </c>
    </row>
    <row r="2012" spans="16:17">
      <c r="P2012" t="s">
        <v>2312</v>
      </c>
      <c r="Q2012" s="12">
        <v>33972</v>
      </c>
    </row>
    <row r="2013" spans="16:17">
      <c r="P2013" s="12" t="s">
        <v>2313</v>
      </c>
      <c r="Q2013" s="12">
        <v>32678991</v>
      </c>
    </row>
    <row r="2014" spans="16:17">
      <c r="P2014" s="12" t="s">
        <v>2314</v>
      </c>
      <c r="Q2014" s="12">
        <v>32678991</v>
      </c>
    </row>
    <row r="2015" spans="16:17">
      <c r="P2015" s="12" t="s">
        <v>881</v>
      </c>
      <c r="Q2015" s="12">
        <v>32678991</v>
      </c>
    </row>
    <row r="2016" spans="16:17">
      <c r="P2016" s="12" t="s">
        <v>2315</v>
      </c>
      <c r="Q2016" s="12">
        <v>39271693</v>
      </c>
    </row>
    <row r="2017" spans="16:17">
      <c r="P2017" s="12" t="s">
        <v>883</v>
      </c>
      <c r="Q2017" s="12">
        <v>39271693</v>
      </c>
    </row>
    <row r="2018" spans="16:17">
      <c r="P2018" s="12" t="s">
        <v>2316</v>
      </c>
      <c r="Q2018" s="12">
        <v>39271693</v>
      </c>
    </row>
    <row r="2019" spans="16:17">
      <c r="P2019" s="12" t="s">
        <v>2317</v>
      </c>
      <c r="Q2019" s="12">
        <v>32623</v>
      </c>
    </row>
    <row r="2020" spans="16:17">
      <c r="P2020" t="s">
        <v>2318</v>
      </c>
      <c r="Q2020">
        <v>38862287</v>
      </c>
    </row>
    <row r="2021" spans="16:17">
      <c r="P2021" s="12" t="s">
        <v>2319</v>
      </c>
      <c r="Q2021" s="12">
        <v>18877428</v>
      </c>
    </row>
    <row r="2022" spans="16:17">
      <c r="P2022" s="12" t="s">
        <v>2320</v>
      </c>
      <c r="Q2022" s="12">
        <v>12909</v>
      </c>
    </row>
    <row r="2023" spans="16:17">
      <c r="P2023" s="12" t="s">
        <v>2321</v>
      </c>
      <c r="Q2023" s="12">
        <v>12909</v>
      </c>
    </row>
    <row r="2024" spans="16:17">
      <c r="P2024" t="s">
        <v>2322</v>
      </c>
      <c r="Q2024">
        <v>38862287</v>
      </c>
    </row>
    <row r="2025" spans="16:17">
      <c r="P2025" t="s">
        <v>2323</v>
      </c>
      <c r="Q2025">
        <v>38862287</v>
      </c>
    </row>
    <row r="2026" spans="16:17">
      <c r="P2026" t="s">
        <v>2324</v>
      </c>
      <c r="Q2026">
        <v>38862287</v>
      </c>
    </row>
    <row r="2027" spans="16:17">
      <c r="P2027" t="s">
        <v>2325</v>
      </c>
      <c r="Q2027">
        <v>38862287</v>
      </c>
    </row>
    <row r="2028" spans="16:17">
      <c r="P2028" s="12" t="s">
        <v>885</v>
      </c>
      <c r="Q2028" s="12">
        <v>18877428</v>
      </c>
    </row>
    <row r="2029" spans="16:17">
      <c r="P2029" s="12" t="s">
        <v>886</v>
      </c>
      <c r="Q2029" s="12">
        <v>12909</v>
      </c>
    </row>
    <row r="2030" spans="16:17">
      <c r="P2030" s="12" t="s">
        <v>2326</v>
      </c>
      <c r="Q2030" s="12">
        <v>12909</v>
      </c>
    </row>
    <row r="2031" spans="16:17">
      <c r="P2031" s="12" t="s">
        <v>2327</v>
      </c>
      <c r="Q2031" s="12">
        <v>12909</v>
      </c>
    </row>
    <row r="2032" spans="16:17">
      <c r="P2032" s="12" t="s">
        <v>2328</v>
      </c>
      <c r="Q2032" s="12">
        <v>12886</v>
      </c>
    </row>
    <row r="2033" spans="16:17">
      <c r="P2033" s="12" t="s">
        <v>2329</v>
      </c>
      <c r="Q2033" s="12">
        <v>44318354</v>
      </c>
    </row>
    <row r="2034" spans="16:17">
      <c r="P2034" s="12" t="s">
        <v>2330</v>
      </c>
      <c r="Q2034" s="12">
        <v>41437710</v>
      </c>
    </row>
    <row r="2035" spans="16:17">
      <c r="P2035" s="12" t="s">
        <v>887</v>
      </c>
      <c r="Q2035" s="12">
        <v>41437710</v>
      </c>
    </row>
    <row r="2036" spans="16:17">
      <c r="P2036" s="12" t="s">
        <v>2331</v>
      </c>
      <c r="Q2036" s="12">
        <v>39208627</v>
      </c>
    </row>
    <row r="2037" spans="16:17">
      <c r="P2037" s="12" t="s">
        <v>889</v>
      </c>
      <c r="Q2037" s="12">
        <v>12882</v>
      </c>
    </row>
    <row r="2038" spans="16:17">
      <c r="P2038" t="s">
        <v>2332</v>
      </c>
      <c r="Q2038" s="12">
        <v>12882</v>
      </c>
    </row>
    <row r="2039" spans="16:17">
      <c r="P2039" t="s">
        <v>2333</v>
      </c>
      <c r="Q2039">
        <v>37341342</v>
      </c>
    </row>
    <row r="2040" spans="16:17">
      <c r="P2040" s="12" t="s">
        <v>2334</v>
      </c>
      <c r="Q2040" s="12">
        <v>29382472</v>
      </c>
    </row>
    <row r="2041" spans="16:17">
      <c r="P2041" t="s">
        <v>2335</v>
      </c>
      <c r="Q2041">
        <v>37341342</v>
      </c>
    </row>
    <row r="2042" spans="16:17">
      <c r="P2042" t="s">
        <v>2336</v>
      </c>
      <c r="Q2042">
        <v>37341342</v>
      </c>
    </row>
    <row r="2043" spans="16:17">
      <c r="P2043" s="12" t="s">
        <v>2337</v>
      </c>
      <c r="Q2043" s="12">
        <v>29382472</v>
      </c>
    </row>
    <row r="2044" spans="16:17">
      <c r="P2044" s="12" t="s">
        <v>2338</v>
      </c>
      <c r="Q2044" s="12">
        <v>29382472</v>
      </c>
    </row>
    <row r="2045" spans="16:17">
      <c r="P2045" t="s">
        <v>2339</v>
      </c>
      <c r="Q2045" s="12">
        <v>29382472</v>
      </c>
    </row>
    <row r="2046" spans="16:17">
      <c r="P2046" t="s">
        <v>2340</v>
      </c>
      <c r="Q2046" s="12">
        <v>29382472</v>
      </c>
    </row>
    <row r="2047" spans="16:17">
      <c r="P2047" t="s">
        <v>2341</v>
      </c>
      <c r="Q2047" s="12">
        <v>36895794</v>
      </c>
    </row>
    <row r="2048" spans="16:17">
      <c r="P2048" s="12" t="s">
        <v>2342</v>
      </c>
      <c r="Q2048" s="12">
        <v>36895794</v>
      </c>
    </row>
    <row r="2049" spans="16:17">
      <c r="P2049" s="12" t="s">
        <v>891</v>
      </c>
      <c r="Q2049" s="12">
        <v>39874176</v>
      </c>
    </row>
    <row r="2050" spans="16:17">
      <c r="P2050" t="s">
        <v>2343</v>
      </c>
      <c r="Q2050" s="12">
        <v>38167064</v>
      </c>
    </row>
    <row r="2051" spans="16:17">
      <c r="P2051" t="s">
        <v>2344</v>
      </c>
      <c r="Q2051">
        <v>45012070</v>
      </c>
    </row>
    <row r="2052" spans="16:17">
      <c r="P2052" s="12" t="s">
        <v>2345</v>
      </c>
      <c r="Q2052" s="12">
        <v>45012070</v>
      </c>
    </row>
    <row r="2053" spans="16:17">
      <c r="P2053" s="12" t="s">
        <v>893</v>
      </c>
      <c r="Q2053" s="12">
        <v>45012070</v>
      </c>
    </row>
    <row r="2054" spans="16:17">
      <c r="P2054" s="12" t="s">
        <v>2346</v>
      </c>
      <c r="Q2054" s="12">
        <v>45012070</v>
      </c>
    </row>
    <row r="2055" spans="16:17">
      <c r="P2055" s="12" t="s">
        <v>2347</v>
      </c>
      <c r="Q2055" s="12">
        <v>41571700</v>
      </c>
    </row>
    <row r="2056" spans="16:17">
      <c r="P2056" s="12" t="s">
        <v>894</v>
      </c>
      <c r="Q2056" s="12">
        <v>12483</v>
      </c>
    </row>
    <row r="2057" spans="16:17">
      <c r="P2057" s="12" t="s">
        <v>2348</v>
      </c>
      <c r="Q2057" s="12">
        <v>34409</v>
      </c>
    </row>
    <row r="2058" spans="16:17">
      <c r="P2058" t="s">
        <v>2349</v>
      </c>
      <c r="Q2058" s="12">
        <v>34409</v>
      </c>
    </row>
    <row r="2059" spans="16:17">
      <c r="P2059" s="12" t="s">
        <v>2350</v>
      </c>
      <c r="Q2059" s="12">
        <v>34409</v>
      </c>
    </row>
    <row r="2060" spans="16:17">
      <c r="P2060" s="12" t="s">
        <v>2351</v>
      </c>
      <c r="Q2060" s="12">
        <v>31813888</v>
      </c>
    </row>
    <row r="2061" spans="16:17">
      <c r="P2061" s="12" t="s">
        <v>896</v>
      </c>
      <c r="Q2061" s="12">
        <v>41548408</v>
      </c>
    </row>
    <row r="2062" spans="16:17">
      <c r="P2062" s="12" t="s">
        <v>2352</v>
      </c>
      <c r="Q2062" s="12">
        <v>41548408</v>
      </c>
    </row>
    <row r="2063" spans="16:17">
      <c r="P2063" s="12" t="s">
        <v>2353</v>
      </c>
      <c r="Q2063" s="12">
        <v>29635735</v>
      </c>
    </row>
    <row r="2064" spans="16:17">
      <c r="P2064" s="12" t="s">
        <v>897</v>
      </c>
      <c r="Q2064" s="12">
        <v>29635735</v>
      </c>
    </row>
    <row r="2065" spans="16:17">
      <c r="P2065" s="12" t="s">
        <v>2354</v>
      </c>
      <c r="Q2065" s="12">
        <v>44698457</v>
      </c>
    </row>
    <row r="2066" spans="16:17">
      <c r="P2066" s="12" t="s">
        <v>899</v>
      </c>
      <c r="Q2066" s="12">
        <v>45286302</v>
      </c>
    </row>
    <row r="2067" spans="16:17">
      <c r="P2067" s="12" t="s">
        <v>2355</v>
      </c>
      <c r="Q2067" s="12">
        <v>39035680</v>
      </c>
    </row>
    <row r="2068" spans="16:17">
      <c r="P2068" s="12" t="s">
        <v>2356</v>
      </c>
      <c r="Q2068" s="12">
        <v>95728568</v>
      </c>
    </row>
    <row r="2069" spans="16:17">
      <c r="P2069" s="12" t="s">
        <v>2357</v>
      </c>
      <c r="Q2069" s="12">
        <v>95728568</v>
      </c>
    </row>
    <row r="2070" spans="16:17">
      <c r="P2070" s="12" t="s">
        <v>2358</v>
      </c>
      <c r="Q2070" s="12">
        <v>95728568</v>
      </c>
    </row>
    <row r="2071" spans="16:17">
      <c r="P2071" s="12" t="s">
        <v>901</v>
      </c>
      <c r="Q2071" s="12">
        <v>95728568</v>
      </c>
    </row>
    <row r="2072" spans="16:17">
      <c r="P2072" s="12" t="s">
        <v>2359</v>
      </c>
      <c r="Q2072" s="12">
        <v>95728568</v>
      </c>
    </row>
    <row r="2073" spans="16:17">
      <c r="P2073" s="12" t="s">
        <v>2360</v>
      </c>
      <c r="Q2073" s="12">
        <v>12896</v>
      </c>
    </row>
    <row r="2074" spans="16:17">
      <c r="P2074" s="12" t="s">
        <v>903</v>
      </c>
      <c r="Q2074" s="12">
        <v>12896</v>
      </c>
    </row>
    <row r="2075" spans="16:17">
      <c r="P2075" s="12" t="s">
        <v>2361</v>
      </c>
      <c r="Q2075" s="12">
        <v>39641986</v>
      </c>
    </row>
    <row r="2076" spans="16:17">
      <c r="P2076" s="12" t="s">
        <v>904</v>
      </c>
      <c r="Q2076" s="12">
        <v>39641986</v>
      </c>
    </row>
    <row r="2077" spans="16:17">
      <c r="P2077" s="12" t="s">
        <v>2362</v>
      </c>
      <c r="Q2077" s="12">
        <v>12624</v>
      </c>
    </row>
    <row r="2078" spans="16:17">
      <c r="P2078" s="12" t="s">
        <v>2363</v>
      </c>
      <c r="Q2078" s="12">
        <v>33850293</v>
      </c>
    </row>
    <row r="2079" spans="16:17">
      <c r="P2079" s="12" t="s">
        <v>2364</v>
      </c>
      <c r="Q2079" s="12">
        <v>45926785</v>
      </c>
    </row>
    <row r="2080" spans="16:17">
      <c r="P2080" s="12" t="s">
        <v>906</v>
      </c>
      <c r="Q2080" s="12">
        <v>42364427</v>
      </c>
    </row>
    <row r="2081" spans="16:17">
      <c r="P2081" s="12" t="s">
        <v>2365</v>
      </c>
      <c r="Q2081" s="12">
        <v>42364427</v>
      </c>
    </row>
    <row r="2082" spans="16:17">
      <c r="P2082" s="12" t="s">
        <v>2366</v>
      </c>
      <c r="Q2082" s="12">
        <v>46438246</v>
      </c>
    </row>
    <row r="2083" spans="16:17">
      <c r="P2083" t="s">
        <v>2367</v>
      </c>
      <c r="Q2083">
        <v>29157382</v>
      </c>
    </row>
    <row r="2084" spans="16:17">
      <c r="P2084" t="s">
        <v>2368</v>
      </c>
      <c r="Q2084">
        <v>29157382</v>
      </c>
    </row>
    <row r="2085" spans="16:17">
      <c r="P2085" t="s">
        <v>2369</v>
      </c>
      <c r="Q2085" s="12">
        <v>46438246</v>
      </c>
    </row>
    <row r="2086" spans="16:17">
      <c r="P2086" s="12" t="s">
        <v>2370</v>
      </c>
      <c r="Q2086" s="12">
        <v>46438246</v>
      </c>
    </row>
    <row r="2087" spans="16:17">
      <c r="P2087" s="12" t="s">
        <v>2371</v>
      </c>
      <c r="Q2087" s="12">
        <v>46438246</v>
      </c>
    </row>
    <row r="2088" spans="16:17">
      <c r="P2088" s="12" t="s">
        <v>2372</v>
      </c>
      <c r="Q2088" s="12">
        <v>46438246</v>
      </c>
    </row>
    <row r="2089" spans="16:17">
      <c r="P2089" s="12" t="s">
        <v>2373</v>
      </c>
      <c r="Q2089" s="12">
        <v>40734360</v>
      </c>
    </row>
    <row r="2090" spans="16:17">
      <c r="P2090" s="12" t="s">
        <v>2374</v>
      </c>
      <c r="Q2090" s="12">
        <v>40734360</v>
      </c>
    </row>
    <row r="2091" spans="16:17">
      <c r="P2091" s="12" t="s">
        <v>2375</v>
      </c>
      <c r="Q2091" s="12">
        <v>92392136</v>
      </c>
    </row>
    <row r="2092" spans="16:17">
      <c r="P2092" s="12" t="s">
        <v>908</v>
      </c>
      <c r="Q2092" s="12">
        <v>41898391</v>
      </c>
    </row>
    <row r="2093" spans="16:17">
      <c r="P2093" s="12" t="s">
        <v>2376</v>
      </c>
      <c r="Q2093" s="12">
        <v>41898391</v>
      </c>
    </row>
    <row r="2094" spans="16:17">
      <c r="P2094" s="12" t="s">
        <v>2377</v>
      </c>
      <c r="Q2094" s="12">
        <v>12854</v>
      </c>
    </row>
    <row r="2095" spans="16:17">
      <c r="P2095" s="12" t="s">
        <v>2378</v>
      </c>
      <c r="Q2095" s="12">
        <v>39406154</v>
      </c>
    </row>
    <row r="2096" spans="16:17">
      <c r="P2096" s="12" t="s">
        <v>909</v>
      </c>
      <c r="Q2096" s="12">
        <v>39406154</v>
      </c>
    </row>
    <row r="2097" spans="16:17">
      <c r="P2097" s="12" t="s">
        <v>2379</v>
      </c>
      <c r="Q2097" s="12">
        <v>39406154</v>
      </c>
    </row>
    <row r="2098" spans="16:17">
      <c r="P2098" s="12" t="s">
        <v>2380</v>
      </c>
      <c r="Q2098" s="12">
        <v>39406154</v>
      </c>
    </row>
    <row r="2099" spans="16:17">
      <c r="P2099" s="12" t="s">
        <v>2381</v>
      </c>
      <c r="Q2099" s="12">
        <v>36763540</v>
      </c>
    </row>
    <row r="2100" spans="16:17">
      <c r="P2100" s="12" t="s">
        <v>911</v>
      </c>
      <c r="Q2100" s="12">
        <v>36763540</v>
      </c>
    </row>
    <row r="2101" spans="16:17">
      <c r="P2101" s="12" t="s">
        <v>2382</v>
      </c>
      <c r="Q2101" s="12">
        <v>36763540</v>
      </c>
    </row>
    <row r="2102" spans="16:17">
      <c r="P2102" s="12" t="s">
        <v>2383</v>
      </c>
      <c r="Q2102" s="12">
        <v>36763540</v>
      </c>
    </row>
    <row r="2103" spans="16:17">
      <c r="P2103" s="12" t="s">
        <v>2384</v>
      </c>
      <c r="Q2103" s="12">
        <v>45924948</v>
      </c>
    </row>
    <row r="2104" spans="16:17">
      <c r="P2104" t="s">
        <v>2385</v>
      </c>
      <c r="Q2104" s="12">
        <v>96200093</v>
      </c>
    </row>
    <row r="2105" spans="16:17">
      <c r="P2105" s="12" t="s">
        <v>2386</v>
      </c>
      <c r="Q2105" s="12">
        <v>96200093</v>
      </c>
    </row>
    <row r="2106" spans="16:17">
      <c r="P2106" t="s">
        <v>2387</v>
      </c>
      <c r="Q2106" s="12">
        <v>96200093</v>
      </c>
    </row>
    <row r="2107" spans="16:17">
      <c r="P2107" s="12" t="s">
        <v>2388</v>
      </c>
      <c r="Q2107" s="12">
        <v>96200093</v>
      </c>
    </row>
    <row r="2108" spans="16:17">
      <c r="P2108" t="s">
        <v>2389</v>
      </c>
      <c r="Q2108" s="12">
        <v>96200093</v>
      </c>
    </row>
    <row r="2109" spans="16:17">
      <c r="P2109" s="12" t="s">
        <v>2390</v>
      </c>
      <c r="Q2109" s="12">
        <v>43987705</v>
      </c>
    </row>
    <row r="2110" spans="16:17">
      <c r="P2110" s="12" t="s">
        <v>2391</v>
      </c>
      <c r="Q2110" s="12">
        <v>21498562</v>
      </c>
    </row>
    <row r="2111" spans="16:17">
      <c r="P2111" s="12" t="s">
        <v>2392</v>
      </c>
      <c r="Q2111" s="12">
        <v>28612204</v>
      </c>
    </row>
    <row r="2112" spans="16:17">
      <c r="P2112" t="s">
        <v>2393</v>
      </c>
      <c r="Q2112">
        <v>47202075</v>
      </c>
    </row>
    <row r="2113" spans="16:17">
      <c r="P2113" t="s">
        <v>2394</v>
      </c>
      <c r="Q2113">
        <v>46421021</v>
      </c>
    </row>
    <row r="2114" spans="16:17">
      <c r="P2114" s="12" t="s">
        <v>2395</v>
      </c>
      <c r="Q2114" s="12">
        <v>12149</v>
      </c>
    </row>
    <row r="2115" spans="16:17">
      <c r="P2115" t="s">
        <v>2396</v>
      </c>
      <c r="Q2115">
        <v>40127613</v>
      </c>
    </row>
    <row r="2116" spans="16:17">
      <c r="P2116" s="12" t="s">
        <v>2397</v>
      </c>
      <c r="Q2116" s="12">
        <v>30211897</v>
      </c>
    </row>
    <row r="2117" spans="16:17">
      <c r="P2117" s="12" t="s">
        <v>913</v>
      </c>
      <c r="Q2117" s="12">
        <v>41837088</v>
      </c>
    </row>
    <row r="2118" spans="16:17">
      <c r="P2118" s="12" t="s">
        <v>2398</v>
      </c>
      <c r="Q2118" s="12">
        <v>30825</v>
      </c>
    </row>
    <row r="2119" spans="16:17">
      <c r="P2119" s="12" t="s">
        <v>2399</v>
      </c>
      <c r="Q2119" s="12">
        <v>12667</v>
      </c>
    </row>
    <row r="2120" spans="16:17">
      <c r="P2120" s="12" t="s">
        <v>915</v>
      </c>
      <c r="Q2120" s="12">
        <v>12667</v>
      </c>
    </row>
    <row r="2121" spans="16:17">
      <c r="P2121" s="12" t="s">
        <v>2400</v>
      </c>
      <c r="Q2121" s="12">
        <v>12910</v>
      </c>
    </row>
    <row r="2122" spans="16:17">
      <c r="P2122" s="12" t="s">
        <v>2401</v>
      </c>
      <c r="Q2122" s="12">
        <v>12856</v>
      </c>
    </row>
    <row r="2123" spans="16:17">
      <c r="P2123" s="12" t="s">
        <v>916</v>
      </c>
      <c r="Q2123" s="12">
        <v>12856</v>
      </c>
    </row>
    <row r="2124" spans="16:17">
      <c r="P2124" s="12" t="s">
        <v>918</v>
      </c>
      <c r="Q2124" s="12">
        <v>13499</v>
      </c>
    </row>
    <row r="2125" spans="16:17">
      <c r="P2125" s="12" t="s">
        <v>2402</v>
      </c>
      <c r="Q2125" s="12">
        <v>13499</v>
      </c>
    </row>
    <row r="2126" spans="16:17">
      <c r="P2126" s="12" t="s">
        <v>2403</v>
      </c>
      <c r="Q2126" s="12">
        <v>37009508</v>
      </c>
    </row>
    <row r="2127" spans="16:17">
      <c r="P2127" t="s">
        <v>2404</v>
      </c>
      <c r="Q2127">
        <v>39761723</v>
      </c>
    </row>
    <row r="2128" spans="16:17">
      <c r="P2128" t="s">
        <v>2405</v>
      </c>
      <c r="Q2128">
        <v>39761723</v>
      </c>
    </row>
    <row r="2129" spans="16:17">
      <c r="P2129" s="12" t="s">
        <v>2406</v>
      </c>
      <c r="Q2129" s="12">
        <v>47113903</v>
      </c>
    </row>
    <row r="2130" spans="16:17">
      <c r="P2130" s="12" t="s">
        <v>2407</v>
      </c>
      <c r="Q2130" s="12">
        <v>47113903</v>
      </c>
    </row>
    <row r="2131" spans="16:17">
      <c r="P2131" t="s">
        <v>2408</v>
      </c>
      <c r="Q2131">
        <v>46703748</v>
      </c>
    </row>
    <row r="2132" spans="16:17">
      <c r="P2132" t="s">
        <v>2409</v>
      </c>
      <c r="Q2132">
        <v>46703748</v>
      </c>
    </row>
    <row r="2133" spans="16:17">
      <c r="P2133" t="s">
        <v>2410</v>
      </c>
      <c r="Q2133">
        <v>46703748</v>
      </c>
    </row>
    <row r="2134" spans="16:17">
      <c r="P2134" t="s">
        <v>2411</v>
      </c>
      <c r="Q2134">
        <v>46703748</v>
      </c>
    </row>
    <row r="2135" spans="16:17">
      <c r="P2135" s="12" t="s">
        <v>2412</v>
      </c>
      <c r="Q2135" s="12">
        <v>95840662</v>
      </c>
    </row>
    <row r="2136" spans="16:17">
      <c r="P2136" t="s">
        <v>2413</v>
      </c>
      <c r="Q2136" s="12">
        <v>38404516</v>
      </c>
    </row>
    <row r="2137" spans="16:17">
      <c r="P2137" s="12" t="s">
        <v>2414</v>
      </c>
      <c r="Q2137" s="12">
        <v>38404516</v>
      </c>
    </row>
    <row r="2138" spans="16:17">
      <c r="P2138" t="s">
        <v>2415</v>
      </c>
      <c r="Q2138" s="12">
        <v>38404516</v>
      </c>
    </row>
    <row r="2139" spans="16:17">
      <c r="P2139" s="12" t="s">
        <v>2416</v>
      </c>
      <c r="Q2139" s="12">
        <v>38404516</v>
      </c>
    </row>
    <row r="2140" spans="16:17">
      <c r="P2140" t="s">
        <v>2417</v>
      </c>
      <c r="Q2140" s="12">
        <v>38404516</v>
      </c>
    </row>
    <row r="2141" spans="16:17">
      <c r="P2141" s="12" t="s">
        <v>2418</v>
      </c>
      <c r="Q2141" s="12">
        <v>43721131</v>
      </c>
    </row>
    <row r="2142" spans="16:17">
      <c r="P2142" s="12" t="s">
        <v>922</v>
      </c>
      <c r="Q2142" s="12">
        <v>43721131</v>
      </c>
    </row>
    <row r="2143" spans="16:17">
      <c r="P2143" s="12" t="s">
        <v>2419</v>
      </c>
      <c r="Q2143" s="12">
        <v>38404516</v>
      </c>
    </row>
    <row r="2144" spans="16:17">
      <c r="P2144" s="12" t="s">
        <v>2420</v>
      </c>
      <c r="Q2144" s="12">
        <v>13456</v>
      </c>
    </row>
    <row r="2145" spans="16:17">
      <c r="P2145" t="s">
        <v>2421</v>
      </c>
      <c r="Q2145" s="12">
        <v>31821827</v>
      </c>
    </row>
    <row r="2146" spans="16:17">
      <c r="P2146" t="s">
        <v>2422</v>
      </c>
      <c r="Q2146" s="12">
        <v>31821827</v>
      </c>
    </row>
    <row r="2147" spans="16:17">
      <c r="P2147" s="12" t="s">
        <v>2423</v>
      </c>
      <c r="Q2147" s="12">
        <v>31821827</v>
      </c>
    </row>
    <row r="2148" spans="16:17">
      <c r="P2148" t="s">
        <v>2424</v>
      </c>
      <c r="Q2148" s="12">
        <v>31821827</v>
      </c>
    </row>
    <row r="2149" spans="16:17">
      <c r="P2149" s="12" t="s">
        <v>2425</v>
      </c>
      <c r="Q2149" s="12">
        <v>31821827</v>
      </c>
    </row>
    <row r="2150" spans="16:17">
      <c r="P2150" s="12" t="s">
        <v>924</v>
      </c>
      <c r="Q2150" s="12">
        <v>31821827</v>
      </c>
    </row>
    <row r="2151" spans="16:17">
      <c r="P2151" s="12" t="s">
        <v>2426</v>
      </c>
      <c r="Q2151" s="12">
        <v>40130611</v>
      </c>
    </row>
    <row r="2152" spans="16:17">
      <c r="P2152" s="12" t="s">
        <v>2427</v>
      </c>
      <c r="Q2152" s="12">
        <v>38674710</v>
      </c>
    </row>
    <row r="2153" spans="16:17">
      <c r="P2153" s="12" t="s">
        <v>926</v>
      </c>
      <c r="Q2153" s="12">
        <v>40397132</v>
      </c>
    </row>
    <row r="2154" spans="16:17">
      <c r="P2154" s="12" t="s">
        <v>927</v>
      </c>
      <c r="Q2154" s="12">
        <v>42246662</v>
      </c>
    </row>
    <row r="2155" spans="16:17">
      <c r="P2155" s="12" t="s">
        <v>2428</v>
      </c>
      <c r="Q2155" s="12">
        <v>42246662</v>
      </c>
    </row>
    <row r="2156" spans="16:17">
      <c r="P2156" s="12" t="s">
        <v>2429</v>
      </c>
      <c r="Q2156" s="12">
        <v>11683</v>
      </c>
    </row>
    <row r="2157" spans="16:17">
      <c r="P2157" s="12" t="s">
        <v>2430</v>
      </c>
      <c r="Q2157" s="12">
        <v>11683</v>
      </c>
    </row>
    <row r="2158" spans="16:17">
      <c r="P2158" s="12" t="s">
        <v>929</v>
      </c>
      <c r="Q2158" s="12">
        <v>11683</v>
      </c>
    </row>
    <row r="2159" spans="16:17">
      <c r="P2159" s="12" t="s">
        <v>2431</v>
      </c>
      <c r="Q2159" s="12">
        <v>30463210</v>
      </c>
    </row>
    <row r="2160" spans="16:17">
      <c r="P2160" t="s">
        <v>2432</v>
      </c>
      <c r="Q2160">
        <v>46749945</v>
      </c>
    </row>
    <row r="2161" spans="16:17">
      <c r="P2161" t="s">
        <v>2433</v>
      </c>
      <c r="Q2161">
        <v>46749945</v>
      </c>
    </row>
    <row r="2162" spans="16:17">
      <c r="P2162" t="s">
        <v>2434</v>
      </c>
      <c r="Q2162">
        <v>46749945</v>
      </c>
    </row>
    <row r="2163" spans="16:17">
      <c r="P2163" t="s">
        <v>2435</v>
      </c>
      <c r="Q2163">
        <v>46749945</v>
      </c>
    </row>
    <row r="2164" spans="16:17">
      <c r="P2164" s="12" t="s">
        <v>2436</v>
      </c>
      <c r="Q2164" s="12">
        <v>45416022</v>
      </c>
    </row>
    <row r="2165" spans="16:17">
      <c r="P2165" s="12" t="s">
        <v>2437</v>
      </c>
      <c r="Q2165" s="12">
        <v>13570</v>
      </c>
    </row>
    <row r="2166" spans="16:17">
      <c r="P2166" s="12" t="s">
        <v>931</v>
      </c>
      <c r="Q2166" s="12">
        <v>13570</v>
      </c>
    </row>
    <row r="2167" spans="16:17">
      <c r="P2167" s="12" t="s">
        <v>2438</v>
      </c>
      <c r="Q2167" s="12">
        <v>13570</v>
      </c>
    </row>
    <row r="2168" spans="16:17">
      <c r="P2168" t="s">
        <v>2439</v>
      </c>
      <c r="Q2168">
        <v>35761085</v>
      </c>
    </row>
    <row r="2169" spans="16:17">
      <c r="P2169" t="s">
        <v>2440</v>
      </c>
      <c r="Q2169">
        <v>35761085</v>
      </c>
    </row>
    <row r="2170" spans="16:17">
      <c r="P2170" s="12" t="s">
        <v>2441</v>
      </c>
      <c r="Q2170" s="12">
        <v>31651283</v>
      </c>
    </row>
    <row r="2171" spans="16:17">
      <c r="P2171" s="12" t="s">
        <v>933</v>
      </c>
      <c r="Q2171" s="12">
        <v>31651283</v>
      </c>
    </row>
    <row r="2172" spans="16:17">
      <c r="P2172" s="12" t="s">
        <v>2442</v>
      </c>
      <c r="Q2172" s="12">
        <v>20606477</v>
      </c>
    </row>
    <row r="2173" spans="16:17">
      <c r="P2173" t="s">
        <v>2443</v>
      </c>
      <c r="Q2173">
        <v>45623522</v>
      </c>
    </row>
    <row r="2174" spans="16:17">
      <c r="P2174" t="s">
        <v>2444</v>
      </c>
      <c r="Q2174">
        <v>45623522</v>
      </c>
    </row>
    <row r="2175" spans="16:17">
      <c r="P2175" t="s">
        <v>2445</v>
      </c>
      <c r="Q2175">
        <v>45623522</v>
      </c>
    </row>
    <row r="2176" spans="16:17">
      <c r="P2176" s="12" t="s">
        <v>2446</v>
      </c>
      <c r="Q2176" s="12">
        <v>43781680</v>
      </c>
    </row>
    <row r="2177" spans="16:17">
      <c r="P2177" s="12" t="s">
        <v>935</v>
      </c>
      <c r="Q2177" s="12">
        <v>43781680</v>
      </c>
    </row>
    <row r="2178" spans="16:17">
      <c r="P2178" s="12" t="s">
        <v>2447</v>
      </c>
      <c r="Q2178" s="12">
        <v>43781680</v>
      </c>
    </row>
    <row r="2179" spans="16:17">
      <c r="P2179" s="12" t="s">
        <v>2448</v>
      </c>
      <c r="Q2179" s="12">
        <v>45924948</v>
      </c>
    </row>
    <row r="2180" spans="16:17">
      <c r="P2180" s="12" t="s">
        <v>2449</v>
      </c>
      <c r="Q2180" s="12">
        <v>35419741</v>
      </c>
    </row>
    <row r="2181" spans="16:17">
      <c r="P2181" s="12" t="s">
        <v>2450</v>
      </c>
      <c r="Q2181" s="12">
        <v>35419741</v>
      </c>
    </row>
    <row r="2182" spans="16:17">
      <c r="P2182" s="12" t="s">
        <v>2451</v>
      </c>
      <c r="Q2182" s="12">
        <v>35419741</v>
      </c>
    </row>
    <row r="2183" spans="16:17">
      <c r="P2183" s="12" t="s">
        <v>2452</v>
      </c>
      <c r="Q2183" s="12" t="s">
        <v>523</v>
      </c>
    </row>
    <row r="2184" spans="16:17">
      <c r="P2184" s="12" t="s">
        <v>937</v>
      </c>
      <c r="Q2184" s="12">
        <v>42368343</v>
      </c>
    </row>
    <row r="2185" spans="16:17">
      <c r="P2185" s="12" t="s">
        <v>2453</v>
      </c>
      <c r="Q2185" s="12">
        <v>41469251</v>
      </c>
    </row>
    <row r="2186" spans="16:17">
      <c r="P2186" s="12" t="s">
        <v>2454</v>
      </c>
      <c r="Q2186" s="12">
        <v>41028531</v>
      </c>
    </row>
    <row r="2187" spans="16:17">
      <c r="P2187" s="12" t="s">
        <v>2455</v>
      </c>
      <c r="Q2187" s="12">
        <v>41137015</v>
      </c>
    </row>
    <row r="2188" spans="16:17">
      <c r="P2188" s="12" t="s">
        <v>2456</v>
      </c>
      <c r="Q2188" s="12">
        <v>41137015</v>
      </c>
    </row>
    <row r="2189" spans="16:17">
      <c r="P2189" s="12" t="s">
        <v>939</v>
      </c>
      <c r="Q2189" s="12">
        <v>41137015</v>
      </c>
    </row>
    <row r="2190" spans="16:17">
      <c r="P2190" t="s">
        <v>2457</v>
      </c>
      <c r="Q2190">
        <v>45324330</v>
      </c>
    </row>
    <row r="2191" spans="16:17">
      <c r="P2191" t="s">
        <v>2458</v>
      </c>
      <c r="Q2191">
        <v>45324330</v>
      </c>
    </row>
    <row r="2192" spans="16:17">
      <c r="P2192" s="12" t="s">
        <v>2459</v>
      </c>
      <c r="Q2192" s="12">
        <v>44491444</v>
      </c>
    </row>
    <row r="2193" spans="16:17">
      <c r="P2193" s="12" t="s">
        <v>2460</v>
      </c>
      <c r="Q2193" s="12">
        <v>44491444</v>
      </c>
    </row>
    <row r="2194" spans="16:17">
      <c r="P2194" s="12" t="s">
        <v>2461</v>
      </c>
      <c r="Q2194" s="12">
        <v>44491444</v>
      </c>
    </row>
    <row r="2195" spans="16:17">
      <c r="P2195" s="12" t="s">
        <v>941</v>
      </c>
      <c r="Q2195" s="12">
        <v>44491444</v>
      </c>
    </row>
    <row r="2196" spans="16:17">
      <c r="P2196" t="s">
        <v>2462</v>
      </c>
      <c r="Q2196">
        <v>43032360</v>
      </c>
    </row>
    <row r="2197" spans="16:17">
      <c r="P2197" t="s">
        <v>2463</v>
      </c>
      <c r="Q2197">
        <v>43032360</v>
      </c>
    </row>
    <row r="2198" spans="16:17">
      <c r="P2198" t="s">
        <v>2464</v>
      </c>
      <c r="Q2198">
        <v>43032360</v>
      </c>
    </row>
    <row r="2199" spans="16:17">
      <c r="P2199" t="s">
        <v>2465</v>
      </c>
      <c r="Q2199">
        <v>43032360</v>
      </c>
    </row>
    <row r="2200" spans="16:17">
      <c r="P2200" t="s">
        <v>2466</v>
      </c>
      <c r="Q2200">
        <v>43032360</v>
      </c>
    </row>
    <row r="2201" spans="16:17">
      <c r="P2201" s="12" t="s">
        <v>2467</v>
      </c>
      <c r="Q2201" s="12">
        <v>45924948</v>
      </c>
    </row>
    <row r="2202" spans="16:17">
      <c r="P2202" s="12" t="s">
        <v>2468</v>
      </c>
      <c r="Q2202" s="12">
        <v>45924948</v>
      </c>
    </row>
    <row r="2203" spans="16:17">
      <c r="P2203" s="12" t="s">
        <v>2469</v>
      </c>
      <c r="Q2203" s="12">
        <v>45924948</v>
      </c>
    </row>
    <row r="2204" spans="16:17">
      <c r="P2204" s="12" t="s">
        <v>2470</v>
      </c>
      <c r="Q2204" s="12">
        <v>37989460</v>
      </c>
    </row>
    <row r="2205" spans="16:17">
      <c r="P2205" s="12" t="s">
        <v>942</v>
      </c>
      <c r="Q2205" s="12">
        <v>37989460</v>
      </c>
    </row>
    <row r="2206" spans="16:17">
      <c r="P2206" s="12" t="s">
        <v>2471</v>
      </c>
      <c r="Q2206" s="12">
        <v>88337</v>
      </c>
    </row>
    <row r="2207" spans="16:17">
      <c r="P2207" s="12" t="s">
        <v>943</v>
      </c>
      <c r="Q2207" s="12">
        <v>88337</v>
      </c>
    </row>
    <row r="2208" spans="16:17">
      <c r="P2208" s="12" t="s">
        <v>945</v>
      </c>
      <c r="Q2208" s="12">
        <v>46089146</v>
      </c>
    </row>
    <row r="2209" spans="16:17">
      <c r="P2209" s="12" t="s">
        <v>947</v>
      </c>
      <c r="Q2209" s="12">
        <v>40835168</v>
      </c>
    </row>
    <row r="2210" spans="16:17">
      <c r="P2210" t="s">
        <v>2472</v>
      </c>
      <c r="Q2210">
        <v>38319746</v>
      </c>
    </row>
    <row r="2211" spans="16:17">
      <c r="P2211" t="s">
        <v>2473</v>
      </c>
      <c r="Q2211">
        <v>38319746</v>
      </c>
    </row>
    <row r="2212" spans="16:17">
      <c r="P2212" s="12" t="s">
        <v>2474</v>
      </c>
      <c r="Q2212" s="12">
        <v>42193349</v>
      </c>
    </row>
    <row r="2213" spans="16:17">
      <c r="P2213" s="12" t="s">
        <v>2475</v>
      </c>
      <c r="Q2213" s="12">
        <v>42193349</v>
      </c>
    </row>
    <row r="2214" spans="16:17">
      <c r="P2214" s="12" t="s">
        <v>949</v>
      </c>
      <c r="Q2214" s="12">
        <v>42193349</v>
      </c>
    </row>
    <row r="2215" spans="16:17">
      <c r="P2215" s="12" t="s">
        <v>2476</v>
      </c>
      <c r="Q2215" s="12">
        <v>42193349</v>
      </c>
    </row>
    <row r="2216" spans="16:17">
      <c r="P2216" t="s">
        <v>2477</v>
      </c>
      <c r="Q2216">
        <v>39352890</v>
      </c>
    </row>
    <row r="2217" spans="16:17">
      <c r="P2217" t="s">
        <v>2478</v>
      </c>
      <c r="Q2217">
        <v>39352890</v>
      </c>
    </row>
    <row r="2218" spans="16:17">
      <c r="P2218" t="s">
        <v>2479</v>
      </c>
      <c r="Q2218">
        <v>39352890</v>
      </c>
    </row>
    <row r="2219" spans="16:17">
      <c r="P2219" t="s">
        <v>2480</v>
      </c>
      <c r="Q2219">
        <v>39352890</v>
      </c>
    </row>
    <row r="2220" spans="16:17">
      <c r="P2220" t="s">
        <v>2481</v>
      </c>
      <c r="Q2220">
        <v>39352890</v>
      </c>
    </row>
    <row r="2221" spans="16:17">
      <c r="P2221" t="s">
        <v>2482</v>
      </c>
      <c r="Q2221" s="12">
        <v>35092747</v>
      </c>
    </row>
    <row r="2222" spans="16:17">
      <c r="P2222" s="12" t="s">
        <v>951</v>
      </c>
      <c r="Q2222" s="12">
        <v>35092747</v>
      </c>
    </row>
    <row r="2223" spans="16:17">
      <c r="P2223" s="12" t="s">
        <v>2483</v>
      </c>
      <c r="Q2223" s="12">
        <v>35092747</v>
      </c>
    </row>
    <row r="2224" spans="16:17">
      <c r="P2224" t="s">
        <v>2484</v>
      </c>
      <c r="Q2224">
        <v>25413482</v>
      </c>
    </row>
    <row r="2225" spans="16:17">
      <c r="P2225" t="s">
        <v>2485</v>
      </c>
      <c r="Q2225">
        <v>25413482</v>
      </c>
    </row>
    <row r="2226" spans="16:17">
      <c r="P2226" t="s">
        <v>2486</v>
      </c>
      <c r="Q2226">
        <v>25413482</v>
      </c>
    </row>
    <row r="2227" spans="16:17">
      <c r="P2227" s="12" t="s">
        <v>2487</v>
      </c>
      <c r="Q2227" s="12">
        <v>33689</v>
      </c>
    </row>
    <row r="2228" spans="16:17">
      <c r="P2228" s="12" t="s">
        <v>953</v>
      </c>
      <c r="Q2228" s="12">
        <v>33689</v>
      </c>
    </row>
    <row r="2229" spans="16:17">
      <c r="P2229" s="12" t="s">
        <v>2488</v>
      </c>
      <c r="Q2229" s="12">
        <v>41551914</v>
      </c>
    </row>
    <row r="2230" spans="16:17">
      <c r="P2230" s="12" t="s">
        <v>954</v>
      </c>
      <c r="Q2230" s="12">
        <v>41551914</v>
      </c>
    </row>
    <row r="2231" spans="16:17">
      <c r="P2231" t="s">
        <v>2489</v>
      </c>
      <c r="Q2231" s="12">
        <v>41551914</v>
      </c>
    </row>
    <row r="2232" spans="16:17">
      <c r="P2232" s="12" t="s">
        <v>2490</v>
      </c>
      <c r="Q2232" s="12">
        <v>41551914</v>
      </c>
    </row>
    <row r="2233" spans="16:17">
      <c r="P2233" s="12" t="s">
        <v>2491</v>
      </c>
      <c r="Q2233" s="12">
        <v>41551914</v>
      </c>
    </row>
    <row r="2234" spans="16:17">
      <c r="P2234" t="s">
        <v>2492</v>
      </c>
      <c r="Q2234">
        <v>19037244</v>
      </c>
    </row>
    <row r="2235" spans="16:17">
      <c r="P2235" t="s">
        <v>2493</v>
      </c>
      <c r="Q2235">
        <v>19037244</v>
      </c>
    </row>
    <row r="2236" spans="16:17">
      <c r="P2236" t="s">
        <v>2494</v>
      </c>
      <c r="Q2236">
        <v>19037244</v>
      </c>
    </row>
    <row r="2237" spans="16:17">
      <c r="P2237" s="12" t="s">
        <v>956</v>
      </c>
      <c r="Q2237" s="12">
        <v>37113734</v>
      </c>
    </row>
    <row r="2238" spans="16:17">
      <c r="P2238" s="12" t="s">
        <v>2495</v>
      </c>
      <c r="Q2238" s="12">
        <v>37113734</v>
      </c>
    </row>
    <row r="2239" spans="16:17">
      <c r="P2239" s="12" t="s">
        <v>2496</v>
      </c>
      <c r="Q2239" s="12">
        <v>36088173</v>
      </c>
    </row>
    <row r="2240" spans="16:17">
      <c r="P2240" s="12" t="s">
        <v>957</v>
      </c>
      <c r="Q2240" s="12">
        <v>36088173</v>
      </c>
    </row>
    <row r="2241" spans="16:17">
      <c r="P2241" s="12" t="s">
        <v>2497</v>
      </c>
      <c r="Q2241" s="12">
        <v>45524794</v>
      </c>
    </row>
    <row r="2242" spans="16:17">
      <c r="P2242" s="12" t="s">
        <v>2498</v>
      </c>
      <c r="Q2242" s="12">
        <v>45524794</v>
      </c>
    </row>
    <row r="2243" spans="16:17">
      <c r="P2243" s="12" t="s">
        <v>2499</v>
      </c>
      <c r="Q2243" s="12">
        <v>43718066</v>
      </c>
    </row>
    <row r="2244" spans="16:17">
      <c r="P2244" s="12" t="s">
        <v>2500</v>
      </c>
      <c r="Q2244" s="12">
        <v>43718066</v>
      </c>
    </row>
    <row r="2245" spans="16:17">
      <c r="P2245" s="12" t="s">
        <v>2501</v>
      </c>
      <c r="Q2245" s="12">
        <v>43718066</v>
      </c>
    </row>
    <row r="2246" spans="16:17">
      <c r="P2246" s="12" t="s">
        <v>959</v>
      </c>
      <c r="Q2246" s="12">
        <v>43718066</v>
      </c>
    </row>
    <row r="2247" spans="16:17">
      <c r="P2247" s="12" t="s">
        <v>2502</v>
      </c>
      <c r="Q2247" s="12">
        <v>43718066</v>
      </c>
    </row>
    <row r="2248" spans="16:17">
      <c r="P2248" t="s">
        <v>2503</v>
      </c>
      <c r="Q2248" s="12">
        <v>39625530</v>
      </c>
    </row>
    <row r="2249" spans="16:17">
      <c r="P2249" s="12" t="s">
        <v>2504</v>
      </c>
      <c r="Q2249" s="12">
        <v>13798</v>
      </c>
    </row>
    <row r="2250" spans="16:17">
      <c r="P2250" s="12" t="s">
        <v>961</v>
      </c>
      <c r="Q2250" s="12">
        <v>13798</v>
      </c>
    </row>
    <row r="2251" spans="16:17">
      <c r="P2251" t="s">
        <v>2505</v>
      </c>
      <c r="Q2251">
        <v>19037244</v>
      </c>
    </row>
    <row r="2252" spans="16:17">
      <c r="P2252" t="s">
        <v>2506</v>
      </c>
      <c r="Q2252" s="12">
        <v>13798</v>
      </c>
    </row>
    <row r="2253" spans="16:17">
      <c r="P2253" s="12" t="s">
        <v>2507</v>
      </c>
      <c r="Q2253" s="12">
        <v>42292757</v>
      </c>
    </row>
    <row r="2254" spans="16:17">
      <c r="P2254" s="12" t="s">
        <v>963</v>
      </c>
      <c r="Q2254" s="12">
        <v>42292757</v>
      </c>
    </row>
    <row r="2255" spans="16:17">
      <c r="P2255" s="12" t="s">
        <v>2508</v>
      </c>
      <c r="Q2255" s="12">
        <v>42118147</v>
      </c>
    </row>
    <row r="2256" spans="16:17">
      <c r="P2256" s="12" t="s">
        <v>2509</v>
      </c>
      <c r="Q2256" s="12">
        <v>42118147</v>
      </c>
    </row>
    <row r="2257" spans="16:17">
      <c r="P2257" s="12" t="s">
        <v>965</v>
      </c>
      <c r="Q2257" s="12">
        <v>42118147</v>
      </c>
    </row>
    <row r="2258" spans="16:17">
      <c r="P2258" s="12" t="s">
        <v>2510</v>
      </c>
      <c r="Q2258" s="12">
        <v>42118147</v>
      </c>
    </row>
    <row r="2259" spans="16:17">
      <c r="P2259" s="12" t="s">
        <v>2511</v>
      </c>
      <c r="Q2259" s="12">
        <v>39625530</v>
      </c>
    </row>
    <row r="2260" spans="16:17">
      <c r="P2260" s="12" t="s">
        <v>967</v>
      </c>
      <c r="Q2260" s="12">
        <v>39625530</v>
      </c>
    </row>
    <row r="2261" spans="16:17">
      <c r="P2261" s="12" t="s">
        <v>2512</v>
      </c>
      <c r="Q2261" s="12">
        <v>39625530</v>
      </c>
    </row>
  </sheetData>
  <sortState xmlns:xlrd2="http://schemas.microsoft.com/office/spreadsheetml/2017/richdata2" ref="G43:G341">
    <sortCondition ref="G341"/>
  </sortState>
  <mergeCells count="6">
    <mergeCell ref="L72:L76"/>
    <mergeCell ref="L2:L16"/>
    <mergeCell ref="L18:L36"/>
    <mergeCell ref="L37:L46"/>
    <mergeCell ref="L47:L60"/>
    <mergeCell ref="L61:L71"/>
  </mergeCells>
  <conditionalFormatting sqref="I85:I1048576">
    <cfRule type="duplicateValues" dxfId="0" priority="97"/>
  </conditionalFormatting>
  <conditionalFormatting sqref="M2:M282">
    <cfRule type="expression" priority="545">
      <formula>#REF!="FALTO"</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737" id="{E9488772-DB9A-4FDF-8500-F8BDAC91BFB0}">
            <xm:f>ISERROR(MATCH(Hoja1!#REF!,$P$2:$P$387,0))</xm:f>
            <x14:dxf/>
          </x14:cfRule>
          <xm:sqref>G2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200-000000000000}">
          <x14:formula1>
            <xm:f>IF(Hoja1!#REF!&gt;0,$C$30:$C$30,$C$6:$C$8)</xm:f>
          </x14:formula1>
          <xm:sqref>E10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Hoja1</vt:lpstr>
      <vt:lpstr>SITUACION DE CALLE</vt:lpstr>
      <vt:lpstr>VALIDACIONES</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2026-06-04T21:27:45Z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2058-12.1.0.25242</vt:lpwstr>
  </property>
  <property fmtid="{D5CDD505-2E9C-101B-9397-08002B2CF9AE}" pid="4" name="CalculationRule">
    <vt:i4>0</vt:i4>
  </property>
</Properties>
</file>