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codeName="{E757BCB4-07E6-AE0B-56E0-F0EEF7A6E26C}"/>
  <workbookPr codeName="ThisWorkbook"/>
  <mc:AlternateContent xmlns:mc="http://schemas.openxmlformats.org/markup-compatibility/2006">
    <mc:Choice Requires="x15">
      <x15ac:absPath xmlns:x15ac="http://schemas.microsoft.com/office/spreadsheetml/2010/11/ac" url="Z:\ESTADISTICA Y CALIDAD\Area Estadisticas y Gestion de Servicio\MAESTROS\CONTROL DIARIO\2026\6. JUNIO\12. VIERNES 12-06-2026\"/>
    </mc:Choice>
  </mc:AlternateContent>
  <xr:revisionPtr revIDLastSave="0" documentId="13_ncr:1_{E6CB93C0-FE77-4C70-9D2D-05DEB18E950A}" xr6:coauthVersionLast="47" xr6:coauthVersionMax="47" xr10:uidLastSave="{00000000-0000-0000-0000-000000000000}"/>
  <bookViews>
    <workbookView xWindow="-120" yWindow="-120" windowWidth="29040" windowHeight="15990" xr2:uid="{00000000-000D-0000-FFFF-FFFF00000000}"/>
  </bookViews>
  <sheets>
    <sheet name="Hoja1" sheetId="1" r:id="rId1"/>
    <sheet name="SITUACION DE CALLE" sheetId="3" r:id="rId2"/>
    <sheet name="VALIDACIONES" sheetId="2" state="hidden" r:id="rId3"/>
  </sheets>
  <definedNames>
    <definedName name="_xlnm._FilterDatabase" localSheetId="0" hidden="1">Hoja1!$A$1:$AN$199</definedName>
    <definedName name="_xlnm._FilterDatabase" localSheetId="2" hidden="1">VALIDACIONES!$P$1:$Q$2876</definedName>
    <definedName name="CONTRAVENTOR">Hoja1!$Y:$Y</definedName>
    <definedName name="DETENIDO">Hoja1!$Z:$Z</definedName>
    <definedName name="TIPIFICACION">Hoja1!$K:$K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M199" i="1" l="1"/>
  <c r="AN199" i="1" s="1"/>
  <c r="AL199" i="1"/>
  <c r="C199" i="1"/>
  <c r="B199" i="1"/>
  <c r="AM198" i="1"/>
  <c r="AN198" i="1" s="1"/>
  <c r="AL198" i="1"/>
  <c r="C198" i="1"/>
  <c r="B198" i="1"/>
  <c r="AM197" i="1"/>
  <c r="AN197" i="1" s="1"/>
  <c r="AL197" i="1"/>
  <c r="C197" i="1"/>
  <c r="B197" i="1"/>
  <c r="AM196" i="1"/>
  <c r="AN196" i="1" s="1"/>
  <c r="AL196" i="1"/>
  <c r="C196" i="1"/>
  <c r="B196" i="1"/>
  <c r="AM185" i="1"/>
  <c r="AN185" i="1" s="1"/>
  <c r="AL185" i="1"/>
  <c r="C185" i="1"/>
  <c r="B185" i="1"/>
  <c r="AM184" i="1"/>
  <c r="AN184" i="1" s="1"/>
  <c r="AL184" i="1"/>
  <c r="C184" i="1"/>
  <c r="B184" i="1"/>
  <c r="AM183" i="1"/>
  <c r="AN183" i="1" s="1"/>
  <c r="AL183" i="1"/>
  <c r="C183" i="1"/>
  <c r="B183" i="1"/>
  <c r="AM182" i="1"/>
  <c r="AN182" i="1" s="1"/>
  <c r="AL182" i="1"/>
  <c r="C182" i="1"/>
  <c r="B182" i="1"/>
  <c r="AM181" i="1"/>
  <c r="AN181" i="1" s="1"/>
  <c r="AL181" i="1"/>
  <c r="C181" i="1"/>
  <c r="B181" i="1"/>
  <c r="AM180" i="1"/>
  <c r="AN180" i="1" s="1"/>
  <c r="AL180" i="1"/>
  <c r="C180" i="1"/>
  <c r="B180" i="1"/>
  <c r="AM179" i="1"/>
  <c r="AN179" i="1" s="1"/>
  <c r="AL179" i="1"/>
  <c r="C179" i="1"/>
  <c r="B179" i="1"/>
  <c r="AM178" i="1"/>
  <c r="AN178" i="1" s="1"/>
  <c r="AL178" i="1"/>
  <c r="C178" i="1"/>
  <c r="B178" i="1"/>
  <c r="AM177" i="1"/>
  <c r="AN177" i="1" s="1"/>
  <c r="AL177" i="1"/>
  <c r="C177" i="1"/>
  <c r="B177" i="1"/>
  <c r="AM176" i="1"/>
  <c r="AN176" i="1" s="1"/>
  <c r="AL176" i="1"/>
  <c r="C176" i="1"/>
  <c r="B176" i="1"/>
  <c r="AM175" i="1"/>
  <c r="AN175" i="1" s="1"/>
  <c r="AL175" i="1"/>
  <c r="C175" i="1"/>
  <c r="B175" i="1"/>
  <c r="AM174" i="1"/>
  <c r="AN174" i="1" s="1"/>
  <c r="AL174" i="1"/>
  <c r="C174" i="1"/>
  <c r="B174" i="1"/>
  <c r="AM173" i="1"/>
  <c r="AN173" i="1" s="1"/>
  <c r="AL173" i="1"/>
  <c r="C173" i="1"/>
  <c r="B173" i="1"/>
  <c r="AM172" i="1"/>
  <c r="AN172" i="1" s="1"/>
  <c r="AL172" i="1"/>
  <c r="C172" i="1"/>
  <c r="B172" i="1"/>
  <c r="AM171" i="1"/>
  <c r="AN171" i="1" s="1"/>
  <c r="AL171" i="1"/>
  <c r="C171" i="1"/>
  <c r="B171" i="1"/>
  <c r="AM170" i="1"/>
  <c r="AN170" i="1" s="1"/>
  <c r="AL170" i="1"/>
  <c r="C170" i="1"/>
  <c r="B170" i="1"/>
  <c r="AM169" i="1"/>
  <c r="AN169" i="1" s="1"/>
  <c r="AL169" i="1"/>
  <c r="C169" i="1"/>
  <c r="B169" i="1"/>
  <c r="AM168" i="1"/>
  <c r="AN168" i="1" s="1"/>
  <c r="AL168" i="1"/>
  <c r="C168" i="1"/>
  <c r="B168" i="1"/>
  <c r="AM167" i="1"/>
  <c r="AN167" i="1" s="1"/>
  <c r="AL167" i="1"/>
  <c r="C167" i="1"/>
  <c r="B167" i="1"/>
  <c r="AM195" i="1"/>
  <c r="AN195" i="1" s="1"/>
  <c r="AL195" i="1"/>
  <c r="C195" i="1"/>
  <c r="B195" i="1"/>
  <c r="AM194" i="1"/>
  <c r="AN194" i="1" s="1"/>
  <c r="AL194" i="1"/>
  <c r="C194" i="1"/>
  <c r="B194" i="1"/>
  <c r="AM193" i="1"/>
  <c r="AN193" i="1" s="1"/>
  <c r="AL193" i="1"/>
  <c r="C193" i="1"/>
  <c r="B193" i="1"/>
  <c r="AM192" i="1"/>
  <c r="AN192" i="1" s="1"/>
  <c r="AL192" i="1"/>
  <c r="C192" i="1"/>
  <c r="B192" i="1"/>
  <c r="AM191" i="1"/>
  <c r="AN191" i="1" s="1"/>
  <c r="AL191" i="1"/>
  <c r="C191" i="1"/>
  <c r="B191" i="1"/>
  <c r="AM189" i="1"/>
  <c r="AN189" i="1" s="1"/>
  <c r="AL189" i="1"/>
  <c r="C189" i="1"/>
  <c r="B189" i="1"/>
  <c r="L201" i="1"/>
  <c r="L202" i="1"/>
  <c r="E9" i="3" a="1"/>
  <c r="E9" i="3" s="1"/>
  <c r="E6" i="3"/>
  <c r="B3" i="1" l="1"/>
  <c r="C3" i="1"/>
  <c r="B4" i="1"/>
  <c r="C4" i="1"/>
  <c r="B5" i="1"/>
  <c r="C5" i="1"/>
  <c r="B6" i="1"/>
  <c r="C6" i="1"/>
  <c r="B7" i="1"/>
  <c r="C7" i="1"/>
  <c r="B8" i="1"/>
  <c r="C8" i="1"/>
  <c r="B9" i="1"/>
  <c r="C9" i="1"/>
  <c r="B10" i="1"/>
  <c r="C10" i="1"/>
  <c r="B11" i="1"/>
  <c r="C11" i="1"/>
  <c r="B12" i="1"/>
  <c r="C12" i="1"/>
  <c r="B13" i="1"/>
  <c r="C13" i="1"/>
  <c r="B14" i="1"/>
  <c r="C14" i="1"/>
  <c r="B15" i="1"/>
  <c r="C15" i="1"/>
  <c r="B16" i="1"/>
  <c r="C16" i="1"/>
  <c r="B17" i="1"/>
  <c r="C17" i="1"/>
  <c r="B18" i="1"/>
  <c r="C18" i="1"/>
  <c r="B19" i="1"/>
  <c r="C19" i="1"/>
  <c r="B20" i="1"/>
  <c r="C20" i="1"/>
  <c r="B21" i="1"/>
  <c r="C21" i="1"/>
  <c r="B22" i="1"/>
  <c r="C22" i="1"/>
  <c r="B23" i="1"/>
  <c r="C23" i="1"/>
  <c r="B24" i="1"/>
  <c r="C24" i="1"/>
  <c r="B25" i="1"/>
  <c r="C25" i="1"/>
  <c r="B26" i="1"/>
  <c r="C26" i="1"/>
  <c r="B27" i="1"/>
  <c r="C27" i="1"/>
  <c r="B28" i="1"/>
  <c r="C28" i="1"/>
  <c r="B29" i="1"/>
  <c r="C29" i="1"/>
  <c r="B30" i="1"/>
  <c r="C30" i="1"/>
  <c r="B31" i="1"/>
  <c r="C31" i="1"/>
  <c r="B32" i="1"/>
  <c r="C32" i="1"/>
  <c r="B33" i="1"/>
  <c r="C33" i="1"/>
  <c r="B34" i="1"/>
  <c r="C34" i="1"/>
  <c r="B35" i="1"/>
  <c r="C35" i="1"/>
  <c r="B36" i="1"/>
  <c r="C36" i="1"/>
  <c r="B37" i="1"/>
  <c r="C37" i="1"/>
  <c r="B38" i="1"/>
  <c r="C38" i="1"/>
  <c r="B39" i="1"/>
  <c r="C39" i="1"/>
  <c r="B40" i="1"/>
  <c r="C40" i="1"/>
  <c r="B41" i="1"/>
  <c r="C41" i="1"/>
  <c r="B42" i="1"/>
  <c r="C42" i="1"/>
  <c r="B43" i="1"/>
  <c r="C43" i="1"/>
  <c r="B44" i="1"/>
  <c r="C44" i="1"/>
  <c r="B45" i="1"/>
  <c r="C45" i="1"/>
  <c r="B46" i="1"/>
  <c r="C46" i="1"/>
  <c r="B47" i="1"/>
  <c r="C47" i="1"/>
  <c r="B48" i="1"/>
  <c r="C48" i="1"/>
  <c r="B49" i="1"/>
  <c r="C49" i="1"/>
  <c r="B50" i="1"/>
  <c r="C50" i="1"/>
  <c r="B51" i="1"/>
  <c r="C51" i="1"/>
  <c r="B52" i="1"/>
  <c r="C52" i="1"/>
  <c r="B53" i="1"/>
  <c r="C53" i="1"/>
  <c r="B54" i="1"/>
  <c r="C54" i="1"/>
  <c r="B55" i="1"/>
  <c r="C55" i="1"/>
  <c r="B56" i="1"/>
  <c r="C56" i="1"/>
  <c r="B57" i="1"/>
  <c r="C57" i="1"/>
  <c r="B58" i="1"/>
  <c r="C58" i="1"/>
  <c r="B59" i="1"/>
  <c r="C59" i="1"/>
  <c r="B60" i="1"/>
  <c r="C60" i="1"/>
  <c r="B61" i="1"/>
  <c r="C61" i="1"/>
  <c r="B62" i="1"/>
  <c r="C62" i="1"/>
  <c r="B63" i="1"/>
  <c r="C63"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15" i="1"/>
  <c r="C115" i="1"/>
  <c r="B116" i="1"/>
  <c r="C116" i="1"/>
  <c r="B117" i="1"/>
  <c r="C117" i="1"/>
  <c r="B118" i="1"/>
  <c r="C118" i="1"/>
  <c r="B119" i="1"/>
  <c r="C119" i="1"/>
  <c r="B120" i="1"/>
  <c r="C120" i="1"/>
  <c r="B121" i="1"/>
  <c r="C121" i="1"/>
  <c r="B122" i="1"/>
  <c r="C122" i="1"/>
  <c r="B123" i="1"/>
  <c r="C123" i="1"/>
  <c r="B124" i="1"/>
  <c r="C124" i="1"/>
  <c r="B125" i="1"/>
  <c r="C125" i="1"/>
  <c r="B126" i="1"/>
  <c r="C126" i="1"/>
  <c r="B127" i="1"/>
  <c r="C127" i="1"/>
  <c r="B128" i="1"/>
  <c r="C128" i="1"/>
  <c r="B129" i="1"/>
  <c r="C129" i="1"/>
  <c r="B130" i="1"/>
  <c r="C130" i="1"/>
  <c r="B131" i="1"/>
  <c r="C131" i="1"/>
  <c r="B132" i="1"/>
  <c r="C132" i="1"/>
  <c r="B133" i="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86" i="1"/>
  <c r="C186" i="1"/>
  <c r="B187" i="1"/>
  <c r="C187" i="1"/>
  <c r="B188" i="1"/>
  <c r="C188" i="1"/>
  <c r="B190" i="1"/>
  <c r="C190" i="1"/>
  <c r="C2" i="1"/>
  <c r="B2" i="1"/>
  <c r="AM190" i="1" l="1"/>
  <c r="AN190" i="1" s="1"/>
  <c r="AL190" i="1"/>
  <c r="AM188" i="1"/>
  <c r="AN188" i="1" s="1"/>
  <c r="AL188" i="1"/>
  <c r="AM187" i="1"/>
  <c r="AN187" i="1" s="1"/>
  <c r="AL187" i="1"/>
  <c r="AM186" i="1"/>
  <c r="AN186" i="1" s="1"/>
  <c r="AL186" i="1"/>
  <c r="AM166" i="1"/>
  <c r="AN166" i="1" s="1"/>
  <c r="AL166" i="1"/>
  <c r="AM165" i="1"/>
  <c r="AN165" i="1" s="1"/>
  <c r="AL165" i="1"/>
  <c r="AM164" i="1"/>
  <c r="AN164" i="1" s="1"/>
  <c r="AL164" i="1"/>
  <c r="AM163" i="1"/>
  <c r="AN163" i="1" s="1"/>
  <c r="AL163" i="1"/>
  <c r="AM162" i="1"/>
  <c r="AN162" i="1" s="1"/>
  <c r="AL162" i="1"/>
  <c r="AM161" i="1"/>
  <c r="AN161" i="1" s="1"/>
  <c r="AL161" i="1"/>
  <c r="AM160" i="1"/>
  <c r="AN160" i="1" s="1"/>
  <c r="AL160" i="1"/>
  <c r="AM159" i="1"/>
  <c r="AN159" i="1" s="1"/>
  <c r="AL159" i="1"/>
  <c r="AM158" i="1"/>
  <c r="AN158" i="1" s="1"/>
  <c r="AL158" i="1"/>
  <c r="AM157" i="1"/>
  <c r="AN157" i="1" s="1"/>
  <c r="AL157" i="1"/>
  <c r="AM156" i="1"/>
  <c r="AN156" i="1" s="1"/>
  <c r="AL156" i="1"/>
  <c r="AM155" i="1"/>
  <c r="AN155" i="1" s="1"/>
  <c r="AL155" i="1"/>
  <c r="AM154" i="1"/>
  <c r="AN154" i="1" s="1"/>
  <c r="AL154" i="1"/>
  <c r="AM153" i="1"/>
  <c r="AN153" i="1" s="1"/>
  <c r="AL153" i="1"/>
  <c r="AM152" i="1"/>
  <c r="AN152" i="1" s="1"/>
  <c r="AL152" i="1"/>
  <c r="AM151" i="1"/>
  <c r="AN151" i="1" s="1"/>
  <c r="AL151" i="1"/>
  <c r="AM150" i="1"/>
  <c r="AN150" i="1" s="1"/>
  <c r="AL150" i="1"/>
  <c r="AM149" i="1"/>
  <c r="AN149" i="1" s="1"/>
  <c r="AL149" i="1"/>
  <c r="AM148" i="1"/>
  <c r="AN148" i="1" s="1"/>
  <c r="AL148" i="1"/>
  <c r="AM147" i="1"/>
  <c r="AN147" i="1" s="1"/>
  <c r="AL147" i="1"/>
  <c r="AM146" i="1"/>
  <c r="AN146" i="1" s="1"/>
  <c r="AL146" i="1"/>
  <c r="AM145" i="1"/>
  <c r="AN145" i="1" s="1"/>
  <c r="AL145" i="1"/>
  <c r="AM144" i="1"/>
  <c r="AN144" i="1" s="1"/>
  <c r="AL144" i="1"/>
  <c r="AM143" i="1"/>
  <c r="AN143" i="1" s="1"/>
  <c r="AL143" i="1"/>
  <c r="AM142" i="1"/>
  <c r="AN142" i="1" s="1"/>
  <c r="AL142" i="1"/>
  <c r="AM141" i="1"/>
  <c r="AN141" i="1" s="1"/>
  <c r="AL141" i="1"/>
  <c r="AM140" i="1"/>
  <c r="AN140" i="1" s="1"/>
  <c r="AL140" i="1"/>
  <c r="AM139" i="1"/>
  <c r="AN139" i="1" s="1"/>
  <c r="AL139" i="1"/>
  <c r="AM138" i="1"/>
  <c r="AN138" i="1" s="1"/>
  <c r="AL138" i="1"/>
  <c r="AM137" i="1"/>
  <c r="AN137" i="1" s="1"/>
  <c r="AL137" i="1"/>
  <c r="AM136" i="1"/>
  <c r="AN136" i="1" s="1"/>
  <c r="AL136" i="1"/>
  <c r="AM135" i="1"/>
  <c r="AN135" i="1" s="1"/>
  <c r="AL135" i="1"/>
  <c r="AM134" i="1"/>
  <c r="AN134" i="1" s="1"/>
  <c r="AL134" i="1"/>
  <c r="AM133" i="1"/>
  <c r="AN133" i="1" s="1"/>
  <c r="AL133" i="1"/>
  <c r="AM132" i="1"/>
  <c r="AN132" i="1" s="1"/>
  <c r="AL132" i="1"/>
  <c r="AM131" i="1"/>
  <c r="AN131" i="1" s="1"/>
  <c r="AL131" i="1"/>
  <c r="AM130" i="1"/>
  <c r="AN130" i="1" s="1"/>
  <c r="AL130" i="1"/>
  <c r="AM129" i="1"/>
  <c r="AN129" i="1" s="1"/>
  <c r="AL129" i="1"/>
  <c r="AM128" i="1"/>
  <c r="AN128" i="1" s="1"/>
  <c r="AL128" i="1"/>
  <c r="AM127" i="1"/>
  <c r="AN127" i="1" s="1"/>
  <c r="AL127" i="1"/>
  <c r="AM126" i="1"/>
  <c r="AN126" i="1" s="1"/>
  <c r="AL126" i="1"/>
  <c r="AM125" i="1"/>
  <c r="AN125" i="1" s="1"/>
  <c r="AL125" i="1"/>
  <c r="AM124" i="1"/>
  <c r="AN124" i="1" s="1"/>
  <c r="AL124" i="1"/>
  <c r="AM123" i="1"/>
  <c r="AN123" i="1" s="1"/>
  <c r="AL123" i="1"/>
  <c r="AM122" i="1"/>
  <c r="AN122" i="1" s="1"/>
  <c r="AL122" i="1"/>
  <c r="AM121" i="1"/>
  <c r="AN121" i="1" s="1"/>
  <c r="AL121" i="1"/>
  <c r="AM120" i="1"/>
  <c r="AN120" i="1" s="1"/>
  <c r="AL120" i="1"/>
  <c r="AM119" i="1"/>
  <c r="AN119" i="1" s="1"/>
  <c r="AL119" i="1"/>
  <c r="AM118" i="1"/>
  <c r="AN118" i="1" s="1"/>
  <c r="AL118" i="1"/>
  <c r="AM117" i="1"/>
  <c r="AN117" i="1" s="1"/>
  <c r="AL117" i="1"/>
  <c r="AM116" i="1"/>
  <c r="AN116" i="1" s="1"/>
  <c r="AL116" i="1"/>
  <c r="AM115" i="1"/>
  <c r="AN115" i="1" s="1"/>
  <c r="AL115" i="1"/>
  <c r="AM114" i="1"/>
  <c r="AN114" i="1" s="1"/>
  <c r="AL114" i="1"/>
  <c r="AM113" i="1"/>
  <c r="AN113" i="1" s="1"/>
  <c r="AL113" i="1"/>
  <c r="AM112" i="1"/>
  <c r="AN112" i="1" s="1"/>
  <c r="AL112" i="1"/>
  <c r="AM111" i="1"/>
  <c r="AN111" i="1" s="1"/>
  <c r="AL111" i="1"/>
  <c r="AM110" i="1"/>
  <c r="AN110" i="1" s="1"/>
  <c r="AL110" i="1"/>
  <c r="AM109" i="1"/>
  <c r="AN109" i="1" s="1"/>
  <c r="AL109" i="1"/>
  <c r="AM108" i="1"/>
  <c r="AN108" i="1" s="1"/>
  <c r="AL108" i="1"/>
  <c r="AM107" i="1"/>
  <c r="AN107" i="1" s="1"/>
  <c r="AL107" i="1"/>
  <c r="AM106" i="1"/>
  <c r="AN106" i="1" s="1"/>
  <c r="AL106" i="1"/>
  <c r="AM105" i="1"/>
  <c r="AN105" i="1" s="1"/>
  <c r="AL105" i="1"/>
  <c r="AM104" i="1"/>
  <c r="AN104" i="1" s="1"/>
  <c r="AL104" i="1"/>
  <c r="AM103" i="1"/>
  <c r="AN103" i="1" s="1"/>
  <c r="AL103" i="1"/>
  <c r="AM102" i="1"/>
  <c r="AN102" i="1" s="1"/>
  <c r="AL102" i="1"/>
  <c r="AM101" i="1"/>
  <c r="AN101" i="1" s="1"/>
  <c r="AL101" i="1"/>
  <c r="AM100" i="1"/>
  <c r="AN100" i="1" s="1"/>
  <c r="AL100" i="1"/>
  <c r="AM99" i="1"/>
  <c r="AN99" i="1" s="1"/>
  <c r="AL99" i="1"/>
  <c r="AM98" i="1"/>
  <c r="AN98" i="1" s="1"/>
  <c r="AL98" i="1"/>
  <c r="AM97" i="1"/>
  <c r="AN97" i="1" s="1"/>
  <c r="AL97" i="1"/>
  <c r="AM96" i="1"/>
  <c r="AN96" i="1" s="1"/>
  <c r="AL96" i="1"/>
  <c r="AM95" i="1"/>
  <c r="AN95" i="1" s="1"/>
  <c r="AL95" i="1"/>
  <c r="AM94" i="1"/>
  <c r="AN94" i="1" s="1"/>
  <c r="AL94" i="1"/>
  <c r="AM93" i="1"/>
  <c r="AN93" i="1" s="1"/>
  <c r="AL93" i="1"/>
  <c r="AM92" i="1"/>
  <c r="AN92" i="1" s="1"/>
  <c r="AL92" i="1"/>
  <c r="AM91" i="1"/>
  <c r="AN91" i="1" s="1"/>
  <c r="AL91" i="1"/>
  <c r="AM90" i="1"/>
  <c r="AN90" i="1" s="1"/>
  <c r="AL90" i="1"/>
  <c r="AM89" i="1"/>
  <c r="AN89" i="1" s="1"/>
  <c r="AL89" i="1"/>
  <c r="AM88" i="1"/>
  <c r="AN88" i="1" s="1"/>
  <c r="AL88" i="1"/>
  <c r="AM87" i="1"/>
  <c r="AN87" i="1" s="1"/>
  <c r="AL87" i="1"/>
  <c r="AM86" i="1"/>
  <c r="AN86" i="1" s="1"/>
  <c r="AL86" i="1"/>
  <c r="AM85" i="1"/>
  <c r="AN85" i="1" s="1"/>
  <c r="AL85" i="1"/>
  <c r="AM84" i="1"/>
  <c r="AN84" i="1" s="1"/>
  <c r="AL84" i="1"/>
  <c r="AM83" i="1"/>
  <c r="AN83" i="1" s="1"/>
  <c r="AL83" i="1"/>
  <c r="AM82" i="1"/>
  <c r="AN82" i="1" s="1"/>
  <c r="AL82" i="1"/>
  <c r="AM81" i="1"/>
  <c r="AN81" i="1" s="1"/>
  <c r="AL81" i="1"/>
  <c r="AM80" i="1"/>
  <c r="AN80" i="1" s="1"/>
  <c r="AL80" i="1"/>
  <c r="AM79" i="1"/>
  <c r="AN79" i="1" s="1"/>
  <c r="AL79" i="1"/>
  <c r="AM78" i="1"/>
  <c r="AN78" i="1" s="1"/>
  <c r="AL78" i="1"/>
  <c r="AM77" i="1"/>
  <c r="AN77" i="1" s="1"/>
  <c r="AL77" i="1"/>
  <c r="AM76" i="1"/>
  <c r="AN76" i="1" s="1"/>
  <c r="AL76" i="1"/>
  <c r="AM75" i="1"/>
  <c r="AN75" i="1" s="1"/>
  <c r="AL75" i="1"/>
  <c r="AM74" i="1"/>
  <c r="AN74" i="1" s="1"/>
  <c r="AL74" i="1"/>
  <c r="AM73" i="1"/>
  <c r="AN73" i="1" s="1"/>
  <c r="AL73" i="1"/>
  <c r="AM72" i="1"/>
  <c r="AN72" i="1" s="1"/>
  <c r="AL72" i="1"/>
  <c r="AM71" i="1"/>
  <c r="AN71" i="1" s="1"/>
  <c r="AL71" i="1"/>
  <c r="AM70" i="1"/>
  <c r="AN70" i="1" s="1"/>
  <c r="AL70" i="1"/>
  <c r="AM69" i="1"/>
  <c r="AN69" i="1" s="1"/>
  <c r="AL69" i="1"/>
  <c r="AM68" i="1"/>
  <c r="AN68" i="1" s="1"/>
  <c r="AL68" i="1"/>
  <c r="AM67" i="1"/>
  <c r="AN67" i="1" s="1"/>
  <c r="AL67" i="1"/>
  <c r="AM66" i="1"/>
  <c r="AN66" i="1" s="1"/>
  <c r="AL66" i="1"/>
  <c r="AM65" i="1"/>
  <c r="AN65" i="1" s="1"/>
  <c r="AL65" i="1"/>
  <c r="AM64" i="1"/>
  <c r="AN64" i="1" s="1"/>
  <c r="AL64" i="1"/>
  <c r="AM63" i="1"/>
  <c r="AN63" i="1" s="1"/>
  <c r="AL63" i="1"/>
  <c r="AM62" i="1"/>
  <c r="AN62" i="1" s="1"/>
  <c r="AL62" i="1"/>
  <c r="AM61" i="1"/>
  <c r="AN61" i="1" s="1"/>
  <c r="AL61" i="1"/>
  <c r="AM60" i="1"/>
  <c r="AN60" i="1" s="1"/>
  <c r="AL60" i="1"/>
  <c r="AM59" i="1"/>
  <c r="AN59" i="1" s="1"/>
  <c r="AL59" i="1"/>
  <c r="AM58" i="1"/>
  <c r="AN58" i="1" s="1"/>
  <c r="AL58" i="1"/>
  <c r="AM57" i="1"/>
  <c r="AN57" i="1" s="1"/>
  <c r="AL57" i="1"/>
  <c r="AM56" i="1"/>
  <c r="AN56" i="1" s="1"/>
  <c r="AL56" i="1"/>
  <c r="AM55" i="1"/>
  <c r="AN55" i="1" s="1"/>
  <c r="AL55" i="1"/>
  <c r="AM54" i="1"/>
  <c r="AN54" i="1" s="1"/>
  <c r="AL54" i="1"/>
  <c r="AM53" i="1"/>
  <c r="AN53" i="1" s="1"/>
  <c r="AL53" i="1"/>
  <c r="AM52" i="1"/>
  <c r="AN52" i="1" s="1"/>
  <c r="AL52" i="1"/>
  <c r="AM51" i="1"/>
  <c r="AN51" i="1" s="1"/>
  <c r="AL51" i="1"/>
  <c r="AM50" i="1"/>
  <c r="AN50" i="1" s="1"/>
  <c r="AL50" i="1"/>
  <c r="AM49" i="1"/>
  <c r="AN49" i="1" s="1"/>
  <c r="AL49" i="1"/>
  <c r="AM48" i="1"/>
  <c r="AN48" i="1" s="1"/>
  <c r="AL48" i="1"/>
  <c r="AM47" i="1"/>
  <c r="AN47" i="1" s="1"/>
  <c r="AL47" i="1"/>
  <c r="AM46" i="1"/>
  <c r="AN46" i="1" s="1"/>
  <c r="AL46" i="1"/>
  <c r="AM45" i="1"/>
  <c r="AN45" i="1" s="1"/>
  <c r="AL45" i="1"/>
  <c r="AM44" i="1"/>
  <c r="AN44" i="1" s="1"/>
  <c r="AL44" i="1"/>
  <c r="AM43" i="1"/>
  <c r="AN43" i="1" s="1"/>
  <c r="AL43" i="1"/>
  <c r="AM42" i="1"/>
  <c r="AN42" i="1" s="1"/>
  <c r="AL42" i="1"/>
  <c r="AM41" i="1"/>
  <c r="AN41" i="1" s="1"/>
  <c r="AL41" i="1"/>
  <c r="AM40" i="1"/>
  <c r="AN40" i="1" s="1"/>
  <c r="AL40" i="1"/>
  <c r="AM39" i="1"/>
  <c r="AN39" i="1" s="1"/>
  <c r="AL39" i="1"/>
  <c r="AM38" i="1"/>
  <c r="AN38" i="1" s="1"/>
  <c r="AL38" i="1"/>
  <c r="AM37" i="1"/>
  <c r="AN37" i="1" s="1"/>
  <c r="AL37" i="1"/>
  <c r="AM36" i="1"/>
  <c r="AN36" i="1" s="1"/>
  <c r="AL36" i="1"/>
  <c r="AM35" i="1"/>
  <c r="AN35" i="1" s="1"/>
  <c r="AL35" i="1"/>
  <c r="AM34" i="1"/>
  <c r="AN34" i="1" s="1"/>
  <c r="AL34" i="1"/>
  <c r="AM33" i="1"/>
  <c r="AN33" i="1" s="1"/>
  <c r="AL33" i="1"/>
  <c r="AM32" i="1"/>
  <c r="AN32" i="1" s="1"/>
  <c r="AL32" i="1"/>
  <c r="AM31" i="1"/>
  <c r="AN31" i="1" s="1"/>
  <c r="AL31" i="1"/>
  <c r="AM30" i="1"/>
  <c r="AN30" i="1" s="1"/>
  <c r="AL30" i="1"/>
  <c r="AM29" i="1"/>
  <c r="AN29" i="1" s="1"/>
  <c r="AL29" i="1"/>
  <c r="AM28" i="1"/>
  <c r="AN28" i="1" s="1"/>
  <c r="AL28" i="1"/>
  <c r="AM27" i="1"/>
  <c r="AN27" i="1" s="1"/>
  <c r="AL27" i="1"/>
  <c r="AM26" i="1"/>
  <c r="AN26" i="1" s="1"/>
  <c r="AL26" i="1"/>
  <c r="AM25" i="1"/>
  <c r="AN25" i="1" s="1"/>
  <c r="AL25" i="1"/>
  <c r="AM24" i="1"/>
  <c r="AN24" i="1" s="1"/>
  <c r="AL24" i="1"/>
  <c r="AM23" i="1"/>
  <c r="AN23" i="1" s="1"/>
  <c r="AL23" i="1"/>
  <c r="AM22" i="1"/>
  <c r="AN22" i="1" s="1"/>
  <c r="AL22" i="1"/>
  <c r="AM21" i="1"/>
  <c r="AN21" i="1" s="1"/>
  <c r="AL21" i="1"/>
  <c r="AM20" i="1"/>
  <c r="AN20" i="1" s="1"/>
  <c r="AL20" i="1"/>
  <c r="AM19" i="1"/>
  <c r="AN19" i="1" s="1"/>
  <c r="AL19" i="1"/>
  <c r="AM18" i="1"/>
  <c r="AN18" i="1" s="1"/>
  <c r="AL18" i="1"/>
  <c r="AM17" i="1"/>
  <c r="AN17" i="1" s="1"/>
  <c r="AL17" i="1"/>
  <c r="AM16" i="1"/>
  <c r="AN16" i="1" s="1"/>
  <c r="AL16" i="1"/>
  <c r="AM15" i="1"/>
  <c r="AN15" i="1" s="1"/>
  <c r="AL15" i="1"/>
  <c r="AM14" i="1"/>
  <c r="AN14" i="1" s="1"/>
  <c r="AL14" i="1"/>
  <c r="AM13" i="1"/>
  <c r="AN13" i="1" s="1"/>
  <c r="AL13" i="1"/>
  <c r="AM12" i="1"/>
  <c r="AN12" i="1" s="1"/>
  <c r="AL12" i="1"/>
  <c r="AM11" i="1"/>
  <c r="AN11" i="1" s="1"/>
  <c r="AL11" i="1"/>
  <c r="AM10" i="1"/>
  <c r="AN10" i="1" s="1"/>
  <c r="AL10" i="1"/>
  <c r="AM9" i="1"/>
  <c r="AN9" i="1" s="1"/>
  <c r="AL9" i="1"/>
  <c r="AM8" i="1"/>
  <c r="AN8" i="1" s="1"/>
  <c r="AL8" i="1"/>
  <c r="AM7" i="1"/>
  <c r="AN7" i="1" s="1"/>
  <c r="AL7" i="1"/>
  <c r="AM6" i="1"/>
  <c r="AN6" i="1" s="1"/>
  <c r="AL6" i="1"/>
  <c r="AM5" i="1"/>
  <c r="AN5" i="1" s="1"/>
  <c r="AL5" i="1"/>
  <c r="AM4" i="1"/>
  <c r="AN4" i="1" s="1"/>
  <c r="AL4" i="1"/>
  <c r="AM3" i="1"/>
  <c r="AN3" i="1" s="1"/>
  <c r="AL3" i="1"/>
  <c r="AM2" i="1"/>
  <c r="AN2" i="1" s="1"/>
  <c r="AL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<sst xmlns="http://schemas.openxmlformats.org/spreadsheetml/2006/main" count="6952" uniqueCount="3167">
  <si>
    <t>FECHA</t>
  </si>
  <si>
    <t>HORA</t>
  </si>
  <si>
    <t>FRANJA HORARIA</t>
  </si>
  <si>
    <t>JEFE DE SERVICIO</t>
  </si>
  <si>
    <t>GRUPO</t>
  </si>
  <si>
    <t>OFICIAL</t>
  </si>
  <si>
    <t>OPERADOR</t>
  </si>
  <si>
    <t>GAP</t>
  </si>
  <si>
    <t>SAE</t>
  </si>
  <si>
    <t>TIPIFICACIÓN</t>
  </si>
  <si>
    <t>SUBTIPIFICACION</t>
  </si>
  <si>
    <t>TIPO EVENTO</t>
  </si>
  <si>
    <t>CAMARA</t>
  </si>
  <si>
    <t>BARRIO</t>
  </si>
  <si>
    <t>INICIO</t>
  </si>
  <si>
    <t>FIN</t>
  </si>
  <si>
    <t>PC</t>
  </si>
  <si>
    <t xml:space="preserve">SAME </t>
  </si>
  <si>
    <t>BOMBEROS</t>
  </si>
  <si>
    <t>OTROS</t>
  </si>
  <si>
    <t>HORARIO</t>
  </si>
  <si>
    <t>RESEÑA</t>
  </si>
  <si>
    <t>CONTRAVENTORES</t>
  </si>
  <si>
    <t>DETENIDOS</t>
  </si>
  <si>
    <t>PERS. TRASLADADA</t>
  </si>
  <si>
    <t>COMUNA</t>
  </si>
  <si>
    <t>OBSERVACIONES</t>
  </si>
  <si>
    <t>ORIGEN</t>
  </si>
  <si>
    <t>SISEP/ANILLO</t>
  </si>
  <si>
    <t>COMENTARIO</t>
  </si>
  <si>
    <t>TIPO DE CIERRE</t>
  </si>
  <si>
    <t>ERRORES DE CIERRE</t>
  </si>
  <si>
    <t>OTROS ERRORES</t>
  </si>
  <si>
    <t>OTRAS IMPUTACIONES</t>
  </si>
  <si>
    <t>ACLARACIONES</t>
  </si>
  <si>
    <t>LP/DNI</t>
  </si>
  <si>
    <t>imp</t>
  </si>
  <si>
    <t>corr</t>
  </si>
  <si>
    <t>TIPO DE EVENTO</t>
  </si>
  <si>
    <t>Nombre Completo</t>
  </si>
  <si>
    <t>Turno</t>
  </si>
  <si>
    <t>ACEVEDO, CANDELA</t>
  </si>
  <si>
    <t>PERSONAL</t>
  </si>
  <si>
    <t>00:00 A 02:00</t>
  </si>
  <si>
    <t>ABUSO SEXUAL</t>
  </si>
  <si>
    <t>CARTA FINALIZADA</t>
  </si>
  <si>
    <t>ABUSO</t>
  </si>
  <si>
    <t>Martinez, Ricardo</t>
  </si>
  <si>
    <t>LEIVA</t>
  </si>
  <si>
    <t>ACEVEDO, LUDMILA AGUSTINA</t>
  </si>
  <si>
    <t xml:space="preserve"> CASTILLO GISEL</t>
  </si>
  <si>
    <t>AFECTAR EL FUNCIONAMIENTO DEL SERVICIO PUBLICO DE VIDEOVIGILANCIA</t>
  </si>
  <si>
    <t>02:00 A 04:00</t>
  </si>
  <si>
    <t>AMENAZAS</t>
  </si>
  <si>
    <t>FINALIZA CON IMPUTADO/S</t>
  </si>
  <si>
    <t>ALLANAMIENTO</t>
  </si>
  <si>
    <t>ARGUELLO, MAITEN</t>
  </si>
  <si>
    <t>ACEVEDO, PILAR</t>
  </si>
  <si>
    <t>ACEVEDO HARUMI PILAR</t>
  </si>
  <si>
    <t>AGRESION</t>
  </si>
  <si>
    <t>04:00 A 06:00</t>
  </si>
  <si>
    <t>AT. Y RES. A LA AUTORIDAD</t>
  </si>
  <si>
    <t>COLABORACION CON IMPUTADO/S</t>
  </si>
  <si>
    <t>Perez, Ramon</t>
  </si>
  <si>
    <t>ACHUMA, ROMINA</t>
  </si>
  <si>
    <t>ACEVEDO LUDMILA</t>
  </si>
  <si>
    <t>APARENTE COMERCIALIZACION ESTUPEFACIENTES</t>
  </si>
  <si>
    <t>06:00 A 08:00</t>
  </si>
  <si>
    <t>AV. ILICITO</t>
  </si>
  <si>
    <t>COLABORACION CON INTERVENCION DIRECTA CON IMPUTADO/S</t>
  </si>
  <si>
    <t>BOTON ANTIPANICO</t>
  </si>
  <si>
    <t>Gauna, Micaela Jaquelina</t>
  </si>
  <si>
    <t>ACOSTA, DAMARIS AYLEN</t>
  </si>
  <si>
    <t>APARENTE CONSUMO ESTUPEFACIENTES</t>
  </si>
  <si>
    <t>08:00 A 10:00</t>
  </si>
  <si>
    <t>CONTRAVENTOR REINCIDENTE</t>
  </si>
  <si>
    <t>CHOQUE</t>
  </si>
  <si>
    <t xml:space="preserve">GAUNA, MICAELA </t>
  </si>
  <si>
    <t>→</t>
  </si>
  <si>
    <t>ACOSTA, LUCIANA CELINE</t>
  </si>
  <si>
    <t>ACEVEDO LUDMILA AGUSTINA</t>
  </si>
  <si>
    <t>10:00 A 12:00</t>
  </si>
  <si>
    <t>DAÑOS</t>
  </si>
  <si>
    <t>DESPERFECTO MECANICO</t>
  </si>
  <si>
    <t>GAUNA, MICAELA</t>
  </si>
  <si>
    <t>AGE, FRANCO ABEL</t>
  </si>
  <si>
    <t>COLABORACION</t>
  </si>
  <si>
    <t>12:00 A 14:00</t>
  </si>
  <si>
    <t>DESOBEDIENCIA</t>
  </si>
  <si>
    <t>DISPARO DE ARMA DE FUEGO</t>
  </si>
  <si>
    <t>Meza, gaston</t>
  </si>
  <si>
    <t>AGÜERO, AGUSTINA</t>
  </si>
  <si>
    <t>ACEVEDO, GUADALUPE</t>
  </si>
  <si>
    <t>CONDUCCION BAJO LOS EFECTOS DE ALCOHOL/ESTUPEFACIENTES/RIESGOSAS</t>
  </si>
  <si>
    <t>14:00 A 16:00</t>
  </si>
  <si>
    <t>ENCUBRIMIENTO</t>
  </si>
  <si>
    <t>ENFRENTAMIENTO ARMADO</t>
  </si>
  <si>
    <t>ZYSMAN, MARCELO</t>
  </si>
  <si>
    <t>AGUILAR, MICAELA</t>
  </si>
  <si>
    <t>ACEVEDO, LUDMILA</t>
  </si>
  <si>
    <t>CUIDAR COCHES SIN AUTORIZACION</t>
  </si>
  <si>
    <t>16:00 A 18:00</t>
  </si>
  <si>
    <t>ESTAFA</t>
  </si>
  <si>
    <t>FOCO IGNEO</t>
  </si>
  <si>
    <t>Cabrera, Alan</t>
  </si>
  <si>
    <t>AGUILERA, MATIAS</t>
  </si>
  <si>
    <t>DAÑO A FORMACIONES</t>
  </si>
  <si>
    <t>18:00 A 20:00</t>
  </si>
  <si>
    <t>EXHIBICIONES OBSCENAS</t>
  </si>
  <si>
    <t>FUGA DE GAS</t>
  </si>
  <si>
    <t xml:space="preserve">CABRERA, ALAN </t>
  </si>
  <si>
    <t>AGUIRRE, ALEJANDRA</t>
  </si>
  <si>
    <t>20:00 A 22:00</t>
  </si>
  <si>
    <t>FAL. DOCUMENTOS PUBLICOS</t>
  </si>
  <si>
    <t>HALLAZGO AUTOMOTOR</t>
  </si>
  <si>
    <t>Leiva Jorge Manuel</t>
  </si>
  <si>
    <t>AISIMBURO, ILEANA JAZMIN</t>
  </si>
  <si>
    <t>ACHUMA ROMINA</t>
  </si>
  <si>
    <t>ENSUCIAR BIENES</t>
  </si>
  <si>
    <t>22:00 A 00:00</t>
  </si>
  <si>
    <t>HOMICIDIO/TTVA. HOMICIDIO</t>
  </si>
  <si>
    <t>IDEN. x LEY 23.737</t>
  </si>
  <si>
    <t>Vallejos, Catherine</t>
  </si>
  <si>
    <t>ALBRECHT, YOEL ELIAS</t>
  </si>
  <si>
    <t>INCENDIO Y OTROS ESTRAGOS</t>
  </si>
  <si>
    <t>IDENT. DE PERSONAS</t>
  </si>
  <si>
    <t>LEIVA JORGE</t>
  </si>
  <si>
    <t>ALCARAZ, AGUSTINA</t>
  </si>
  <si>
    <t>ACOSTA DAMARIS</t>
  </si>
  <si>
    <t>EXPLOTACION INFANTIL</t>
  </si>
  <si>
    <t>LESIONES</t>
  </si>
  <si>
    <t>IDENT. VEHICULAR</t>
  </si>
  <si>
    <t>Cáceres, Sofía del Valle</t>
  </si>
  <si>
    <t>ALEGRE, EMILCE</t>
  </si>
  <si>
    <t>ACOSTA, DAMARIS</t>
  </si>
  <si>
    <t>LEY 23.737</t>
  </si>
  <si>
    <t>INCIDENCIA</t>
  </si>
  <si>
    <t>CISNEROS, HECTOR GABRIEL</t>
  </si>
  <si>
    <t>ALEJO CARBASUYO, ANIBAL CELSO</t>
  </si>
  <si>
    <t>ACOSTA, DAMARIS AILEN</t>
  </si>
  <si>
    <t>HOMICIDIO/TENTATIVA DE HOMICIDIO</t>
  </si>
  <si>
    <t>INHIBIDOR</t>
  </si>
  <si>
    <t>Bustamante, Lis</t>
  </si>
  <si>
    <t>L A V</t>
  </si>
  <si>
    <t>ALIAGA, BRANDON DAMIAN</t>
  </si>
  <si>
    <t>IDENTIFICACION DE PERSONAS</t>
  </si>
  <si>
    <t>LEY DE MARCAS</t>
  </si>
  <si>
    <t>LEY BLUMBERG</t>
  </si>
  <si>
    <t>Aguirre, Alan</t>
  </si>
  <si>
    <t>AGUIRRE</t>
  </si>
  <si>
    <t>ALMEDA, MICAELA</t>
  </si>
  <si>
    <t>ACOSTA, LUCIANA</t>
  </si>
  <si>
    <t>INCIDENCIA EN VIA PUBLICA</t>
  </si>
  <si>
    <t>OTROS (DETENIDOS)</t>
  </si>
  <si>
    <t>MANIFESTACION</t>
  </si>
  <si>
    <t>Martinez, Veronica</t>
  </si>
  <si>
    <t>ALMIRON, CAMILA</t>
  </si>
  <si>
    <t>PEDIDO DE CAPTURA</t>
  </si>
  <si>
    <t>OBITO</t>
  </si>
  <si>
    <t>RODRIGUEZ, CRISTIAN</t>
  </si>
  <si>
    <t>ALONSO, JORGE ANTONIO</t>
  </si>
  <si>
    <t>ACOSTA, RENATA</t>
  </si>
  <si>
    <t>PRIVACION ILEG. DE LA LIBERTAD</t>
  </si>
  <si>
    <t>PRODO SOFÍA</t>
  </si>
  <si>
    <t>ALTAMIRANO, FLAVIA</t>
  </si>
  <si>
    <t>ACUÑA, ALDANA</t>
  </si>
  <si>
    <t>LIMPIA VIDRIOS</t>
  </si>
  <si>
    <t>ROBO AMA</t>
  </si>
  <si>
    <t>P. POL. CON DETENIDO</t>
  </si>
  <si>
    <t>BRAVO AYELEN</t>
  </si>
  <si>
    <t>ALVARADO, ROSARIO</t>
  </si>
  <si>
    <t>ADEGA, CAMILA</t>
  </si>
  <si>
    <t>MALTRATO ANIMAL</t>
  </si>
  <si>
    <t>ROBO/HURTO</t>
  </si>
  <si>
    <t>PELEA/RIÑA</t>
  </si>
  <si>
    <t>Prodo, Sofía Belén</t>
  </si>
  <si>
    <t>ALVAREZ PARAFITA, GONZALO</t>
  </si>
  <si>
    <t>AGE FRANCO ABEL</t>
  </si>
  <si>
    <t>SIP</t>
  </si>
  <si>
    <t>PERSECUCION</t>
  </si>
  <si>
    <t>Bravo, Ayelén Antonela</t>
  </si>
  <si>
    <t>ALVAREZ, DAIANA</t>
  </si>
  <si>
    <t>AGE, FRANCO</t>
  </si>
  <si>
    <t>MEDIDA DE FUERZA GREMIAL CON OBSTRUCCION DE VIAS</t>
  </si>
  <si>
    <t>TENENCIA/USO ARMA DE GUERRA S/A</t>
  </si>
  <si>
    <t>PERSONA CAIDA/DEMANDA DE AUXILIO</t>
  </si>
  <si>
    <t>ANDRADE, JOHANA</t>
  </si>
  <si>
    <t>ALVAREZ, LAURA GABRIELA</t>
  </si>
  <si>
    <t>OBJETO SOSPECHOSO ABANDONADO</t>
  </si>
  <si>
    <t>USURPACION</t>
  </si>
  <si>
    <t>PERSONA DETENIDA POR CIUDADANOS</t>
  </si>
  <si>
    <t>Rodríguez, Lucas</t>
  </si>
  <si>
    <t>AMAYA, DEBORA BELEN</t>
  </si>
  <si>
    <t>VIOLACION DE DOMICILIO</t>
  </si>
  <si>
    <t>PERSONA EXTRAVIADA</t>
  </si>
  <si>
    <t>RODRIGUEZ, LUCAS</t>
  </si>
  <si>
    <t>ANDRADA, MARCELO</t>
  </si>
  <si>
    <t>AGOTEGARAY, DANIELA FERNANDA</t>
  </si>
  <si>
    <t>VIOLENCIA DE GENERO</t>
  </si>
  <si>
    <t>PORTACION DE ARMA DE FUEGO</t>
  </si>
  <si>
    <t>Torres, Jorge Damian</t>
  </si>
  <si>
    <t>ANDRADE, YAZMINA</t>
  </si>
  <si>
    <t>AGÜERO AGUSTINA</t>
  </si>
  <si>
    <t>PERSONA CAIDA</t>
  </si>
  <si>
    <t>S/DATOS</t>
  </si>
  <si>
    <t>PORTACION DE ARMA NO CONVENCIONAL</t>
  </si>
  <si>
    <t>TORRES JORGE</t>
  </si>
  <si>
    <t>ANGLADA, ANA FLORENCIA</t>
  </si>
  <si>
    <t>PERSONA DESCOMPUESTA</t>
  </si>
  <si>
    <t>CONT. CONDUCIR BAJO LOS EFECTOS DEL ALCOHOL Y/O DROGAS</t>
  </si>
  <si>
    <t>Córdoba, Juan Manuel</t>
  </si>
  <si>
    <t>ANTINORI, SILVANA</t>
  </si>
  <si>
    <t>AGUIAR LEONEL</t>
  </si>
  <si>
    <t>CONT. CUIDA COCHES</t>
  </si>
  <si>
    <t>SUICIDIO/TTVA. SUICIDIO</t>
  </si>
  <si>
    <t>CORDOBA, JUAN MANUEL</t>
  </si>
  <si>
    <t>ANTUNEZ, NICOLAS</t>
  </si>
  <si>
    <t>AGUIAR, LEONEL</t>
  </si>
  <si>
    <t>CONT. ENSUCIAR BIENES</t>
  </si>
  <si>
    <t>Oropeza, Mauro</t>
  </si>
  <si>
    <t>AÑASCO, MAXIMILIANO</t>
  </si>
  <si>
    <t>PORTACION ARMAS NO CONVENCIONALES</t>
  </si>
  <si>
    <t>CONT. HOSTIGAMIENTO</t>
  </si>
  <si>
    <t>Lopez, Maria Soledad</t>
  </si>
  <si>
    <t>AQUINO, JULIANA AYELEN</t>
  </si>
  <si>
    <t>AGUILERA MATIAS</t>
  </si>
  <si>
    <t>PORTACION DE ARMAS DE FUEGO</t>
  </si>
  <si>
    <t>CONT. LIMPIA VIDRIOS</t>
  </si>
  <si>
    <t>LOPEZ, MARÍA SOLEDAD</t>
  </si>
  <si>
    <t>ARCE, ORIANA BELEN</t>
  </si>
  <si>
    <t>AGUILERA, LORENA</t>
  </si>
  <si>
    <t>PRESENCIA DE ANIMALES EN SUBTE</t>
  </si>
  <si>
    <t>CONT. MALTRATO</t>
  </si>
  <si>
    <t>VIOLENCIA FAMILIAR</t>
  </si>
  <si>
    <t>GUZMAN, YESICA</t>
  </si>
  <si>
    <t>ARGUELLO, MABEL</t>
  </si>
  <si>
    <t>PRESENCIA EXTRAÑA EN SUBTE (DESCENSO A LAS VIAS)</t>
  </si>
  <si>
    <t>CONT. OFERTA Y DEM. DE SEXO</t>
  </si>
  <si>
    <t>Guzman, Yesica Mariel</t>
  </si>
  <si>
    <t>ASTARGO, NATANAEL</t>
  </si>
  <si>
    <t>RESISTENCIA AUTORIDAD</t>
  </si>
  <si>
    <t>CONT. PELEA/RIÑA</t>
  </si>
  <si>
    <t>MOLINA, JOSE</t>
  </si>
  <si>
    <t>CISNEROS</t>
  </si>
  <si>
    <t>AVILA, SAMIRA</t>
  </si>
  <si>
    <t>CONT. USO INDEBIDO</t>
  </si>
  <si>
    <t>HERRERA, FLORENCIA</t>
  </si>
  <si>
    <t>BANDIERA, FABRIZIO</t>
  </si>
  <si>
    <t>AISIMBURO, JAZMIN</t>
  </si>
  <si>
    <t>CONT. VENTA DE BEBIDAS ALCOHÓLICAS</t>
  </si>
  <si>
    <t>Cortes Sebastian Ezequiel</t>
  </si>
  <si>
    <t>BANDIERA, LUCAS</t>
  </si>
  <si>
    <t>AISIMBURO, JAZMÍN</t>
  </si>
  <si>
    <t>SIP CON IDENTIFICACION</t>
  </si>
  <si>
    <t>PORT. ARMA DE FUEGO</t>
  </si>
  <si>
    <t>Cisneros, Pablo Facundo Gabriel</t>
  </si>
  <si>
    <t>BARCALA, GUIDO</t>
  </si>
  <si>
    <t>PORT. ARMA NO CONVENCIONAL</t>
  </si>
  <si>
    <t xml:space="preserve">CORTES SEBASTIAN </t>
  </si>
  <si>
    <t>BARGAS, FRANCO</t>
  </si>
  <si>
    <t>ALBA POSSE MARIELA CELESTE</t>
  </si>
  <si>
    <t>SUICIDIO/TENTATIVA DE SUICIDIO</t>
  </si>
  <si>
    <t>OTROS (CONTRAVENTORES)</t>
  </si>
  <si>
    <t>Quintana, Gilda</t>
  </si>
  <si>
    <t>BARONE, CANDELA</t>
  </si>
  <si>
    <t>ALBA POSSE, MARIELA</t>
  </si>
  <si>
    <t>TENENCIA ESTUPEFACIENTES</t>
  </si>
  <si>
    <t>Villalba, Miguel Nicolás</t>
  </si>
  <si>
    <t>BARRAL, CARLOS ALBERTO</t>
  </si>
  <si>
    <t>ALBA POSSE, MARIELA CELESTE</t>
  </si>
  <si>
    <t>TOTEM</t>
  </si>
  <si>
    <t>VILLALBA, MIGUEL NICOLAS</t>
  </si>
  <si>
    <t>BARRANCOS, JUAN CARLOS</t>
  </si>
  <si>
    <t>ALBRECH JOEL</t>
  </si>
  <si>
    <t>USO INDEBIDO ESPACIO PUBLICO</t>
  </si>
  <si>
    <t>CARABAJAL, GRACIELA</t>
  </si>
  <si>
    <t>BARRETO, FEDERICO</t>
  </si>
  <si>
    <t>ALBRECHT, JOEL</t>
  </si>
  <si>
    <t>VENTA DE BEBIDAS ALCOHOLICAS A MENORES Y/O FUERA DEL HORARIO PERMITIDO (5:00 a 22:00 hs)</t>
  </si>
  <si>
    <t>Carabajal, Graciela Beatriz</t>
  </si>
  <si>
    <t>BARRIOS, AYLEN MARIANA</t>
  </si>
  <si>
    <t>ALBRECHT, JOEL ELIAS</t>
  </si>
  <si>
    <t>VENTA DE PIROTECNIA</t>
  </si>
  <si>
    <t>Kelly, Aileen</t>
  </si>
  <si>
    <t>BENITEZ</t>
  </si>
  <si>
    <t>BARROS, JAVIER</t>
  </si>
  <si>
    <t>Ledezma, Natalia Elizabeth</t>
  </si>
  <si>
    <t>BARZOLA, DYLAN</t>
  </si>
  <si>
    <t>LEDEZMA, NATALIA</t>
  </si>
  <si>
    <t>BASUALDO, LEILA</t>
  </si>
  <si>
    <t>ALBRETCH, JOEL</t>
  </si>
  <si>
    <t>Alcaraz, Ariel</t>
  </si>
  <si>
    <t>BENDITTI, JULIETA</t>
  </si>
  <si>
    <t>AGUERO OVELA, EDITH</t>
  </si>
  <si>
    <t>BENITEZ PEREIRA, PATRICIA</t>
  </si>
  <si>
    <t>ALDANA RASJIDO</t>
  </si>
  <si>
    <t>CAMPOS, EUGENIA</t>
  </si>
  <si>
    <t>BENITEZ, ANDY JEAN</t>
  </si>
  <si>
    <t>ALDERETE, LUCIANO</t>
  </si>
  <si>
    <t>Benítez, Antonella</t>
  </si>
  <si>
    <t>BENITEZ, BRENDA</t>
  </si>
  <si>
    <t>ALDERETE, LUCIANO JOAQUIN</t>
  </si>
  <si>
    <t>BENITEZ, ANTONELLA</t>
  </si>
  <si>
    <t>BERARDI, FERNANDO</t>
  </si>
  <si>
    <t>ALEGRE , ESMILCE</t>
  </si>
  <si>
    <t>Perrone, Juliana</t>
  </si>
  <si>
    <t>BERNAL, LAILA</t>
  </si>
  <si>
    <t>Alegre Esmilce</t>
  </si>
  <si>
    <t>Rodriguez, Alberto Fernando</t>
  </si>
  <si>
    <t>BERNAL, MAXIMILIANO</t>
  </si>
  <si>
    <t>RODRIGUEZ, FERNANDO</t>
  </si>
  <si>
    <t>BOMONE, NICOLAS IVAN</t>
  </si>
  <si>
    <t>ALEGRE, ESMILCE</t>
  </si>
  <si>
    <t>Sanchez Florentin Hernan</t>
  </si>
  <si>
    <t>BORREGO, LEONELA</t>
  </si>
  <si>
    <t>ALEJO CARBASUYO, ANIBAL</t>
  </si>
  <si>
    <t>Beñacar, Silvina Soledad</t>
  </si>
  <si>
    <t>BOURTON, EVELYN</t>
  </si>
  <si>
    <t>ALEJO CARBASUYO, ANÍBAL</t>
  </si>
  <si>
    <t>BEÑACAR, SILVINA</t>
  </si>
  <si>
    <t>BOUSO, GALLO MARTINA</t>
  </si>
  <si>
    <t>Lange, Daniel</t>
  </si>
  <si>
    <t>LANGE</t>
  </si>
  <si>
    <t>BRANDONI, AGUSTINA</t>
  </si>
  <si>
    <t>ALEJO GUERRA</t>
  </si>
  <si>
    <t>ABEL, PAULA</t>
  </si>
  <si>
    <t>BRIZUELA, MARIA ALEJANDRA</t>
  </si>
  <si>
    <t>ALI, BARBARA</t>
  </si>
  <si>
    <t>LEDESMA, JESICA</t>
  </si>
  <si>
    <t>BRUZZO, CANDELA ORIANA</t>
  </si>
  <si>
    <t>ALIAGA BRANDON DAMIAN</t>
  </si>
  <si>
    <t>Ledezma, Jésica</t>
  </si>
  <si>
    <t>CABRAL, CAROLINA BELEN</t>
  </si>
  <si>
    <t>ALIAGA, BRANDON</t>
  </si>
  <si>
    <t>Colo Nadia Elida</t>
  </si>
  <si>
    <t>CABRAL, MARIEL</t>
  </si>
  <si>
    <t>COLO, NADIA</t>
  </si>
  <si>
    <t>CABRERA, ELIZABETH</t>
  </si>
  <si>
    <t>ALMAGRO WILDE, FIORELLA SOLANGE</t>
  </si>
  <si>
    <t>GOMEZ, GABRIEL</t>
  </si>
  <si>
    <t>CACERES, ANTONELA</t>
  </si>
  <si>
    <t>ALMEDA , Micaela</t>
  </si>
  <si>
    <t>Carabajal, Mariana</t>
  </si>
  <si>
    <t>CALIBA, CANDELA</t>
  </si>
  <si>
    <t>ALMEDA MICAELA</t>
  </si>
  <si>
    <t>CARABAJAL, MARIANA</t>
  </si>
  <si>
    <t>CAMAÑO, NAHUEL ELIAS</t>
  </si>
  <si>
    <t>Sendros Jonathan Luis</t>
  </si>
  <si>
    <t>CAMARGO, PRISCILA</t>
  </si>
  <si>
    <t>ALMEDA,Micaela</t>
  </si>
  <si>
    <t>Rivero, Marcos</t>
  </si>
  <si>
    <t>CAMINO, JULIAN MATIAS</t>
  </si>
  <si>
    <t>Arellano Hamm, Federico</t>
  </si>
  <si>
    <t>DIURNO</t>
  </si>
  <si>
    <t>CANAGLIA CARREIRO, PATRICIA</t>
  </si>
  <si>
    <t>ALONSO, JORGE</t>
  </si>
  <si>
    <t>ARELLANO FEDERICO</t>
  </si>
  <si>
    <t>CARABALLO, LUCAS</t>
  </si>
  <si>
    <t>ARELLANO, FEDERICO</t>
  </si>
  <si>
    <t>CARBALLO, MACARENA</t>
  </si>
  <si>
    <t>ALRAMIRANO MICAELA</t>
  </si>
  <si>
    <t>ALCOBA, DIEGO</t>
  </si>
  <si>
    <t>CARDOZO, MARIA LAURA</t>
  </si>
  <si>
    <t>ALTAMIRANO FLAVIA</t>
  </si>
  <si>
    <t>Alcoba, Diego</t>
  </si>
  <si>
    <t>CARDOZO, ROMINA</t>
  </si>
  <si>
    <t>CARPIO, TIARA</t>
  </si>
  <si>
    <t>ALTAMIRANO, MICAELA</t>
  </si>
  <si>
    <t>CARREÑO ROSSI, MATIAS EZEQUIEL</t>
  </si>
  <si>
    <t>ALVARADO ROSARIO</t>
  </si>
  <si>
    <t>CARRERA, DEBORA ALEJANDRA</t>
  </si>
  <si>
    <t>CARRERAS, CARLOS</t>
  </si>
  <si>
    <t>CARRIZO, FRANCO</t>
  </si>
  <si>
    <t>ALVARADO,ROSARIO</t>
  </si>
  <si>
    <t>CASAL FALIVENE, YANINA</t>
  </si>
  <si>
    <t>ALVAREZ LAURA</t>
  </si>
  <si>
    <t>CASCO, MARIA SOLEDAD</t>
  </si>
  <si>
    <t>CASELLA CAMPOS, MARIA AYELEN</t>
  </si>
  <si>
    <t>ÁLVAREZ PARAFITA, GONZALO</t>
  </si>
  <si>
    <t>CASERES, NICOLE ANTONELLA</t>
  </si>
  <si>
    <t>CASTAÑO, NATALIA SOLEDAD</t>
  </si>
  <si>
    <t>ÁLVAREZ, DAIANA</t>
  </si>
  <si>
    <t>CASTILLO, CLAUDIO RICARDO</t>
  </si>
  <si>
    <t>ALVAREZ, LAURA</t>
  </si>
  <si>
    <t>CASTILLO, GISELL</t>
  </si>
  <si>
    <t>CEI, MARIANO LEONEL</t>
  </si>
  <si>
    <t>CEJAS, MIGUEL ANGEL</t>
  </si>
  <si>
    <t>ALVAREZ, MARIA DEL ROCIO</t>
  </si>
  <si>
    <t>CEJAS, NICOLAS MAXIMILIANO</t>
  </si>
  <si>
    <t>AMAYA BELEN</t>
  </si>
  <si>
    <t>CENTURION, AYMARA</t>
  </si>
  <si>
    <t>AMAYA DEBORA</t>
  </si>
  <si>
    <t>CHACON, FRANCO</t>
  </si>
  <si>
    <t>AMAYA, ARIEL</t>
  </si>
  <si>
    <t>CHACON, MICAELA FRANCESCA</t>
  </si>
  <si>
    <t>AMAYA, DEBORA</t>
  </si>
  <si>
    <t>CHAPARRO, GERMAN FEDERICO</t>
  </si>
  <si>
    <t xml:space="preserve">AMAYA, DEBORA </t>
  </si>
  <si>
    <t>CHAUQUE, VANESA</t>
  </si>
  <si>
    <t>CHAVEZ, GLADIS</t>
  </si>
  <si>
    <t>AMAYA, DÉBORA BELÉN</t>
  </si>
  <si>
    <t>CHAVEZ, HERNAN MARCELO</t>
  </si>
  <si>
    <t>Amuchastegui Dante Duilio</t>
  </si>
  <si>
    <t>CHIAPPOLINI, SANTIAGO</t>
  </si>
  <si>
    <t>AMUCHASTEGUI DUILIO</t>
  </si>
  <si>
    <t>CHUQUIYAURI, ANGEL</t>
  </si>
  <si>
    <t>AMUCHASTEGUI, DANTE</t>
  </si>
  <si>
    <t>CIAPPINI, LUCA</t>
  </si>
  <si>
    <t>AMUCHASTEGUI, DANTE DUILIO</t>
  </si>
  <si>
    <t>CIPRIANI, SOFIA</t>
  </si>
  <si>
    <t>Andrada Solange Edith</t>
  </si>
  <si>
    <t>CLARO, TAHIEL</t>
  </si>
  <si>
    <t>COCERES, ANTONELLA</t>
  </si>
  <si>
    <t>ANDRADA, MARCELO FERNANDO</t>
  </si>
  <si>
    <t>COCERES, FIAMMA ABIGAIL</t>
  </si>
  <si>
    <t>ANDRADA, SOLANGE</t>
  </si>
  <si>
    <t>CONVERSANO, MARINA VANESA</t>
  </si>
  <si>
    <t>ANDRADA, SOLANGE EDITH</t>
  </si>
  <si>
    <t>CORONEL, DANIEL OSMAR</t>
  </si>
  <si>
    <t>CORREA, DIANA</t>
  </si>
  <si>
    <t>ANDREANI, FATIMA</t>
  </si>
  <si>
    <t>CORVALAN, IARA</t>
  </si>
  <si>
    <t>ANGELINA FERNANDEZ</t>
  </si>
  <si>
    <t>COUSO, MARIA VICTORIA</t>
  </si>
  <si>
    <t>ANGLADA, ANA</t>
  </si>
  <si>
    <t>CRISTOFORI NAGEL, GUSTAVO</t>
  </si>
  <si>
    <t>CUELLO, JENNIFER</t>
  </si>
  <si>
    <t>ANIBAL CARBASUYO</t>
  </si>
  <si>
    <t>CURBELO, CARLA MARIEL</t>
  </si>
  <si>
    <t>DAUGUER, ALAN EZEQUIEL</t>
  </si>
  <si>
    <t>ANTONUCCI, MATIAS</t>
  </si>
  <si>
    <t>DAUMAS, VICTORIA SOL</t>
  </si>
  <si>
    <t>ANTUNEZ</t>
  </si>
  <si>
    <t>DE MARE, CLAUDIO</t>
  </si>
  <si>
    <t>ANTUNEZ NICOLAS</t>
  </si>
  <si>
    <t>DEL PUEYO, CECILIA FLORENCIA</t>
  </si>
  <si>
    <t>DELGADO, MATIAS LEONARDO</t>
  </si>
  <si>
    <t>ANTUÑEZ, NICOLAS</t>
  </si>
  <si>
    <t>DELVECCHIO, DIANA GABRIELA</t>
  </si>
  <si>
    <t>AÑASCO MAXIMILIANO</t>
  </si>
  <si>
    <t>DIAZ, ANALIA</t>
  </si>
  <si>
    <t>DIAZ, CLARISA DAYANA</t>
  </si>
  <si>
    <t>AQUINO, JULIANA</t>
  </si>
  <si>
    <t>DIAZ, LAUTARO</t>
  </si>
  <si>
    <t>DIAZ, LUCIANO EMANUEL</t>
  </si>
  <si>
    <t>AQUINO, JULIETA</t>
  </si>
  <si>
    <t>DIAZ, MARIA BELEN</t>
  </si>
  <si>
    <t>ARAKAKI, CAMILA</t>
  </si>
  <si>
    <t>DIAZ, THOMAS AGUSTIN</t>
  </si>
  <si>
    <t>ARCE, ORIANA</t>
  </si>
  <si>
    <t>DIDIER, NICOLAS</t>
  </si>
  <si>
    <t>DIOGO, ROBERTO</t>
  </si>
  <si>
    <t>ARGAÑARAZ BRIAN</t>
  </si>
  <si>
    <t>DOMINGUEZ, VALERIA MARIANA</t>
  </si>
  <si>
    <t>DUARTE, ARIANA</t>
  </si>
  <si>
    <t>ARGAÑARAZ, BRIAN</t>
  </si>
  <si>
    <t>ESCOBAR, YASMIN</t>
  </si>
  <si>
    <t>ARGARAÑAZ BRIAN</t>
  </si>
  <si>
    <t>ESPINOZA, VANESA BEATRIZ</t>
  </si>
  <si>
    <t>ARGÜELLO, CLEMENTINA</t>
  </si>
  <si>
    <t>FARIAS, NAHUEL</t>
  </si>
  <si>
    <t>ARGUELLO, CLEMENTINA MABEL</t>
  </si>
  <si>
    <t>FEDELLE, SANDRA ANALIA</t>
  </si>
  <si>
    <t>ARGÜELLO, CLEMENTINA MABEL</t>
  </si>
  <si>
    <t>FERNANDEZ, AGUSTINA</t>
  </si>
  <si>
    <t>FERNANDEZ, RUTH</t>
  </si>
  <si>
    <t>ARIAS FACUNDO</t>
  </si>
  <si>
    <t>FERRANDO, MARTINA</t>
  </si>
  <si>
    <t>Arias, Daira Emily</t>
  </si>
  <si>
    <t>FERREYRA, SONIA CRISTINA</t>
  </si>
  <si>
    <t>ARIAS, DARIAS EMILY</t>
  </si>
  <si>
    <t>FIDEL GRACIANO, FEDERICO LEANDRO</t>
  </si>
  <si>
    <t>ARIAS, FACUNDO</t>
  </si>
  <si>
    <t>FIGUEROA, SOLANGE</t>
  </si>
  <si>
    <t>ARISE, GERSON</t>
  </si>
  <si>
    <t>FIRME, MARIA</t>
  </si>
  <si>
    <t>Arispe Gerson</t>
  </si>
  <si>
    <t>FLEITAS MONJES, KEVIN</t>
  </si>
  <si>
    <t>ARISPE, GERSON</t>
  </si>
  <si>
    <t>FLORES MARTINEZ, JACQUELINA</t>
  </si>
  <si>
    <t>FRASQUERI, PABLO TOMAS</t>
  </si>
  <si>
    <t>ARMIENTO, TOBIAS</t>
  </si>
  <si>
    <t>FRIA, EVELYN</t>
  </si>
  <si>
    <t>ARRIGONI AILIN</t>
  </si>
  <si>
    <t>FRIAS, JESSICA</t>
  </si>
  <si>
    <t>Arrigoni Ailin Lucila</t>
  </si>
  <si>
    <t>FRIAS, SILVIA GABRIELA</t>
  </si>
  <si>
    <t>ARRIGONI, AILIN</t>
  </si>
  <si>
    <t>FRIEDL, MARTIN GUSTAVO</t>
  </si>
  <si>
    <t>ARRIGONI, AILIN LUCILA</t>
  </si>
  <si>
    <t>GAIDO, ROMINA</t>
  </si>
  <si>
    <t>ARTESI FLAVIA</t>
  </si>
  <si>
    <t>GALARZA, CELESTE</t>
  </si>
  <si>
    <t xml:space="preserve">Artesi Flavia </t>
  </si>
  <si>
    <t>GALEANO, BELEN NOEMI</t>
  </si>
  <si>
    <t>ARZAMENDIA ARIEL</t>
  </si>
  <si>
    <t>GALIAN, LUCAS NICOLAS</t>
  </si>
  <si>
    <t>ARZAMENDIA, ARIEL</t>
  </si>
  <si>
    <t>GALINDO LATORRE, FLORENCIA</t>
  </si>
  <si>
    <t>ARZAMENDIA, LUCAS</t>
  </si>
  <si>
    <t>GALINDO, JUAN MANUEL</t>
  </si>
  <si>
    <t xml:space="preserve">ARZAMENDIA, LUCAS </t>
  </si>
  <si>
    <t>GAMBINO, DANIEL</t>
  </si>
  <si>
    <t>ARZAMENDIA, LUCAS ARIEL</t>
  </si>
  <si>
    <t>GARCIA GONZALEZ, MICAELA SOLEDAD</t>
  </si>
  <si>
    <t>ASIMBURGO, JAZMIN</t>
  </si>
  <si>
    <t>GARCIA, FELICIANO RODRIGO</t>
  </si>
  <si>
    <t>ASTARGO NATANAEL</t>
  </si>
  <si>
    <t>GARCIA, MICAELA LUCIANA</t>
  </si>
  <si>
    <t>GARCIA, ORIANA VANINA</t>
  </si>
  <si>
    <t>ASTARGO, NATANAEL ALEJANDRO</t>
  </si>
  <si>
    <t>GARCIA, PAULA NATHALIA</t>
  </si>
  <si>
    <t>GAROFALO, EZEQUIEL</t>
  </si>
  <si>
    <t>AUXILIAR</t>
  </si>
  <si>
    <t>S/D</t>
  </si>
  <si>
    <t>GAVELLO, ANABELLA</t>
  </si>
  <si>
    <t>avila Samira</t>
  </si>
  <si>
    <t>GODOY RODRIGUEZ, LUCIA MARIA</t>
  </si>
  <si>
    <t>GOMEZ, CECILIA</t>
  </si>
  <si>
    <t>AVILA, GUSTAVO</t>
  </si>
  <si>
    <t>GOMEZ, FIORELLA MAGALI</t>
  </si>
  <si>
    <t>AVILA, IVANA</t>
  </si>
  <si>
    <t>GOMEZ, KATHERINE MELISA</t>
  </si>
  <si>
    <t>GOMEZ, SANTIAGO</t>
  </si>
  <si>
    <t>ÁVILA, SAMIRA</t>
  </si>
  <si>
    <t>GOMEZ, VALERIA SOLEDAD</t>
  </si>
  <si>
    <t>Aydee Guizado</t>
  </si>
  <si>
    <t>GONZALEZ MARIN, SOFIA ALEJANDRA</t>
  </si>
  <si>
    <t>AYDEE, GUIZADO</t>
  </si>
  <si>
    <t>GONZALEZ, ALEJANDRA</t>
  </si>
  <si>
    <t>AYRES, DIEGO EZEQUIEL</t>
  </si>
  <si>
    <t>GONZALEZ, EZEQUIEL WALTER</t>
  </si>
  <si>
    <t>AYRTON, MARTIN</t>
  </si>
  <si>
    <t>GONZALEZ, MARIA DELFINA</t>
  </si>
  <si>
    <t>GONZALEZ, MELANIE</t>
  </si>
  <si>
    <t>BABINGTON, PATRICIO</t>
  </si>
  <si>
    <t>GONZALEZ, MONICA</t>
  </si>
  <si>
    <t>BAEZ, JUAN IGNACIO</t>
  </si>
  <si>
    <t>GONZALEZ, NOEMI NORMA</t>
  </si>
  <si>
    <t>BAEZ, LUISA</t>
  </si>
  <si>
    <t>GORGA, MELINA DANIELA</t>
  </si>
  <si>
    <t>BANDIERA , Fabricio</t>
  </si>
  <si>
    <t>GUAGLIANONE, ADRIAN MATIAS</t>
  </si>
  <si>
    <t>BANDIERA , Fabrizio</t>
  </si>
  <si>
    <t>GUERRA, ALEJO</t>
  </si>
  <si>
    <t>BANDIERA LUCAS</t>
  </si>
  <si>
    <t>GUERRA, GABRIELA</t>
  </si>
  <si>
    <t>GUERRA, ROCIO AGOSTINA</t>
  </si>
  <si>
    <t>BANDIERA, FABRIZIO SEBASTIAN</t>
  </si>
  <si>
    <t>GUERRY, LUCIANA</t>
  </si>
  <si>
    <t>GURECKI, LAUTARO MARTIN</t>
  </si>
  <si>
    <t>BANDIERA,Fabricio</t>
  </si>
  <si>
    <t>GUTIERREZ, BETINA</t>
  </si>
  <si>
    <t>BANDIERA,Fabrizio</t>
  </si>
  <si>
    <t>GUTIERREZ, FACUNDO</t>
  </si>
  <si>
    <t>BANEGAS, NAHIR</t>
  </si>
  <si>
    <t>GUTIERREZ, NADIA NAHIR</t>
  </si>
  <si>
    <t>BARBOZA, DYLAN</t>
  </si>
  <si>
    <t>GUZMAN, FERNANDO</t>
  </si>
  <si>
    <t>HEREDIA, MATIAS</t>
  </si>
  <si>
    <t>BARCALA, GUIDO.</t>
  </si>
  <si>
    <t>HERMANN, ROXANA GUADALUPE</t>
  </si>
  <si>
    <t>BARESI MARIA</t>
  </si>
  <si>
    <t>HERNANDEZ, BRENDA</t>
  </si>
  <si>
    <t>BARESI MARIA XIMENA</t>
  </si>
  <si>
    <t>HERRERA, MATIAS IVAN</t>
  </si>
  <si>
    <t>BARESI, MARIA XIMENA</t>
  </si>
  <si>
    <t>HERRERA, NATALIA EVELYN</t>
  </si>
  <si>
    <t>BARESI, MARIA XIMENA Ximena</t>
  </si>
  <si>
    <t>IERACI, FLORENCIA</t>
  </si>
  <si>
    <t>INFANTE, JONATHAN ISMAEL</t>
  </si>
  <si>
    <t>BARGAS,FRANCO</t>
  </si>
  <si>
    <t>ISLEÑO, LUCAS</t>
  </si>
  <si>
    <t>JUNOY, FERNANDO RODRIGO</t>
  </si>
  <si>
    <t>BARRAL, CARLOS</t>
  </si>
  <si>
    <t>KARSCHACOFF, NAHIR</t>
  </si>
  <si>
    <t>KAWALEWSKI, NICOLE</t>
  </si>
  <si>
    <t>KOSELTEIN, SILVIA EDITH</t>
  </si>
  <si>
    <t>KRAKOVSKY, FLORENCIA</t>
  </si>
  <si>
    <t xml:space="preserve">Barrientos, Talia </t>
  </si>
  <si>
    <t>KRAKOVSKY, MARTINA NICOLE</t>
  </si>
  <si>
    <t>BARRIONUEVO, FACUNDO</t>
  </si>
  <si>
    <t>LAMBOGLIA, LAUTARO</t>
  </si>
  <si>
    <t>BARRIOS, AYLEN</t>
  </si>
  <si>
    <t>LARDAPIDE, CECILIA MARIEL</t>
  </si>
  <si>
    <t>LARREA, YESICA</t>
  </si>
  <si>
    <t>BARROS SERGIO</t>
  </si>
  <si>
    <t>LARROZA, GISELA</t>
  </si>
  <si>
    <t>Barros Sergio Javier</t>
  </si>
  <si>
    <t>LASTRA, PERLA</t>
  </si>
  <si>
    <t>LEGUINA, DANIEL</t>
  </si>
  <si>
    <t>BARROS, SERGIO</t>
  </si>
  <si>
    <t>LEGUIZAMON, KARINA NOEMI</t>
  </si>
  <si>
    <t>BARRRETO FEDERICO695202</t>
  </si>
  <si>
    <t>LEMA, ALEX IVAN</t>
  </si>
  <si>
    <t>LENCINA, CRISTINA</t>
  </si>
  <si>
    <t>LENCINAS, CAMILA</t>
  </si>
  <si>
    <t>LOBO, CARLOS</t>
  </si>
  <si>
    <t>BECERRA ABIGAIL</t>
  </si>
  <si>
    <t>LOBOS, NATALIA NOEMI</t>
  </si>
  <si>
    <t>BECERRA, ABIGAIL AYELEN</t>
  </si>
  <si>
    <t>LONGARETTI, CAROLINA SOLEDAD</t>
  </si>
  <si>
    <t>BEJARANO, BELEN</t>
  </si>
  <si>
    <t>LOPEZ DIAZ, JASON NAHUEL</t>
  </si>
  <si>
    <t>BELEN AMAYA</t>
  </si>
  <si>
    <t>LOPEZ ZARATE, WILMA CRISTINA</t>
  </si>
  <si>
    <t>BENDETTI JULIETA</t>
  </si>
  <si>
    <t>LOPEZ, CAMILA</t>
  </si>
  <si>
    <t>BENDIT.T.I, JULIETA</t>
  </si>
  <si>
    <t>LOPEZ, LUCIA GIMENA</t>
  </si>
  <si>
    <t>Benditti Julieta</t>
  </si>
  <si>
    <t>LUCERO, LAILA</t>
  </si>
  <si>
    <t>MAHLKNECHT, FLAVIA MARIANA</t>
  </si>
  <si>
    <t>Benitez Macarena Natal</t>
  </si>
  <si>
    <t>MANETTI, DIEGO MARTIN</t>
  </si>
  <si>
    <t>Benitez Macarena Natali</t>
  </si>
  <si>
    <t>MARASCO, MAXIMO</t>
  </si>
  <si>
    <t>MARONE, FRANCO ALESSANDRO</t>
  </si>
  <si>
    <t>BENÍTEZ PEREIRA, PATRICIA</t>
  </si>
  <si>
    <t>MARTIN, AYRTON</t>
  </si>
  <si>
    <t>BENITEZ, ANA GABRIELA</t>
  </si>
  <si>
    <t>MARTINEZ DONDE, SANTIAGO AGUSTIN</t>
  </si>
  <si>
    <t>BENITEZ, ANDY</t>
  </si>
  <si>
    <t>MARTINEZ, ALVARO MAXIMILIANO</t>
  </si>
  <si>
    <t>MARTINEZ, DYLAN</t>
  </si>
  <si>
    <t>BENITEZ, BRANDON</t>
  </si>
  <si>
    <t>MARTINEZ, JIMENA GISELLE</t>
  </si>
  <si>
    <t>MARTINEZ, MARCELO</t>
  </si>
  <si>
    <t>BENÍTEZ, BRENDA</t>
  </si>
  <si>
    <t>MASTROVINCENZO, PABLO</t>
  </si>
  <si>
    <t>BENITEZ, DIEGO</t>
  </si>
  <si>
    <t>MAZZELLA, BRIAN</t>
  </si>
  <si>
    <t>BENITEZ, MACARENA</t>
  </si>
  <si>
    <t>MAZZULLA, ANDREA</t>
  </si>
  <si>
    <t>BENITEZ, MACARENA NATALI</t>
  </si>
  <si>
    <t>MEJIA, GABRIEL</t>
  </si>
  <si>
    <t>MENDOZ, LUCIANO</t>
  </si>
  <si>
    <t>BERGARA ANDREA</t>
  </si>
  <si>
    <t>MENDOZA, JUAN BAUTISTA</t>
  </si>
  <si>
    <t>BERGARA, ANDREA</t>
  </si>
  <si>
    <t>MENDOZA, NICOLAS</t>
  </si>
  <si>
    <t>BERGARA, ANDREA CAROLINA</t>
  </si>
  <si>
    <t>MENGHI, CARLA</t>
  </si>
  <si>
    <t xml:space="preserve">BERGARA, ANDREA CAROLINA </t>
  </si>
  <si>
    <t>MERUVIA, BRUNO ALEJANDRO</t>
  </si>
  <si>
    <t xml:space="preserve">BERGARA, ANDREA CAROLINA Carolina </t>
  </si>
  <si>
    <t>MERZARIO CABALLERO, SILVIA</t>
  </si>
  <si>
    <t>BERGONZI, LORENA DAFNE</t>
  </si>
  <si>
    <t>MEZA, ROMINA</t>
  </si>
  <si>
    <t>BERNAL LAILA</t>
  </si>
  <si>
    <t>MOLIN, WARA</t>
  </si>
  <si>
    <t>BERNAL MAXIMILIANO</t>
  </si>
  <si>
    <t>MOLINA, MARIA LAURA</t>
  </si>
  <si>
    <t>MONTERO, MAYRA LORENA</t>
  </si>
  <si>
    <t>MONTEROS, SELENE ORNELLA</t>
  </si>
  <si>
    <t>BLANCO KIARA</t>
  </si>
  <si>
    <t>MONTIEL, NOELIA</t>
  </si>
  <si>
    <t>BLANCO, KIARA</t>
  </si>
  <si>
    <t>MONTUORO, NICOLAS</t>
  </si>
  <si>
    <t>BLANCO, KIARA MICAELA</t>
  </si>
  <si>
    <t>MONZALVO, SOFIA ABIGAIL</t>
  </si>
  <si>
    <t>BLANCO, LUCIANA</t>
  </si>
  <si>
    <t>MORALES, EZEQUIEL DARIO</t>
  </si>
  <si>
    <t>BOGADO SANDOVAL, SILVINA</t>
  </si>
  <si>
    <t>MOREL, AYELEN SOFIA</t>
  </si>
  <si>
    <t>BOGADO, MAIRA</t>
  </si>
  <si>
    <t>MORETTO NAZAR, NAHIR MELINA</t>
  </si>
  <si>
    <t>BOMONE NICOLAS</t>
  </si>
  <si>
    <t>MORRONE, GISELA VERONICA</t>
  </si>
  <si>
    <t>BOMONE NICOLAS IVAN</t>
  </si>
  <si>
    <t>MOSS, KATHERINE</t>
  </si>
  <si>
    <t>BOMONE, NICOLAS</t>
  </si>
  <si>
    <t>MOUMARY, CECILIA EZPERANZA</t>
  </si>
  <si>
    <t>MOURE QUINTAS, FRANCO</t>
  </si>
  <si>
    <t>BONED, SEBASTIAN</t>
  </si>
  <si>
    <t>MOYA, PRISCILLA ANA LEONOR</t>
  </si>
  <si>
    <t>BONED, SEBASTIAN LEONEL</t>
  </si>
  <si>
    <t>MUJICA DOMINGO, ELIAS URIEL</t>
  </si>
  <si>
    <t>BORDENAVE, GIORGINA</t>
  </si>
  <si>
    <t>NABILA, DALIA</t>
  </si>
  <si>
    <t>BORED, SEBASTIAN LEONEL</t>
  </si>
  <si>
    <t>NARANJO, JENNIFER</t>
  </si>
  <si>
    <t>BORGHESAN NICOLAS</t>
  </si>
  <si>
    <t>NARANJO, LUCIANO ROBERTO</t>
  </si>
  <si>
    <t>BORGHESAN, NICOLAS</t>
  </si>
  <si>
    <t>NICOLA, ANDRES JAVIER</t>
  </si>
  <si>
    <t>NIEVA, NANCY VIVIANA</t>
  </si>
  <si>
    <t>BORGHESIAN, NICOLAS</t>
  </si>
  <si>
    <t>NIEVA, SOFIA</t>
  </si>
  <si>
    <t>BORREGO LEONELA</t>
  </si>
  <si>
    <t>NOCITI, IGNACIO</t>
  </si>
  <si>
    <t>NOVAS, ANTONELLA</t>
  </si>
  <si>
    <t>BOSSIO, ROMINA</t>
  </si>
  <si>
    <t>NUREMBERG, IARA</t>
  </si>
  <si>
    <t>BOURLON, EVELYN</t>
  </si>
  <si>
    <t>OBRONSKY, KATHERINE GISELLE</t>
  </si>
  <si>
    <t>OJEDA, DAIANA</t>
  </si>
  <si>
    <t>OLASCUAGA, ISABEL</t>
  </si>
  <si>
    <t>BOUSO, MARTINA</t>
  </si>
  <si>
    <t>OLIVA, CATERINA ESTEFANIA</t>
  </si>
  <si>
    <t>BOYE VERONICA</t>
  </si>
  <si>
    <t>OLIVARES, SABRINA GISELLE</t>
  </si>
  <si>
    <t>BOYE VERONICA MARIANA</t>
  </si>
  <si>
    <t>OLMEDO, HUGO</t>
  </si>
  <si>
    <t>BOYE, VERONICA MARIANA</t>
  </si>
  <si>
    <t>ORDOÑEZ, DEBORA ANDREA</t>
  </si>
  <si>
    <t>BRANDONI AGUSTINA</t>
  </si>
  <si>
    <t>ORDOÑEZ, FACUNDO</t>
  </si>
  <si>
    <t>ORDOÑEZ, LUCAS</t>
  </si>
  <si>
    <t>BRENDA HERNANDEZ</t>
  </si>
  <si>
    <t>ORELLANO, MARIA</t>
  </si>
  <si>
    <t>BRITO, FLORENCIA</t>
  </si>
  <si>
    <t>ORTUBIA, EUGENIA MIRIAM</t>
  </si>
  <si>
    <t>BRIZUELA MARIA ALEJANDRA</t>
  </si>
  <si>
    <t>OVIEDO, FACUNDO</t>
  </si>
  <si>
    <t>PAEZ, MARIA SOLEDAD</t>
  </si>
  <si>
    <t>PANDO, LUISA GABRIELA</t>
  </si>
  <si>
    <t>BRUNA ROXANA</t>
  </si>
  <si>
    <t>PEDEMONTE, MAYRA SOFIA</t>
  </si>
  <si>
    <t>BRUNA, ROXANA</t>
  </si>
  <si>
    <t>PEDRAZA, YESICA AYELEN</t>
  </si>
  <si>
    <t>BRUNA, ROXANA PAOLA</t>
  </si>
  <si>
    <t>PELOSI, ESTEFANIA AYELEN</t>
  </si>
  <si>
    <t>BRUZZO CANDELA ORIANA</t>
  </si>
  <si>
    <t>PENOVI, LUCAS</t>
  </si>
  <si>
    <t>Bruzzo, Candela</t>
  </si>
  <si>
    <t>PERALTA, ELIZABETH</t>
  </si>
  <si>
    <t>PERALTA, LUCAS</t>
  </si>
  <si>
    <t>BULENTINI ORDOÑEZ VALENTINA</t>
  </si>
  <si>
    <t>PERALTA, NOELIA SOLEDAD</t>
  </si>
  <si>
    <t>PEREIRA, ANALIA</t>
  </si>
  <si>
    <t>CABALLERO, MERCEDES</t>
  </si>
  <si>
    <t>PEREYRA, MELISA ELIZABETH</t>
  </si>
  <si>
    <t>CABANELAS, JULIAN</t>
  </si>
  <si>
    <t>PEREZ, CELESTE MICAELA</t>
  </si>
  <si>
    <t>CABRAL , Carolina</t>
  </si>
  <si>
    <t>PEREZ, FEDERICO</t>
  </si>
  <si>
    <t>CABRAL, CAROLINA</t>
  </si>
  <si>
    <t>PEREZ, FLAVIA</t>
  </si>
  <si>
    <t>PEREZ, JULIETA AGUSTINA</t>
  </si>
  <si>
    <t>PEREZ, MATIAS FABIAN</t>
  </si>
  <si>
    <t>CABRAL, NATALIA</t>
  </si>
  <si>
    <t>PERRONE, TAMARA AYELEN</t>
  </si>
  <si>
    <t xml:space="preserve">Cabral, Natalia </t>
  </si>
  <si>
    <t>PIACENTE, FRANCO</t>
  </si>
  <si>
    <t>CABRAL,Carolina</t>
  </si>
  <si>
    <t>PICCO, PATRICIA</t>
  </si>
  <si>
    <t xml:space="preserve">CABRAL,Carolina </t>
  </si>
  <si>
    <t>PINEL, MILAGROS BELEN</t>
  </si>
  <si>
    <t>CABRERA ELISA</t>
  </si>
  <si>
    <t>PIÑEYRO, NOELIA CELESTE</t>
  </si>
  <si>
    <t>CABRERA KARINA</t>
  </si>
  <si>
    <t>PLOMER, LAURA</t>
  </si>
  <si>
    <t>Cabrera	Karina Angela</t>
  </si>
  <si>
    <t>PONCE DE LEON, CINDY MARIBEL</t>
  </si>
  <si>
    <t>Cabrera, 	Karina Angela</t>
  </si>
  <si>
    <t>PONCE, VANESA PAOLA</t>
  </si>
  <si>
    <t>CABRERA, ANGEL</t>
  </si>
  <si>
    <t>PORTILLO, SERGIO</t>
  </si>
  <si>
    <t>CABRERA, DEBORA</t>
  </si>
  <si>
    <t>POSSE, ALBA</t>
  </si>
  <si>
    <t>POTEL, ROCIO SOL</t>
  </si>
  <si>
    <t>CABRERA, KARINA ANGELA</t>
  </si>
  <si>
    <t>PREZZAVENTO, SERGIO</t>
  </si>
  <si>
    <t>CACERES MATIAS NAHUEL</t>
  </si>
  <si>
    <t>PUYOL, ANAHI</t>
  </si>
  <si>
    <t>Cáceres Matias Nahuel</t>
  </si>
  <si>
    <t>QUIÑONEZ, MARIA FLORENCIA</t>
  </si>
  <si>
    <t>CACERES, ALEJO</t>
  </si>
  <si>
    <t>QUIROGA, FRANCO JULIAN</t>
  </si>
  <si>
    <t>QUIROGA, JAQUELINA ANABEL</t>
  </si>
  <si>
    <t>CACERES, ANTONELLA</t>
  </si>
  <si>
    <t>QUIROGA, VICTORIA DIANEY</t>
  </si>
  <si>
    <t>CACERES, ANTONELLA SOLEDAD</t>
  </si>
  <si>
    <t>RAMIREZ, DAVID</t>
  </si>
  <si>
    <t>CACERES, LUCAS</t>
  </si>
  <si>
    <t>DESCONOCIDO</t>
  </si>
  <si>
    <t>RAMOS, LORENA</t>
  </si>
  <si>
    <t>CACERES, MAIRA</t>
  </si>
  <si>
    <t>RASJIDO, ALDANA</t>
  </si>
  <si>
    <t>CÁCERES, MAIRA</t>
  </si>
  <si>
    <t>RECCHIA, AGUSTIN</t>
  </si>
  <si>
    <t>CACERES, MAIRA ALDANA</t>
  </si>
  <si>
    <t>REINAGA, MARTIN</t>
  </si>
  <si>
    <t>Caceres, Matias</t>
  </si>
  <si>
    <t>REINOSO, MATIAS</t>
  </si>
  <si>
    <t>CACERES, MATIAS NAHUEL</t>
  </si>
  <si>
    <t>RIBEIRO, CECILIA</t>
  </si>
  <si>
    <t>CALIBA</t>
  </si>
  <si>
    <t>RINALDI, SANTIAGO LUCA</t>
  </si>
  <si>
    <t>CALIBA CANDELA</t>
  </si>
  <si>
    <t>RIOS MESA, MALCOM MIGUEL</t>
  </si>
  <si>
    <t>RIOS PEREZ, KARINA ALDANA</t>
  </si>
  <si>
    <t>CALLIZAYA AVILA, DANIEL DENIS</t>
  </si>
  <si>
    <t>RIOS, DANA</t>
  </si>
  <si>
    <t>CALLIZAYA DANIEL</t>
  </si>
  <si>
    <t>RIOS, GABRIELA</t>
  </si>
  <si>
    <t>CALLIZAYA, DANIEL</t>
  </si>
  <si>
    <t>RITA AUGUSTO, SOFIA FLORENCIA</t>
  </si>
  <si>
    <t>CAMAÑO, NAHUEL</t>
  </si>
  <si>
    <t>RIVAS CARLETTO, ALBA BEATRIZ</t>
  </si>
  <si>
    <t>RIVERA, KAREN ELIANA</t>
  </si>
  <si>
    <t>CAMARGO, ADRIAN</t>
  </si>
  <si>
    <t>RIVERA, MARIA FLORENCIA</t>
  </si>
  <si>
    <t>RODRIGUEZ TARRES, MATIAS</t>
  </si>
  <si>
    <t>RODRIGUEZ, PATRICIA ELIZABETH</t>
  </si>
  <si>
    <t>CAMBLOR, RAMIRO</t>
  </si>
  <si>
    <t>RODRIGUEZ, SOFIA</t>
  </si>
  <si>
    <t>Camino Julián Matías</t>
  </si>
  <si>
    <t>ROJAS, EMILIANO JOSE</t>
  </si>
  <si>
    <t>Camino, Julián</t>
  </si>
  <si>
    <t>ROJAS, GISELA ANTONELLA</t>
  </si>
  <si>
    <t>ROJAS, PRISCILA ELIZABETH</t>
  </si>
  <si>
    <t>Camino, Julián Matías</t>
  </si>
  <si>
    <t>ROMAN, DIANA MICHELE</t>
  </si>
  <si>
    <t>CAMINO, MATIAS JULIAN</t>
  </si>
  <si>
    <t>ROMERO, ALEJANDRA</t>
  </si>
  <si>
    <t>ROMERO, BRANDOM</t>
  </si>
  <si>
    <t>CAMPILONGO, VALENTIN</t>
  </si>
  <si>
    <t>ROMERO, CARLOS GABRIEL</t>
  </si>
  <si>
    <t>CAMPILONGO, VALENTÍN</t>
  </si>
  <si>
    <t>ROMERO, GRACIELA</t>
  </si>
  <si>
    <t>Campilongo. Valentin</t>
  </si>
  <si>
    <t>ROMERO, LUCAS</t>
  </si>
  <si>
    <t>CAMPOS ANGIE</t>
  </si>
  <si>
    <t>ROMERO, MARIANA</t>
  </si>
  <si>
    <t>CAMPOS GUTIERREZ, JUDITH</t>
  </si>
  <si>
    <t>ROMERO, NASRALA</t>
  </si>
  <si>
    <t>CAMPOS GUTIERREZ, JUDITH JOHANNA ANGIE</t>
  </si>
  <si>
    <t>RUIZ DIAZ, BELEN ALEJANDRA</t>
  </si>
  <si>
    <t>Canaglia Carreira Patricia</t>
  </si>
  <si>
    <t>RUNGE, MIRTA</t>
  </si>
  <si>
    <t>CANAGLIA CARREIRA, PATRICIA</t>
  </si>
  <si>
    <t>SABELLA, ROSA MARIA</t>
  </si>
  <si>
    <t>SALERNO, KEVIN IVAN</t>
  </si>
  <si>
    <t>CANAGLIA PATRICIA</t>
  </si>
  <si>
    <t>SALIG, FRANCISCO</t>
  </si>
  <si>
    <t>CANAGLIA, PATRICIA</t>
  </si>
  <si>
    <t>SALINAS, FRANCO GABRIEL</t>
  </si>
  <si>
    <t>canalis loana</t>
  </si>
  <si>
    <t>SALINAS, SHIRLY ELIZABETH</t>
  </si>
  <si>
    <t>CANALIS LOANA ARIANA</t>
  </si>
  <si>
    <t>SANABRIA, MELINA ANGELES</t>
  </si>
  <si>
    <t>CANALIS, LOANA ARIANA</t>
  </si>
  <si>
    <t>SANCHEZ, MELANY YAMILA</t>
  </si>
  <si>
    <t>CANALIS. LOANA ARIANA</t>
  </si>
  <si>
    <t>SANDOVAL, JEREMIAS</t>
  </si>
  <si>
    <t>CANCECO, FACUNDO</t>
  </si>
  <si>
    <t>SANTILLAN, LEON LUIS</t>
  </si>
  <si>
    <t>CANEPA, LEILA</t>
  </si>
  <si>
    <t>SAYUS, YANINA</t>
  </si>
  <si>
    <t>CANEPA,LEILA</t>
  </si>
  <si>
    <t>SEBASTIA, MARIANA</t>
  </si>
  <si>
    <t>CANO, ANALIA</t>
  </si>
  <si>
    <t>SEGOVIA, NOELIA</t>
  </si>
  <si>
    <t>Cano, Analía</t>
  </si>
  <si>
    <t>SELIS, SOLANGE</t>
  </si>
  <si>
    <t>CAÑETE, LISANDRO GABRIEL</t>
  </si>
  <si>
    <t>SENA, ANABEL</t>
  </si>
  <si>
    <t>CAPONI, FLAVIA</t>
  </si>
  <si>
    <t>SILVA, VANESA NOEMI</t>
  </si>
  <si>
    <t>SIQUILA, FLORENCIA AGUSTINA</t>
  </si>
  <si>
    <t>CARABALLO, LUCAS DANIEL</t>
  </si>
  <si>
    <t>SIVIERO, AGUSTINA</t>
  </si>
  <si>
    <t>SORIA, ANA VALERIA</t>
  </si>
  <si>
    <t>CARDOZO MARIA LAURA</t>
  </si>
  <si>
    <t>SORIA, LAURA BELEN</t>
  </si>
  <si>
    <t>CARDOZO ROMINA</t>
  </si>
  <si>
    <t>SOSA, LEON MIGUEL ANTONIO</t>
  </si>
  <si>
    <t>SOSA, NOELIA</t>
  </si>
  <si>
    <t>SOTO, AILEN</t>
  </si>
  <si>
    <t>CARDOZO, YANET LEILA</t>
  </si>
  <si>
    <t>STUCHETTI, FLORENCIA</t>
  </si>
  <si>
    <t>CAREGGIO, HORACIO DAMIAN</t>
  </si>
  <si>
    <t>TABORDA, MICAELA</t>
  </si>
  <si>
    <t>CARLOS CARRERAS</t>
  </si>
  <si>
    <t>TAKACH SABORIDO, AGUSTIN</t>
  </si>
  <si>
    <t>TARILLO, EZEQUIEL</t>
  </si>
  <si>
    <t>CARRASCO, DEBORA</t>
  </si>
  <si>
    <t>TEJEDA, MATIAS</t>
  </si>
  <si>
    <t>TELLELDIN, MARCOS NICOLAS</t>
  </si>
  <si>
    <t>CARREÑO ROSSI, MATÍAS EZEQUIEL</t>
  </si>
  <si>
    <t>TELVINI, TIAGO</t>
  </si>
  <si>
    <t>CARREÑO, EZEQUIEL</t>
  </si>
  <si>
    <t>TIRAVANTI MEDINA, INGRYD JAZMIN</t>
  </si>
  <si>
    <t>CARRERA, DÉBORA</t>
  </si>
  <si>
    <t>TOBARES, SABRINA</t>
  </si>
  <si>
    <t>TOCONAS, MARISA ARACELI</t>
  </si>
  <si>
    <t>CARRERA, DÉBORA ALEJANDRA</t>
  </si>
  <si>
    <t>TORELLI, MARIA SOL</t>
  </si>
  <si>
    <t>CARRERAS CARLOS</t>
  </si>
  <si>
    <t>TRIPPICCHIO, MARIA MILAGROS</t>
  </si>
  <si>
    <t>TURA, BELEN</t>
  </si>
  <si>
    <t>carrigo, agustina</t>
  </si>
  <si>
    <t>UEZ, FLORENCIA</t>
  </si>
  <si>
    <t>CARRIZO FRANCO</t>
  </si>
  <si>
    <t>VALLEJOS, MARIANELA</t>
  </si>
  <si>
    <t>CARRIZO RODRIGO</t>
  </si>
  <si>
    <t>VALLS, FACUNDO</t>
  </si>
  <si>
    <t>VARAS, LUCIANA</t>
  </si>
  <si>
    <t>CARRIZO, RODRIGO</t>
  </si>
  <si>
    <t>VAZQUEZ DIEGUEZ, MARIA JOSE ESTEFANIA</t>
  </si>
  <si>
    <t xml:space="preserve">Carrizo, Rodrigo </t>
  </si>
  <si>
    <t>VELIZ AYALA, ROCIO SOLEDAD</t>
  </si>
  <si>
    <t>CARRIZO, SOFIA</t>
  </si>
  <si>
    <t>VELIZ, DAMIAN JAVIER</t>
  </si>
  <si>
    <t>CARRUEGO, MIRTA</t>
  </si>
  <si>
    <t>VELTRI, PAULA ANDREA</t>
  </si>
  <si>
    <t>CARTASEGNA, SILVIO ESTEBAN</t>
  </si>
  <si>
    <t>VENTURINO, VALENTINA</t>
  </si>
  <si>
    <t>VERA FIGUEREDO, DAIANA</t>
  </si>
  <si>
    <t>CASALNOVO FRANCO</t>
  </si>
  <si>
    <t>VERAMENDI, ENZO DARIO</t>
  </si>
  <si>
    <t xml:space="preserve">CASALNOVO FRANCO </t>
  </si>
  <si>
    <t>VERTI, GASTON</t>
  </si>
  <si>
    <t>CASALNOVO, FRANCO</t>
  </si>
  <si>
    <t>VIALE, GISELA SOLEDAD</t>
  </si>
  <si>
    <t>CASALVONO, FRANCO</t>
  </si>
  <si>
    <t>VILARO, LUDMILA MAGALI</t>
  </si>
  <si>
    <t>CASANOVO FRANCO</t>
  </si>
  <si>
    <t>VILLAGRA, CLARA</t>
  </si>
  <si>
    <t>CASCO SOLEDAD</t>
  </si>
  <si>
    <t>VILLALVA, GABRIEL EZEQUIEL</t>
  </si>
  <si>
    <t>CASCO, MARÍA</t>
  </si>
  <si>
    <t>VILLAR, RODRIGO NICOLAS</t>
  </si>
  <si>
    <t>VILLEGAS, RODRIGO</t>
  </si>
  <si>
    <t>VILLORDO, GRISELDA</t>
  </si>
  <si>
    <t>CASERES ANTONELA</t>
  </si>
  <si>
    <t>VORPAGEL, AGUSTINA</t>
  </si>
  <si>
    <t>CASERES NICOLE</t>
  </si>
  <si>
    <t>VORPAGEL, SABRINA</t>
  </si>
  <si>
    <t>WOLANINK, MATIAS</t>
  </si>
  <si>
    <t>CASERES, NICOLE</t>
  </si>
  <si>
    <t>YAPURA, JOHANA</t>
  </si>
  <si>
    <t>YUDI, GISELLE</t>
  </si>
  <si>
    <t>YUFRA, YOHANA</t>
  </si>
  <si>
    <t>CASTAÑO, NATALIA</t>
  </si>
  <si>
    <t>ZAMERO GALVAN, DAIANA ELIZABETH</t>
  </si>
  <si>
    <t>ZAMORA, STELLA SOLEDAD</t>
  </si>
  <si>
    <t>CASTIGLIONI CAMILA</t>
  </si>
  <si>
    <t>ZANUY, JERONIMO</t>
  </si>
  <si>
    <t>CASTIGLIONI, CAMILA</t>
  </si>
  <si>
    <t>ZASLAVSKY, SANDRA REGINA</t>
  </si>
  <si>
    <t>CASTILLO BARRIOS, EDGAR DAVID</t>
  </si>
  <si>
    <t>ZELARAYAN, MIRELLA TATIANA</t>
  </si>
  <si>
    <t>Castillo Barrios, Edgard David</t>
  </si>
  <si>
    <t>ZORAIRE, MICAELA ROMINA</t>
  </si>
  <si>
    <t>CASTILLO CLAUDIO</t>
  </si>
  <si>
    <t>ZORZOLI, FLORENCIA</t>
  </si>
  <si>
    <t>CASTILLO GISEEL</t>
  </si>
  <si>
    <t>CASTILLO GISEL</t>
  </si>
  <si>
    <t>CASTILLO GISSEL</t>
  </si>
  <si>
    <t>CASTILLO, CLAUDIO</t>
  </si>
  <si>
    <t>CASTILLO, EDGAR</t>
  </si>
  <si>
    <t>CASTILLO, EDGARD</t>
  </si>
  <si>
    <t>CASTRO LAUDANI TAMARA</t>
  </si>
  <si>
    <t>CASTRO LAUDANI, TAMARA</t>
  </si>
  <si>
    <t>CASTRO, TAMARA</t>
  </si>
  <si>
    <t>CAVA, ARIEL LEONARDO</t>
  </si>
  <si>
    <t>CEBALLOS FLORENCIA</t>
  </si>
  <si>
    <t>Ceballos Florencia Mariana</t>
  </si>
  <si>
    <t xml:space="preserve">Ceballos Florencia Mariana </t>
  </si>
  <si>
    <t>CEBALLOS, FLORENCIA</t>
  </si>
  <si>
    <t>CEBALLOS, FLORENCIA MARIANA</t>
  </si>
  <si>
    <t>CEBALLOS, FLORENCIA MARIANA Mariana</t>
  </si>
  <si>
    <t xml:space="preserve">CEBALLOS, FLORENCIA MARIANA Mariana </t>
  </si>
  <si>
    <t>CEI MARIANO</t>
  </si>
  <si>
    <t>CEI, MARIANO</t>
  </si>
  <si>
    <t>CEJAS, MIGUEL ÁNGEL</t>
  </si>
  <si>
    <t>CEJAS, NICOLAS</t>
  </si>
  <si>
    <t>CEJAS, NICOLÁS</t>
  </si>
  <si>
    <t xml:space="preserve">CEJAS, NICOLAS </t>
  </si>
  <si>
    <t>Celestino Candela</t>
  </si>
  <si>
    <t xml:space="preserve">Celestino Candela </t>
  </si>
  <si>
    <t>CELESTINO, CANDELA</t>
  </si>
  <si>
    <t>Centurión Aymara</t>
  </si>
  <si>
    <t>Centurión Aymara Maiten</t>
  </si>
  <si>
    <t>Centurión, Aymara Maiten</t>
  </si>
  <si>
    <t>CESARINO AGUSTIN</t>
  </si>
  <si>
    <t>CESARINO, AGUSTIN</t>
  </si>
  <si>
    <t>CESARINO. AGUSTIN</t>
  </si>
  <si>
    <t>CEVALLOS, FLORENCIA</t>
  </si>
  <si>
    <t>Chacon Franco</t>
  </si>
  <si>
    <t>CHACON MICAELA FRANCESCA</t>
  </si>
  <si>
    <t>Chacon, Franco</t>
  </si>
  <si>
    <t>Chacon, Micaela</t>
  </si>
  <si>
    <t>CHACON, MICAELA FRANSESCA</t>
  </si>
  <si>
    <t>CHAMBILLA PALMA, VERONICA</t>
  </si>
  <si>
    <t>CHAPARRO FEDERICO</t>
  </si>
  <si>
    <t>CHAPARRO, GERMAN</t>
  </si>
  <si>
    <t>CHARON, FLORENCIA</t>
  </si>
  <si>
    <t>CHARON, FLORENCIA AGUSTINA</t>
  </si>
  <si>
    <t>CHARON, NATALY</t>
  </si>
  <si>
    <t>CHAUQUE , Vanesa</t>
  </si>
  <si>
    <t>CHAUQUE, VANESA ALICIA</t>
  </si>
  <si>
    <t>CHAUQUE,Vanesa</t>
  </si>
  <si>
    <t>Chauvin Facundo</t>
  </si>
  <si>
    <t>CHAUVIN, FACUNDO</t>
  </si>
  <si>
    <t xml:space="preserve">Chauvin, Facundo </t>
  </si>
  <si>
    <t>CHAVEZ, GLADYS</t>
  </si>
  <si>
    <t>CHAVEZ, HERNAN</t>
  </si>
  <si>
    <t>CHÁVEZ, HERNÁN</t>
  </si>
  <si>
    <t>CHUQUIYAURI, ÁNGEL</t>
  </si>
  <si>
    <t>CIAPINNI, LUCAS</t>
  </si>
  <si>
    <t>CIAPPINI LUCA</t>
  </si>
  <si>
    <t>CINDY PONCE DE LEON</t>
  </si>
  <si>
    <t>CIPRANO, FACUNDO</t>
  </si>
  <si>
    <t>CIPRIANI SOFIA</t>
  </si>
  <si>
    <t>CIPRIANI, SOFÍA</t>
  </si>
  <si>
    <t>CIPRIANO FACUNDO</t>
  </si>
  <si>
    <t>CIPRIANO, FACUNDO NICOLAS</t>
  </si>
  <si>
    <t>CIPRIANO, FACUNDO NICOLÁS</t>
  </si>
  <si>
    <t>CLARO TAIEL</t>
  </si>
  <si>
    <t>CLARO, TAIEL</t>
  </si>
  <si>
    <t>CLARO, TAIEL OSVALDO</t>
  </si>
  <si>
    <t>CLARO, TAIHEL</t>
  </si>
  <si>
    <t>COCERES, FIAMMA</t>
  </si>
  <si>
    <t>COLINAS NICOLAS DARIO</t>
  </si>
  <si>
    <t>COLINAS, NICOLAS</t>
  </si>
  <si>
    <t>COLINAS, NICOLAS DARIO</t>
  </si>
  <si>
    <t>COLMAN, NATALY ELIZABETH</t>
  </si>
  <si>
    <t>COLOMBO, SABRINA</t>
  </si>
  <si>
    <t>COMAN SALSURIN, AGUSTINA MACARENA</t>
  </si>
  <si>
    <t>COMBA, ADELINA</t>
  </si>
  <si>
    <t>COMBA, ADELINA SOFIA</t>
  </si>
  <si>
    <t>Condori Leonel</t>
  </si>
  <si>
    <t xml:space="preserve">Condori Leonel </t>
  </si>
  <si>
    <t>CONDORI VILCA, LEONEL AGUSTIN</t>
  </si>
  <si>
    <t>CONDORI VILCA, LEONEL AGUSTÍN</t>
  </si>
  <si>
    <t>CONDORI, LEONEL</t>
  </si>
  <si>
    <t>CONSTANTINO, NAHIR</t>
  </si>
  <si>
    <t>CONSTANTINO, NAHIR ALDANA</t>
  </si>
  <si>
    <t>CONVERSANO, MARINA</t>
  </si>
  <si>
    <t>CORDOBA ROMINA</t>
  </si>
  <si>
    <t>CORDOBA VELOSO, BRIAN</t>
  </si>
  <si>
    <t>CORDOBA, FEDERICO NICOLAS</t>
  </si>
  <si>
    <t>Cordoba, Romina</t>
  </si>
  <si>
    <t>CORDOBA, ROMINA PAOLA</t>
  </si>
  <si>
    <t>CORONEL DANIEL</t>
  </si>
  <si>
    <t>Coronel Garassino Victor Gabriel</t>
  </si>
  <si>
    <t xml:space="preserve">Coronel Garassino Victor Gabriel </t>
  </si>
  <si>
    <t>CORONEL GARASSINO, VICTOR</t>
  </si>
  <si>
    <t>CORONEL GARASSINO, VICTOR GABRIEL</t>
  </si>
  <si>
    <t>CORONEL, DANIEL</t>
  </si>
  <si>
    <t>CORONEL, JACQUELINE</t>
  </si>
  <si>
    <t>CORONEL, JACQUELINE ANDREA</t>
  </si>
  <si>
    <t>CORONEL, JAQUELINE ANDREA</t>
  </si>
  <si>
    <t>CORREA ,BELEN</t>
  </si>
  <si>
    <t>CORREA BELEN</t>
  </si>
  <si>
    <t>CORREA DIANA</t>
  </si>
  <si>
    <t xml:space="preserve">CORREA DIANA </t>
  </si>
  <si>
    <t>Correa Diana Maira</t>
  </si>
  <si>
    <t>CORREA, BELEN</t>
  </si>
  <si>
    <t xml:space="preserve">CORREA, BELEN </t>
  </si>
  <si>
    <t>CORREA, BELEN SOLEDAD</t>
  </si>
  <si>
    <t>Correa, Diana Maira</t>
  </si>
  <si>
    <t>CORREA, DIANA MARIA</t>
  </si>
  <si>
    <t>CORREA, DIANA MARÍA</t>
  </si>
  <si>
    <t>CORREA. BELEN</t>
  </si>
  <si>
    <t>CORVALÁN MICAELA ALEJANDRA</t>
  </si>
  <si>
    <t>CORVALÁN, IARA</t>
  </si>
  <si>
    <t>CORVALAN, MICAELA ALEJANDRA</t>
  </si>
  <si>
    <t>CORVALÁN, MICAELA ALEJANDRA</t>
  </si>
  <si>
    <t>CORVALÁN, MICAELA.</t>
  </si>
  <si>
    <t>CORVETTO, FLORENCIA</t>
  </si>
  <si>
    <t>COUSO MARIA VICTORIA</t>
  </si>
  <si>
    <t xml:space="preserve">COUSO MARIA VICTORIA </t>
  </si>
  <si>
    <t>COUSO, VICTORIA</t>
  </si>
  <si>
    <t>CRISTOFORI NAGEL, GUSTAVO NAGEL</t>
  </si>
  <si>
    <t>CRISTOFORI, GUSTAVO</t>
  </si>
  <si>
    <t>CRISTOFORI, NAGEL GUSTAVO</t>
  </si>
  <si>
    <t>Cruz Lara Yolaidy Mercedes</t>
  </si>
  <si>
    <t>CRUZ, LARA</t>
  </si>
  <si>
    <t>CRUZ, LARA YOLAIDY MERCEDES</t>
  </si>
  <si>
    <t>CRUZ, MARTIN</t>
  </si>
  <si>
    <t>CUELLAR, CAMILA</t>
  </si>
  <si>
    <t>CUELLAR, JENNIFER</t>
  </si>
  <si>
    <t xml:space="preserve">Cuello Joaquin </t>
  </si>
  <si>
    <t>CUELLO, JENIFER</t>
  </si>
  <si>
    <t>CUEVAS, JAVIER</t>
  </si>
  <si>
    <t>CUFOS, MICAELA</t>
  </si>
  <si>
    <t>CURBELO, CARLA MARIBEL</t>
  </si>
  <si>
    <t>D ANGELIS SILVANA</t>
  </si>
  <si>
    <t xml:space="preserve">D ANGELIS SILVANA </t>
  </si>
  <si>
    <t>D ANGELIS, Silvana</t>
  </si>
  <si>
    <t>D Angelis, Silvina</t>
  </si>
  <si>
    <t>D angelis,Silvana</t>
  </si>
  <si>
    <t xml:space="preserve">D angelis,Silvana </t>
  </si>
  <si>
    <t>D ANGELIS,SILVINA</t>
  </si>
  <si>
    <t>D´ANGELIS, SILVANA</t>
  </si>
  <si>
    <t>DAGUER ALAN</t>
  </si>
  <si>
    <t>DAGUER, ALAN EZEQUIEL</t>
  </si>
  <si>
    <t>DALIA NABILA</t>
  </si>
  <si>
    <t>DALIA, NABILA</t>
  </si>
  <si>
    <t>DANGELIS VANESA</t>
  </si>
  <si>
    <t>DANGELIS, SILVANA</t>
  </si>
  <si>
    <t>DANGELIS, VANESA</t>
  </si>
  <si>
    <t>DANGELIS,SILVINA</t>
  </si>
  <si>
    <t>DAUMAS VICTORIA</t>
  </si>
  <si>
    <t>DAUMAS VICTORIA SOL</t>
  </si>
  <si>
    <t>DAUMAS, VICTORIA</t>
  </si>
  <si>
    <t>DE MARE CLAUDIO</t>
  </si>
  <si>
    <t>DE RITO ROCHI, MARCO</t>
  </si>
  <si>
    <t>De Sarro Malena</t>
  </si>
  <si>
    <t>DE SARRO, MALENA</t>
  </si>
  <si>
    <t>DEL CUEYO, FLORENCIA</t>
  </si>
  <si>
    <t>DEL PUEYO CECILIA FLORENCIA</t>
  </si>
  <si>
    <t>DEL PUEYO, CECILIA</t>
  </si>
  <si>
    <t>DEL VALLE, GONZALO</t>
  </si>
  <si>
    <t>DELFINA GONZALEZ</t>
  </si>
  <si>
    <t>DELGADO, AYELEN</t>
  </si>
  <si>
    <t>DELGADO, JULIAN</t>
  </si>
  <si>
    <t>DELGADO, LEONARDO MATIAS</t>
  </si>
  <si>
    <t>Delgado, Matias</t>
  </si>
  <si>
    <t>DELVECCHIO, DIANA</t>
  </si>
  <si>
    <t>DELVECCHIO, GABRIELA</t>
  </si>
  <si>
    <t>DELVECHIO</t>
  </si>
  <si>
    <t>DEMARCO, ANTONELLA</t>
  </si>
  <si>
    <t>DESIDERIOSCIOLI, FRANCO</t>
  </si>
  <si>
    <t>DESPOSITO, SUSANA</t>
  </si>
  <si>
    <t>DI LORETO, ORIANA</t>
  </si>
  <si>
    <t>DIAZ BELEN</t>
  </si>
  <si>
    <t>DIAZ CLARISA</t>
  </si>
  <si>
    <t>DÍAZ LAUTARO</t>
  </si>
  <si>
    <t>DIAZ LEIS, MICAELA BELEN</t>
  </si>
  <si>
    <t>DIAZ LUCIANO</t>
  </si>
  <si>
    <t>DIAZ LUCIANO EMANUEL</t>
  </si>
  <si>
    <t>DIAZ MARIA BELEN</t>
  </si>
  <si>
    <t>Diaz María Belén</t>
  </si>
  <si>
    <t>DIAZ THOMAS AGUSTÍN</t>
  </si>
  <si>
    <t>DÍAZ, ANALÍA</t>
  </si>
  <si>
    <t>DIAZ, ANALIA VERONICA</t>
  </si>
  <si>
    <t>DIAZ, CHRISTIAN DIEGO</t>
  </si>
  <si>
    <t>DIAZ, CLARISA DYANA</t>
  </si>
  <si>
    <t>DÍAZ, CLARISA DYANA</t>
  </si>
  <si>
    <t>DIAZ, ELIZABETH NOEMI</t>
  </si>
  <si>
    <t>DIAZ, GABRIEL</t>
  </si>
  <si>
    <t>DIAZ, LUCIANO</t>
  </si>
  <si>
    <t>DÍAZ, LUCIANO</t>
  </si>
  <si>
    <t>Diaz, Maria Belen</t>
  </si>
  <si>
    <t>DIAZ, MARÍA BELÉN</t>
  </si>
  <si>
    <t>DIAZ, MICAELA NOEMI</t>
  </si>
  <si>
    <t>DIAZ,CLARISA</t>
  </si>
  <si>
    <t>DIAZ. MARIA BELEN</t>
  </si>
  <si>
    <t>DIDIER , Nicolas</t>
  </si>
  <si>
    <t>DIDIER, NICOLÁS</t>
  </si>
  <si>
    <t xml:space="preserve">DIDIER, NICOLAS       </t>
  </si>
  <si>
    <t>DIOGO ROBERTO</t>
  </si>
  <si>
    <t>DIOGO, ROBERTO MARCELO</t>
  </si>
  <si>
    <t>DOMINGUEZ CACERES, JAMAL DYLAN</t>
  </si>
  <si>
    <t>DOMINGUEZ JAMAL</t>
  </si>
  <si>
    <t>DOMINGUEZ VALERIA</t>
  </si>
  <si>
    <t>DOMINGUEZ, JAMAL</t>
  </si>
  <si>
    <t>DOMINGUEZ, NAHUEL IGNACIO</t>
  </si>
  <si>
    <t>DOMINGUEZ, VALERIA</t>
  </si>
  <si>
    <t>DONADON NICOLAS</t>
  </si>
  <si>
    <t>DONADON, NICOLAS</t>
  </si>
  <si>
    <t>DORREGO CAMILA</t>
  </si>
  <si>
    <t>DORREGO, CAMILA</t>
  </si>
  <si>
    <t>Duarte Ariana</t>
  </si>
  <si>
    <t>Duarte, Ariana</t>
  </si>
  <si>
    <t>DUMAS, VICTORIA SOL</t>
  </si>
  <si>
    <t>DURASNIK, ELIANA CLAUDIA</t>
  </si>
  <si>
    <t>ENRIQUEZ MELANI</t>
  </si>
  <si>
    <t>Enriquez Melani Rocio</t>
  </si>
  <si>
    <t xml:space="preserve">Enriquez Melani Rocio </t>
  </si>
  <si>
    <t>ENRIQUEZ, MELANI ROCIO</t>
  </si>
  <si>
    <t>ENRIQUEZ, MELANI ROCÍO</t>
  </si>
  <si>
    <t>ENRIQUEZ, MELANI ROCIO Rocio</t>
  </si>
  <si>
    <t>ESCALANTE MAILEN</t>
  </si>
  <si>
    <t>ESCALANTE, ARIEL</t>
  </si>
  <si>
    <t>ESCALANTE, MAILEN</t>
  </si>
  <si>
    <t>ESCARLON MICAELA</t>
  </si>
  <si>
    <t xml:space="preserve">ESCARLON MICAELA </t>
  </si>
  <si>
    <t>ESCARLON OCAMPO, MICAELA AYELEN</t>
  </si>
  <si>
    <t>ESCARLON, MICAELA</t>
  </si>
  <si>
    <t>ESCOBAR ALFREDO</t>
  </si>
  <si>
    <t>ESCOBAR YASMIN</t>
  </si>
  <si>
    <t>ESCOBAR, ALFREDO EZEQUIEL</t>
  </si>
  <si>
    <t>Esmilce Liliana Alegre</t>
  </si>
  <si>
    <t>ESPERANZA, DAIANA</t>
  </si>
  <si>
    <t>Espindola Carolina</t>
  </si>
  <si>
    <t>ESPINDOLA, CAROLINA</t>
  </si>
  <si>
    <t>Espinola Carolina</t>
  </si>
  <si>
    <t>ESPINOLA, CAROLINA</t>
  </si>
  <si>
    <t>ESPINOLA, GRISELDA CAROLINA</t>
  </si>
  <si>
    <t>ESPINOLA. CAROLINA</t>
  </si>
  <si>
    <t>ESPINOZA VANESA BEATRIZ</t>
  </si>
  <si>
    <t>ESTEBA ALEJO FIDEL</t>
  </si>
  <si>
    <t>ESTEBA, ALEJO FIDEL</t>
  </si>
  <si>
    <t>ESTEBAN ALEJO FIDEL</t>
  </si>
  <si>
    <t>ESTEBAN, ALEJO FIDEL</t>
  </si>
  <si>
    <t>Faraci, Santiago</t>
  </si>
  <si>
    <t>FARACI, SANTIAGO NICOLAS</t>
  </si>
  <si>
    <t>FARIAS LILIANA</t>
  </si>
  <si>
    <t>FARIAS NAHUEL</t>
  </si>
  <si>
    <t>FARIAS, GUSTAVO</t>
  </si>
  <si>
    <t>FARIAS, LILIANA</t>
  </si>
  <si>
    <t>FARIAS, LILIANA VERONICA</t>
  </si>
  <si>
    <t>FEDELLE, SANDRA ANALÍA</t>
  </si>
  <si>
    <t>FERNANDEZ ANGELINA</t>
  </si>
  <si>
    <t>FERNANDEZ SELENE ABRIL</t>
  </si>
  <si>
    <t>FERNANDEZ VIDAL, LUCA</t>
  </si>
  <si>
    <t>FERNANDEZ VIDAL, LUCA PATRICIO</t>
  </si>
  <si>
    <t>FERNÁNDEZ, AGUSTINA</t>
  </si>
  <si>
    <t>FERNANDEZ, ANGELINA</t>
  </si>
  <si>
    <t>FERNANDEZ, NAHUEL MATIAS</t>
  </si>
  <si>
    <t>FERNÁNDEZ, RUTH</t>
  </si>
  <si>
    <t>FERNANDEZ, RUTH YANINA</t>
  </si>
  <si>
    <t>FERNANDEZ, SELENE</t>
  </si>
  <si>
    <t>FERNANDEZ, SELENE ABRIL</t>
  </si>
  <si>
    <t>FERNANDEZ, VIDAL LUCA</t>
  </si>
  <si>
    <t>FERREIRA ERIK</t>
  </si>
  <si>
    <t>Ferreira Erik Nehuen</t>
  </si>
  <si>
    <t>FERREIRA, ERIK</t>
  </si>
  <si>
    <t>FERREIRA, ERIK NEHUEN</t>
  </si>
  <si>
    <t>FERREIRA, ERIK NEHUEN Nehuen</t>
  </si>
  <si>
    <t>FERREYRA, SONIA</t>
  </si>
  <si>
    <t>FIDEL GRACIANO, FEDERICO</t>
  </si>
  <si>
    <t>Figueora Selene Abigail</t>
  </si>
  <si>
    <t>FIGUEORA, SELENE ABIGAIL</t>
  </si>
  <si>
    <t>FIGUEREDO, FLORENCIA</t>
  </si>
  <si>
    <t>FIGUEROA SELENE ABIGAIL</t>
  </si>
  <si>
    <t>FIGUEROA SOLANGE</t>
  </si>
  <si>
    <t>FIGUEROA, SELENE</t>
  </si>
  <si>
    <t>FIRME MARIA</t>
  </si>
  <si>
    <t>FLEITAS MONGES, KEVIN</t>
  </si>
  <si>
    <t>FLORENCIA LEON</t>
  </si>
  <si>
    <t xml:space="preserve">Florencia, Leon </t>
  </si>
  <si>
    <t>FLORES JACQUELINA</t>
  </si>
  <si>
    <t>FLORES JACQUELINE</t>
  </si>
  <si>
    <t>FLORES THIAGO</t>
  </si>
  <si>
    <t>FLORES, CARLOS</t>
  </si>
  <si>
    <t>FLORES, CARLOS ALBERTO</t>
  </si>
  <si>
    <t>FLORES, THIAGO</t>
  </si>
  <si>
    <t xml:space="preserve">FLORES, THIAGO </t>
  </si>
  <si>
    <t>FONTANA ANDREA</t>
  </si>
  <si>
    <t>Fontana Andrea Carolina</t>
  </si>
  <si>
    <t xml:space="preserve">FONTANA, ANDREA </t>
  </si>
  <si>
    <t>FONTANA, ANDREA CAROLINA</t>
  </si>
  <si>
    <t>FONTANA, ANDREA CAROLINA Carolina</t>
  </si>
  <si>
    <t>FRANCO BARGAS</t>
  </si>
  <si>
    <t>FRANCO FURNARI</t>
  </si>
  <si>
    <t>FRANCO SALINAS</t>
  </si>
  <si>
    <t>FRASQUERI PABLO TOMAS</t>
  </si>
  <si>
    <t>FRASQUERI, PABLO</t>
  </si>
  <si>
    <t>FREYTES IGNACIO</t>
  </si>
  <si>
    <t>FREYTES, IGNACIO</t>
  </si>
  <si>
    <t>FRIA EVELYN</t>
  </si>
  <si>
    <t>FRIAS JESSICA</t>
  </si>
  <si>
    <t>FRIAS, NAHUEL</t>
  </si>
  <si>
    <t>FRIAS, SILVIA</t>
  </si>
  <si>
    <t>FRIEDL, MARTÍN</t>
  </si>
  <si>
    <t>FUENTES, CAMILA EUGENIA</t>
  </si>
  <si>
    <t>FUENTES, GASTON</t>
  </si>
  <si>
    <t>FURNARI FRANCO</t>
  </si>
  <si>
    <t xml:space="preserve">Furnari Franco </t>
  </si>
  <si>
    <t>FURNARI, FRANCO</t>
  </si>
  <si>
    <t>FURNARI, FRANCO AITOR</t>
  </si>
  <si>
    <t>FURNARI,FRANCO</t>
  </si>
  <si>
    <t>GABRIEL GUAYMAS</t>
  </si>
  <si>
    <t xml:space="preserve">Gabriel, Mejia </t>
  </si>
  <si>
    <t>GAIDO ROMINA</t>
  </si>
  <si>
    <t>GALARZA CELESTE</t>
  </si>
  <si>
    <t>GALARZA, CELESTE SOLEDAD</t>
  </si>
  <si>
    <t>GALEANO AXEL LEONEL</t>
  </si>
  <si>
    <t>GALEANO, AXEL</t>
  </si>
  <si>
    <t>GALEANO, AXEL LEONEL</t>
  </si>
  <si>
    <t>GALEANO, BELEN</t>
  </si>
  <si>
    <t>GALEANO, BELEN NOEMÍ</t>
  </si>
  <si>
    <t>GALIAN LUCAS</t>
  </si>
  <si>
    <t>GALVAN MAURO</t>
  </si>
  <si>
    <t>GALVAN, DAIANA</t>
  </si>
  <si>
    <t>GALVAN, DAIANA MERCEDES</t>
  </si>
  <si>
    <t>GALVAN, MAURO</t>
  </si>
  <si>
    <t xml:space="preserve">GALVAN, MAURO </t>
  </si>
  <si>
    <t>GALVAN, PAOLA</t>
  </si>
  <si>
    <t>GAMBINO DANIEL</t>
  </si>
  <si>
    <t>GANAGLIA CARREIRO PATRICIO</t>
  </si>
  <si>
    <t>GAONA VACA , CHIARA</t>
  </si>
  <si>
    <t xml:space="preserve">GAONA VACA , CHIARA </t>
  </si>
  <si>
    <t>GAONA VACA, CHIARA</t>
  </si>
  <si>
    <t>GARAVENTA, AGUSTINA PAOLA</t>
  </si>
  <si>
    <t>GARCIA FELICIANO</t>
  </si>
  <si>
    <t>GARCIA FELICIANO RODRIGO</t>
  </si>
  <si>
    <t>GARCÍA FELICIANO RODRIGO</t>
  </si>
  <si>
    <t>GARCIA FELICIANO, RODRIGO</t>
  </si>
  <si>
    <t>GARCÍA GONZÁLEZ MICAELA SOLEDAD</t>
  </si>
  <si>
    <t>GARCÍA GONZÁLEZ, MICAELA SOLEDAD</t>
  </si>
  <si>
    <t>GARCIA LUDMILA</t>
  </si>
  <si>
    <t>GARCIA MICAELA</t>
  </si>
  <si>
    <t>GARCIA MICAELA LUCIANA</t>
  </si>
  <si>
    <t>GARCIA MONTAÑA, NOELIA</t>
  </si>
  <si>
    <t>GARCIA ORIANA</t>
  </si>
  <si>
    <t>GARCÍA, FELICIANO RODRIGO</t>
  </si>
  <si>
    <t>GARCIA, LUDMILA</t>
  </si>
  <si>
    <t>GARCIA, MICAELA</t>
  </si>
  <si>
    <t>GARCIA, ORIANA</t>
  </si>
  <si>
    <t>GARCÍA, ORIANA</t>
  </si>
  <si>
    <t xml:space="preserve">GARCIA, ORIANA </t>
  </si>
  <si>
    <t>GARCIA, PAULA</t>
  </si>
  <si>
    <t>GARCIA,FELCIANO</t>
  </si>
  <si>
    <t>GARDELLA MARÍA SILVINA</t>
  </si>
  <si>
    <t>GARDELLA, MARIA SILVINA</t>
  </si>
  <si>
    <t>GARÓFALO OSCAR EZEQUIEL</t>
  </si>
  <si>
    <t>GARÓFALO, OSCAR EZEQUIEL</t>
  </si>
  <si>
    <t>GAROSO ANA LAURA</t>
  </si>
  <si>
    <t>GAROSO, ANA LAURA</t>
  </si>
  <si>
    <t xml:space="preserve">GAROSO, ANA LAURA </t>
  </si>
  <si>
    <t>GARRIDO AGUSTINA</t>
  </si>
  <si>
    <t>GARRIDO, AGUSTINA</t>
  </si>
  <si>
    <t>GARRIGO AGUSTINA</t>
  </si>
  <si>
    <t>GARRIGO, AGUSTINA</t>
  </si>
  <si>
    <t>GARRIGO, AGUSTINA MARIELA</t>
  </si>
  <si>
    <t>GASPAR, YESICA</t>
  </si>
  <si>
    <t>GATTELET, GUADALUPE</t>
  </si>
  <si>
    <t>GATTELET, GUADAUPE</t>
  </si>
  <si>
    <t>GAUNA SEBASTIAN</t>
  </si>
  <si>
    <t>Gauna Sebastian Rodrigo</t>
  </si>
  <si>
    <t>GAUNA, BELEN</t>
  </si>
  <si>
    <t>POLI</t>
  </si>
  <si>
    <t>GAUNA, SEBASTIAN</t>
  </si>
  <si>
    <t>GAUNA, SEBASTIAN RODRIGO</t>
  </si>
  <si>
    <t>GAUNA, SEBASTIAN RODRIGO Rodrigo</t>
  </si>
  <si>
    <t>GAVELLO, ANABELA</t>
  </si>
  <si>
    <t>Ghiglione Franco Leonel</t>
  </si>
  <si>
    <t>GHIGLIONE, FRANCO LEONEL</t>
  </si>
  <si>
    <t>GIGENA NICOLE</t>
  </si>
  <si>
    <t>GIGENA, NICOLE</t>
  </si>
  <si>
    <t>Gimenez Eve</t>
  </si>
  <si>
    <t>Gimenez Evelyn</t>
  </si>
  <si>
    <t>Gimenez Eveyln</t>
  </si>
  <si>
    <t>GIMENEZ, EVE</t>
  </si>
  <si>
    <t>GIMENEZ, EVELYN</t>
  </si>
  <si>
    <t>GISELLA VERONICA MORRONE</t>
  </si>
  <si>
    <t>GODOY LUCIA</t>
  </si>
  <si>
    <t xml:space="preserve">Godoy lucia </t>
  </si>
  <si>
    <t>GODOY RODRIGUEZ, LUCIA</t>
  </si>
  <si>
    <t>GODOY YANINA</t>
  </si>
  <si>
    <t>godoy, Lucia</t>
  </si>
  <si>
    <t>GODOY, YANINA</t>
  </si>
  <si>
    <t>gomez</t>
  </si>
  <si>
    <t>Gomez Brisa</t>
  </si>
  <si>
    <t>GOMEZ CECILIA</t>
  </si>
  <si>
    <t>GÓMEZ CECILIA</t>
  </si>
  <si>
    <t>GOMEZ CLAUDIA</t>
  </si>
  <si>
    <t>GOMEZ SANTIAGO</t>
  </si>
  <si>
    <t>GÓMEZ VALERIA</t>
  </si>
  <si>
    <t>GOMEZ, ALBA ARACELI</t>
  </si>
  <si>
    <t>GOMEZ, BRISA</t>
  </si>
  <si>
    <t>GÓMEZ, CECILIA</t>
  </si>
  <si>
    <t>GOMEZ, CLAUDIA</t>
  </si>
  <si>
    <t>GÓMEZ, CLAUDIA</t>
  </si>
  <si>
    <t>GOMEZ, FACUNDO</t>
  </si>
  <si>
    <t>GOMEZ, FIORELLA</t>
  </si>
  <si>
    <t>GÓMEZ, FIORELLA MAGALI</t>
  </si>
  <si>
    <t>GOMEZ, IVANA NAIR</t>
  </si>
  <si>
    <t>GOMEZ, KATHERINE</t>
  </si>
  <si>
    <t>GÓMEZ, KATHERINE MELISA</t>
  </si>
  <si>
    <t>GOMEZ, MELISSA</t>
  </si>
  <si>
    <t>GOMEZ, RAMIRO JESUS</t>
  </si>
  <si>
    <t>GÓMEZ, SANTIAGO</t>
  </si>
  <si>
    <t>GOMEZ, VALERIA</t>
  </si>
  <si>
    <t>GÓMEZ, VALERIA</t>
  </si>
  <si>
    <t>GOMEZ,RAMIRO</t>
  </si>
  <si>
    <t>GOMEZ. CECILIA</t>
  </si>
  <si>
    <t>Goncalves Valentin</t>
  </si>
  <si>
    <t xml:space="preserve">Goncalves Valentin </t>
  </si>
  <si>
    <t>GONCALVES, VALENTIN</t>
  </si>
  <si>
    <t>GONZALES MARIA DELFINA</t>
  </si>
  <si>
    <t xml:space="preserve">GONZALES MONICA </t>
  </si>
  <si>
    <t>GONZÁLES NN</t>
  </si>
  <si>
    <t>GONZALES SANDRA</t>
  </si>
  <si>
    <t>GONZALES, MARÍA DELFINA</t>
  </si>
  <si>
    <t>GONZALEZ ALEJANDRA</t>
  </si>
  <si>
    <t>GONZALEZ CAROLINA</t>
  </si>
  <si>
    <t>GONZALEZ EZEQUIEL WALTER</t>
  </si>
  <si>
    <t>GONZALEZ INFRAN, ALEXANDER</t>
  </si>
  <si>
    <t>GONZALEZ INSFRAN ALEXANDER</t>
  </si>
  <si>
    <t>GONZALEZ INSFRAN, ALEXANDER</t>
  </si>
  <si>
    <t>GONZALEZ MAIDANA, KAMILA</t>
  </si>
  <si>
    <t>GONZALEZ MAIDANA, KAMILA RAQUEL</t>
  </si>
  <si>
    <t>GONZALEZ MARIN, SOFIA</t>
  </si>
  <si>
    <t>GONZÁLEZ MARIN, SOFIA ALEJANDRA</t>
  </si>
  <si>
    <t>GONZALEZ MARTINA</t>
  </si>
  <si>
    <t>GONZÁLEZ MELANIE</t>
  </si>
  <si>
    <t>GONZALEZ MICHAEL, MARTINA GALA</t>
  </si>
  <si>
    <t>GONZALEZ MICHEL, MARTINA</t>
  </si>
  <si>
    <t>Gonzalez Michel, Martina Gala</t>
  </si>
  <si>
    <t>GONZALEZ MONICA</t>
  </si>
  <si>
    <t>GONZALEZ ROCIO</t>
  </si>
  <si>
    <t>GONZALEZ SANDRA</t>
  </si>
  <si>
    <t>Gonzalez Torales Araceli</t>
  </si>
  <si>
    <t>GONZALEZ TORALES, ARACELI</t>
  </si>
  <si>
    <t>GONZÁLEZ, ALEJANDRA</t>
  </si>
  <si>
    <t>GONZALEZ, ARACELI</t>
  </si>
  <si>
    <t>GONZALEZ, CAROLINA ALEJANDRA</t>
  </si>
  <si>
    <t>GONZALEZ, EMANUEL</t>
  </si>
  <si>
    <t>GONZALEZ, IARA</t>
  </si>
  <si>
    <t>GONZALEZ, IARA EDITH</t>
  </si>
  <si>
    <t>GONZALEZ, INFRAN ALEXANDER</t>
  </si>
  <si>
    <t>GONZALEZ, INSFRAN ALEXANDER</t>
  </si>
  <si>
    <t>GONZALEZ, KAMILA</t>
  </si>
  <si>
    <t>GONZALEZ, MARIANO</t>
  </si>
  <si>
    <t>GONZALEZ, MÓNICA</t>
  </si>
  <si>
    <t xml:space="preserve">Gonzalez, Monica </t>
  </si>
  <si>
    <t>GONZALEZ, NOEMI</t>
  </si>
  <si>
    <t>GONZALEZ, NOEMÍ NORMA</t>
  </si>
  <si>
    <t>GONZALEZ, ROCIO</t>
  </si>
  <si>
    <t>Gonzalez, Rocio Macarena</t>
  </si>
  <si>
    <t>GONZALEZ, ROCIO MACARENA CELES</t>
  </si>
  <si>
    <t>GONZALEZ, ROCIO MACARENA CELES Macarena</t>
  </si>
  <si>
    <t>GONZALEZ, SANDRA</t>
  </si>
  <si>
    <t xml:space="preserve">Gonzalez, Sandra </t>
  </si>
  <si>
    <t>GONZALEZ, SANTIAGO DANIEL</t>
  </si>
  <si>
    <t>GONZALEZ, SOFIA</t>
  </si>
  <si>
    <t>GONZALEZ, SOFÍA</t>
  </si>
  <si>
    <t>GONZALEZ, WALTER EZEQUIEL</t>
  </si>
  <si>
    <t>GORGA MELINA DANIELA</t>
  </si>
  <si>
    <t>GORGA, MELINA</t>
  </si>
  <si>
    <t>GOROSO, ANA LAURA</t>
  </si>
  <si>
    <t>GRATEROL GIL MAXIMILIANO</t>
  </si>
  <si>
    <t>GRATEROL GIL, MAXROBERTH</t>
  </si>
  <si>
    <t>GRATEROL GIL, MAXROBERTH JOSUE</t>
  </si>
  <si>
    <t>GRECO VENTURA, NAHUEN</t>
  </si>
  <si>
    <t>GRECO VENTURA, NEHUEN</t>
  </si>
  <si>
    <t>GRECO, JONATHAN ROBERTO</t>
  </si>
  <si>
    <t>GRECO, NEHUEN</t>
  </si>
  <si>
    <t>Greta Rojas</t>
  </si>
  <si>
    <t>GRILLO, NICOLAS</t>
  </si>
  <si>
    <t>GUAGLIANONE MATÍAS</t>
  </si>
  <si>
    <t>Guaglianone, Matías</t>
  </si>
  <si>
    <t>Guaymas Gabriel</t>
  </si>
  <si>
    <t xml:space="preserve">Guaymas Gabriel </t>
  </si>
  <si>
    <t>GUAYMAS, GABRIEL</t>
  </si>
  <si>
    <t>GUAYMAS, GABRIEL GONZALO</t>
  </si>
  <si>
    <t>GUERICK, LAUTARO</t>
  </si>
  <si>
    <t>GUERRA DAIANA</t>
  </si>
  <si>
    <t xml:space="preserve">GUERRA DAIANA </t>
  </si>
  <si>
    <t>GUERRA HIDALGO MARIA FLORENCIA</t>
  </si>
  <si>
    <t>GUERRA HIDALGO, MARIA</t>
  </si>
  <si>
    <t>GUERRA HIDALGO, MARIA FLORENCIA</t>
  </si>
  <si>
    <t>GUERRA ROCIO AGOSTINA</t>
  </si>
  <si>
    <t>GUERRA, DAIANA</t>
  </si>
  <si>
    <t>GUERRA, DAIANA JACQUELINE</t>
  </si>
  <si>
    <t xml:space="preserve">GUERRA, DAIANA JACQUELINE </t>
  </si>
  <si>
    <t>GUERRA, HIDALGO MARIA FLORENCIA</t>
  </si>
  <si>
    <t>GUERRA, ROCIO</t>
  </si>
  <si>
    <t>GUERRY</t>
  </si>
  <si>
    <t>GUERRY LUCIANA</t>
  </si>
  <si>
    <t>Guizado Centeno Aydee</t>
  </si>
  <si>
    <t>GURECKI, LAUTARO</t>
  </si>
  <si>
    <t>GUTIERREZ FACUNDO</t>
  </si>
  <si>
    <t>GUTIERREZ GUEVARA, ADRIAN EZEQUIEL</t>
  </si>
  <si>
    <t>GUTIERREZ NADIA NAHIR</t>
  </si>
  <si>
    <t>Gutierrez Natalia</t>
  </si>
  <si>
    <t xml:space="preserve">Gutierrez Natalia </t>
  </si>
  <si>
    <t>GUTIERREZ, ADRIAN</t>
  </si>
  <si>
    <t>GUTIERREZ, AMELIA</t>
  </si>
  <si>
    <t>GUTIERREZ, FLORENCIA MICAELA</t>
  </si>
  <si>
    <t>GUTIERREZ, KARINA GLORIA</t>
  </si>
  <si>
    <t>GUTIERREZ, NADIA</t>
  </si>
  <si>
    <t>GUTIERREZ, NATALIA</t>
  </si>
  <si>
    <t>GUTIERREZ, NATALIA SOLEDAD</t>
  </si>
  <si>
    <t>GUZMAN VALENTINA</t>
  </si>
  <si>
    <t>GUZMÁN, FERNANDO</t>
  </si>
  <si>
    <t>GUZMAN, VALENTINA</t>
  </si>
  <si>
    <t>Guzmán, Valentina</t>
  </si>
  <si>
    <t>HATAMELH, FATIMA</t>
  </si>
  <si>
    <t>HATAMELH, FÁTIMA</t>
  </si>
  <si>
    <t>Hatamleh Fatima</t>
  </si>
  <si>
    <t xml:space="preserve">HATAMLEH FATIMA </t>
  </si>
  <si>
    <t>HATAMLEH, FATIMA</t>
  </si>
  <si>
    <t>HATMLEH, FATIMA</t>
  </si>
  <si>
    <t>HEREDIA, MATÍAS</t>
  </si>
  <si>
    <t>HERMANN, ROXANA</t>
  </si>
  <si>
    <t>Hernandez Brenda</t>
  </si>
  <si>
    <t>Hernandez, Brenda</t>
  </si>
  <si>
    <t>HERNANDEZ, MAURO</t>
  </si>
  <si>
    <t>HERNANDEZ, MELISA</t>
  </si>
  <si>
    <t>HERNER, BIANCA</t>
  </si>
  <si>
    <t>HERRERA GERMAN</t>
  </si>
  <si>
    <t>HERRERA GERMAN HERNANDO</t>
  </si>
  <si>
    <t>HERRERA, GERMAN</t>
  </si>
  <si>
    <t>HERRERA, GERMAN HERNANDO</t>
  </si>
  <si>
    <t>HERRERA, MATIAS</t>
  </si>
  <si>
    <t>HERRERA, MATÍAS</t>
  </si>
  <si>
    <t>HERRERA, NATALIA</t>
  </si>
  <si>
    <t>HUBER, JUAN MANUEL</t>
  </si>
  <si>
    <t>HUBER, MARIA</t>
  </si>
  <si>
    <t>HUGO OLMEDO</t>
  </si>
  <si>
    <t>IANIZZOTTO, LILIANA</t>
  </si>
  <si>
    <t>IARUSSO, YAMILA</t>
  </si>
  <si>
    <t>IBARRA RAMON</t>
  </si>
  <si>
    <t>IBARRA VERONICA</t>
  </si>
  <si>
    <t>IBARRA, CLAUDIA</t>
  </si>
  <si>
    <t>IBARRA, RAMON</t>
  </si>
  <si>
    <t>IBARRA, RAMON ALBERTO</t>
  </si>
  <si>
    <t>IBARRA, VERONICA</t>
  </si>
  <si>
    <t>IBARRA, VERONICA GABRIELA</t>
  </si>
  <si>
    <t>IERACI FLORENCIA</t>
  </si>
  <si>
    <t>INDA, LAUTARO</t>
  </si>
  <si>
    <t>INFANTE JONATHAN</t>
  </si>
  <si>
    <t>INFANTE, JONATHAN</t>
  </si>
  <si>
    <t>INFRAN ALEXANDER GONZALEZ</t>
  </si>
  <si>
    <t>INFRAN, ALEXANDER</t>
  </si>
  <si>
    <t>ISLEÑO</t>
  </si>
  <si>
    <t>ISLEÑO LUCAS</t>
  </si>
  <si>
    <t>IURATO, MICAELA</t>
  </si>
  <si>
    <t>JALIFF, CRISTIAN</t>
  </si>
  <si>
    <t>JAMAL DOMINGUEZ</t>
  </si>
  <si>
    <t>JONSEN, YANINA</t>
  </si>
  <si>
    <t>JUAN MONTIEL</t>
  </si>
  <si>
    <t>JULIAN CAMINO</t>
  </si>
  <si>
    <t>JUNCO, CECILIA</t>
  </si>
  <si>
    <t>JUNOY FERNANDO</t>
  </si>
  <si>
    <t>JUNOY, FERNANDO</t>
  </si>
  <si>
    <t>KAREN LOPEZ</t>
  </si>
  <si>
    <t>Karen Stephanie Wagner</t>
  </si>
  <si>
    <t>Karschacoff Nahir</t>
  </si>
  <si>
    <t>Karschacoff, Nahir</t>
  </si>
  <si>
    <t>KESIB, YASMIN</t>
  </si>
  <si>
    <t>KESIB, YASMIN MARIEL</t>
  </si>
  <si>
    <t>KOLAK, MIRKO</t>
  </si>
  <si>
    <t>Kolisnyk Sofia Belén</t>
  </si>
  <si>
    <t>Kolisnyk, Sofia Belen</t>
  </si>
  <si>
    <t>KOSELSTEIN, SILVINA</t>
  </si>
  <si>
    <t>KOSELSTEIN, SILVINA EDITH</t>
  </si>
  <si>
    <t>KOSELTEIN, SILVINA EDITH</t>
  </si>
  <si>
    <t>KOTELCHUCK, MIRIAM ELIZABETH</t>
  </si>
  <si>
    <t>KRAKOVSKY FLORENCIA</t>
  </si>
  <si>
    <t>KRAKOVSKY MARTINA</t>
  </si>
  <si>
    <t xml:space="preserve">KRAKOVSKY, FLORENCIA </t>
  </si>
  <si>
    <t>KRAKOVSKY, FLORENCIA ABRIL</t>
  </si>
  <si>
    <t>KRAKOVSKY, MARTINA</t>
  </si>
  <si>
    <t>KRAKOVSY FLORENCIA</t>
  </si>
  <si>
    <t>KUMICHEL, CANDELA</t>
  </si>
  <si>
    <t xml:space="preserve">Kumichel, Candela </t>
  </si>
  <si>
    <t>LACABA, CAMILA</t>
  </si>
  <si>
    <t>LAMAS MENDEZ, DIANA</t>
  </si>
  <si>
    <t>LAMBOGLIA, LAUTARO MARTIN</t>
  </si>
  <si>
    <t>LAMELA AGUSTIN</t>
  </si>
  <si>
    <t>LAMELA, AGUSTIN</t>
  </si>
  <si>
    <t>LARDAPIDE CECILIA</t>
  </si>
  <si>
    <t>LARDAPIDE, CECILIA</t>
  </si>
  <si>
    <t>LARREA, YÉSICA</t>
  </si>
  <si>
    <t>LARREA, YESICA LUCIA</t>
  </si>
  <si>
    <t>LAUDANI TAMARA</t>
  </si>
  <si>
    <t>LAXAGUEBORDE, BRIAN</t>
  </si>
  <si>
    <t>LAZARTE, ABRIL</t>
  </si>
  <si>
    <t>LAZARTE, ABRIL AGUSTINA</t>
  </si>
  <si>
    <t>LEGUINA MARCELO</t>
  </si>
  <si>
    <t>LEGUINA MARCELO DANIEL</t>
  </si>
  <si>
    <t>LEGUINA. DANIEL</t>
  </si>
  <si>
    <t>LEGUINA.DANIEL</t>
  </si>
  <si>
    <t>LEGUIZAMON, FABIANA</t>
  </si>
  <si>
    <t>LEGUIZAMON, KARINA</t>
  </si>
  <si>
    <t>LEGUIZAMÓN, KARINA</t>
  </si>
  <si>
    <t>LEIVA RAMIREZ CAROLINA</t>
  </si>
  <si>
    <t>Leiva Ramirez, Carolina</t>
  </si>
  <si>
    <t>LEIVA RAMIREZ, CAROLINA NOEMI</t>
  </si>
  <si>
    <t>LEIVA, CAROLINA</t>
  </si>
  <si>
    <t xml:space="preserve">LEIVA, CAROLINA </t>
  </si>
  <si>
    <t>LEIVA, MARIA NATALIA</t>
  </si>
  <si>
    <t>LEIVAS LUDMILA</t>
  </si>
  <si>
    <t>LEIVAS, LUDMILA</t>
  </si>
  <si>
    <t>LEIVAS, LUDMILA MAGALI</t>
  </si>
  <si>
    <t>LEMA ALEX</t>
  </si>
  <si>
    <t>LEMA ALEX IVAN</t>
  </si>
  <si>
    <t>LEMA ALEX IVÁN</t>
  </si>
  <si>
    <t>Lema, Alex Iván</t>
  </si>
  <si>
    <t>LENCINA</t>
  </si>
  <si>
    <t>LENCINA CRISTINA</t>
  </si>
  <si>
    <t>Lencina, Cristina.</t>
  </si>
  <si>
    <t>LENCINAS CAMILA</t>
  </si>
  <si>
    <t>LEON, FLORENCIA</t>
  </si>
  <si>
    <t>LIBEROV, DARIO GABRIEL</t>
  </si>
  <si>
    <t>LICHOWID</t>
  </si>
  <si>
    <t>LICHOWID FLORENCIA</t>
  </si>
  <si>
    <t xml:space="preserve">LICHOWID FLORENCIA </t>
  </si>
  <si>
    <t>LICHOWID, FLORENCIA</t>
  </si>
  <si>
    <t>LICHOWID, FLORENCIA BELEN</t>
  </si>
  <si>
    <t>LIGERON, SAMIRA</t>
  </si>
  <si>
    <t>LIGRESTI MAIRA</t>
  </si>
  <si>
    <t>LIGRESTI, MAIRA</t>
  </si>
  <si>
    <t>LIMA MARCELO</t>
  </si>
  <si>
    <t>Lima Marcelo Alejandro</t>
  </si>
  <si>
    <t>LIMA, ADRIANA</t>
  </si>
  <si>
    <t>LIMA, MARCELO</t>
  </si>
  <si>
    <t>LIMA, MARCELO ALEJANDRO</t>
  </si>
  <si>
    <t>LIMA, MARCELO ALEJANDRO Alejandro</t>
  </si>
  <si>
    <t>Linos Dolores del Carmen</t>
  </si>
  <si>
    <t>LINOS, DOLORES</t>
  </si>
  <si>
    <t xml:space="preserve">LINOS, DOLORES </t>
  </si>
  <si>
    <t>LINOS, DOLORES DEL CARMEN</t>
  </si>
  <si>
    <t>LOBO CARLOS</t>
  </si>
  <si>
    <t>LOBOS LUCRECIA</t>
  </si>
  <si>
    <t>LOBOS NATALIA</t>
  </si>
  <si>
    <t xml:space="preserve">LOBOS NATALIA </t>
  </si>
  <si>
    <t>LOBOS, LUCRECIA</t>
  </si>
  <si>
    <t>LOBOS, NATALIA</t>
  </si>
  <si>
    <t>LOBOS, NATALIA NOEMÍ</t>
  </si>
  <si>
    <t>LOBOS,LUCRECIA</t>
  </si>
  <si>
    <t>LONGARETTI, CAROLINA</t>
  </si>
  <si>
    <t>LOPEZ CAMILA</t>
  </si>
  <si>
    <t>LÓPEZ DAIANA AILIN</t>
  </si>
  <si>
    <t>LÓPEZ DÍAZ, JASON NAHUEL</t>
  </si>
  <si>
    <t>LOPEZ VILCHEZ JUAN CRUZ</t>
  </si>
  <si>
    <t>LOPEZ VILCHEZ, JUAN CRUZ</t>
  </si>
  <si>
    <t>LÓPEZ VILCHEZ, JUAN CRUZ</t>
  </si>
  <si>
    <t>LOPEZ ZARATE WILMA CRISTINA</t>
  </si>
  <si>
    <t>LOPEZ, CAMILA ANDREA</t>
  </si>
  <si>
    <t>LOPEZ, CRISTINA</t>
  </si>
  <si>
    <t>LOPEZ, CRSITINA</t>
  </si>
  <si>
    <t>LOPEZ, DAIANA</t>
  </si>
  <si>
    <t>LOPEZ, ELIZABETH</t>
  </si>
  <si>
    <t>LOPEZ, KAREN</t>
  </si>
  <si>
    <t>LOPEZ, KAREN STEPHANIE</t>
  </si>
  <si>
    <t>LÓPEZ, KAREN STEPHANIE</t>
  </si>
  <si>
    <t>LOPEZ, LUCIA</t>
  </si>
  <si>
    <t>LOPEZ, NICOLAS</t>
  </si>
  <si>
    <t>LUCA CIAPPINI</t>
  </si>
  <si>
    <t>LUCA VIDAL</t>
  </si>
  <si>
    <t>LUCIA GODOY RODRIGUEZ</t>
  </si>
  <si>
    <t>Lucía Rodriguez</t>
  </si>
  <si>
    <t>Lucila Siciliano</t>
  </si>
  <si>
    <t>LUJAN, ALDANA NOELIA</t>
  </si>
  <si>
    <t>LURASCHI IGNACIO</t>
  </si>
  <si>
    <t>LURASCHI, IGNACIO</t>
  </si>
  <si>
    <t>LUZZI AGUSTIN</t>
  </si>
  <si>
    <t>LUZZI, AGUSTIN</t>
  </si>
  <si>
    <t>LUZZI,AGUSTIN</t>
  </si>
  <si>
    <t>MACIAS, SANTIAGO</t>
  </si>
  <si>
    <t>Maciel Jorge</t>
  </si>
  <si>
    <t xml:space="preserve">Maciel Jorge </t>
  </si>
  <si>
    <t>MACIEL, JORGE</t>
  </si>
  <si>
    <t>MACIEL. JORGE</t>
  </si>
  <si>
    <t>MAGAÑA, FABIO HERNAN</t>
  </si>
  <si>
    <t>MAGGIO, FEDERICO</t>
  </si>
  <si>
    <t>MAGRASSI, AGUSTINA</t>
  </si>
  <si>
    <t>MAHLKECHT, FLAVIA</t>
  </si>
  <si>
    <t>MAHLKNECHT, FLAVIA</t>
  </si>
  <si>
    <t>MAIDANA, SOLEDAD</t>
  </si>
  <si>
    <t>MALDONADO, DAVID</t>
  </si>
  <si>
    <t>MALDONADO, FEDERICO</t>
  </si>
  <si>
    <t>MANDRYK, KATYA</t>
  </si>
  <si>
    <t>MANDRYK, KATYA GINETTE</t>
  </si>
  <si>
    <t>MANRIQUE GASTON</t>
  </si>
  <si>
    <t>MANRIQUE, GASTON</t>
  </si>
  <si>
    <t>MANRIQUE, GASTÓN</t>
  </si>
  <si>
    <t>MARASCO</t>
  </si>
  <si>
    <t>MARCOS TELLENDIN</t>
  </si>
  <si>
    <t>MARDIROSSIAN, MARIA</t>
  </si>
  <si>
    <t>Maria Belen Martinez Quintana</t>
  </si>
  <si>
    <t>MARIA DIAZ</t>
  </si>
  <si>
    <t>MARIA MILAGROS TRIPICCHIO</t>
  </si>
  <si>
    <t>MARIA TORELLI</t>
  </si>
  <si>
    <t>MARIANELA VILCHES</t>
  </si>
  <si>
    <t>MARINERO, LUCIANA</t>
  </si>
  <si>
    <t>MARONE FRANCO ALESSANDRO</t>
  </si>
  <si>
    <t>MARONE, FRANCO</t>
  </si>
  <si>
    <t>MARQUEZ, BRIAN</t>
  </si>
  <si>
    <t>MARTÍN, AYRTON</t>
  </si>
  <si>
    <t>MARTIN, NOELIA</t>
  </si>
  <si>
    <t>MARTIN, NOELIA ALEJANDRA</t>
  </si>
  <si>
    <t>MARTINEZ ASTOLFO, JUAN</t>
  </si>
  <si>
    <t>MARTINEZ COHEN, BELEN</t>
  </si>
  <si>
    <t>MARTINEZ COHEN, BELÉN</t>
  </si>
  <si>
    <t>MARTINEZ DONDE SANTIAGO AGUSTIN</t>
  </si>
  <si>
    <t>MARTINEZ DONDE, SANTIAGO</t>
  </si>
  <si>
    <t>MARTINEZ DYLAN</t>
  </si>
  <si>
    <t>MARTINEZ JIMENA</t>
  </si>
  <si>
    <t>MARTINEZ MARCELO</t>
  </si>
  <si>
    <t>MARTINEZ MAXIMILIANO</t>
  </si>
  <si>
    <t>MARTINEZ NAVAS MALDONADO, MARIA GABRIELA</t>
  </si>
  <si>
    <t>MARTÍNEZ NAVAS, MARÍA</t>
  </si>
  <si>
    <t>MARTINEZ RAQUEL</t>
  </si>
  <si>
    <t>Martinez Raquel Fernanda</t>
  </si>
  <si>
    <t>Martinez, Alvaro</t>
  </si>
  <si>
    <t>MARTÍNEZ, ALVARO MAXIMILIANO</t>
  </si>
  <si>
    <t>MARTÍNEZ, ÁLVARO MAXIMILIANO</t>
  </si>
  <si>
    <t>MARTINEZ, BELEN</t>
  </si>
  <si>
    <t>MARTINEZ, DAIANA</t>
  </si>
  <si>
    <t>MARTINEZ, DAIANA ELIZABETH</t>
  </si>
  <si>
    <t>MARTINEZ, DIEGO</t>
  </si>
  <si>
    <t>MARTÍNEZ, DYLAN</t>
  </si>
  <si>
    <t>MARTÍNEZ, JIMENA GISELLE</t>
  </si>
  <si>
    <t>MARTINEZ, MARIANELA</t>
  </si>
  <si>
    <t>MARTINEZ, RAQUEL FERNANDA</t>
  </si>
  <si>
    <t>MARTINEZ, RAQUEL FERNANDA Fernanda</t>
  </si>
  <si>
    <t>MAS, MIRTA</t>
  </si>
  <si>
    <t>MASCAREÑO GALEANO, QUIMEY NAHUEL</t>
  </si>
  <si>
    <t>MASCAREÑO, QUIMEY</t>
  </si>
  <si>
    <t>MASTROVICENZO PABLO</t>
  </si>
  <si>
    <t>Mastrovicenzo, Pablo</t>
  </si>
  <si>
    <t>MASTROVINCENZO PABLO</t>
  </si>
  <si>
    <t>MAXIMILIANO MARTINEZ</t>
  </si>
  <si>
    <t>MAZZELA BRIAN</t>
  </si>
  <si>
    <t>MAZZELLA BRIAN</t>
  </si>
  <si>
    <t>MAZZEO, FRANCO</t>
  </si>
  <si>
    <t>Mejia Gabriel</t>
  </si>
  <si>
    <t>Mejia, Gabriel</t>
  </si>
  <si>
    <t>MELANIE SANCHEZ</t>
  </si>
  <si>
    <t>MELISA PEREYRA</t>
  </si>
  <si>
    <t>MENDIETA, MATIAS</t>
  </si>
  <si>
    <t>MENDIETA, MATIAS EZEQUIEL</t>
  </si>
  <si>
    <t>MENDIETTA, EZEQUIEL</t>
  </si>
  <si>
    <t>MENDOZA JUAN</t>
  </si>
  <si>
    <t>Mendoza Karina Laura</t>
  </si>
  <si>
    <t>MENDOZA NICOLAS</t>
  </si>
  <si>
    <t xml:space="preserve">MENDOZA, JUAN BAUTISTA  </t>
  </si>
  <si>
    <t>MENDOZA, KARINA</t>
  </si>
  <si>
    <t>MENDOZA, KARINA LAURA</t>
  </si>
  <si>
    <t>MENDOZA, NICOLÁS</t>
  </si>
  <si>
    <t>MENESES, WALTER</t>
  </si>
  <si>
    <t>MENGHI ,  Carla</t>
  </si>
  <si>
    <t>MENGHI , Carla</t>
  </si>
  <si>
    <t xml:space="preserve">MENGHI, CARLA </t>
  </si>
  <si>
    <t>MENGHI, CARLA ANTONELLA</t>
  </si>
  <si>
    <t>MERELES, FRANCO NAHUEL</t>
  </si>
  <si>
    <t>MERUBIA BRUNO</t>
  </si>
  <si>
    <t>MERUVIA BRUNO</t>
  </si>
  <si>
    <t>MERUVIA, BRUNO</t>
  </si>
  <si>
    <t>MERZARIO CABALLERO SILVIA</t>
  </si>
  <si>
    <t>MERZARIO, SILVIA</t>
  </si>
  <si>
    <t>MEZA ROMINA</t>
  </si>
  <si>
    <t>MEZA. ROMINA</t>
  </si>
  <si>
    <t>MICAELA DIAZ LEIS</t>
  </si>
  <si>
    <t>MICAELA LEIS</t>
  </si>
  <si>
    <t>MIGLIONI, ANDREA MARIA</t>
  </si>
  <si>
    <t>MILLAN, NANCY</t>
  </si>
  <si>
    <t>MILLAN, NANCY YANINA</t>
  </si>
  <si>
    <t>MILONE BECAAS, FRANCO</t>
  </si>
  <si>
    <t>MIÑO JOSE HERNAN</t>
  </si>
  <si>
    <t>MIÑO, JOSE HERNAN</t>
  </si>
  <si>
    <t>MIRANDA JAZMIN</t>
  </si>
  <si>
    <t xml:space="preserve">MIRANDA JAZMIN </t>
  </si>
  <si>
    <t>MIRANDA, JAZMIN</t>
  </si>
  <si>
    <t>MIRANDA, JAZMIN ANTONELLA</t>
  </si>
  <si>
    <t>MIRANDA, JAZMÍN ANTONELLA</t>
  </si>
  <si>
    <t>MIRANDA, PABLO</t>
  </si>
  <si>
    <t>MIRANDA, PABLO EZEQUIEL</t>
  </si>
  <si>
    <t>MOLINA HERNANDEZ, CAMILA ORIANA</t>
  </si>
  <si>
    <t>MOLINAS, ANALIA</t>
  </si>
  <si>
    <t>MONICA, GONZALEZ</t>
  </si>
  <si>
    <t>MONSALVO, SOFIA</t>
  </si>
  <si>
    <t>MONTERO RIOS, MELANIE</t>
  </si>
  <si>
    <t>MONTERO RÍOS, MELANIE</t>
  </si>
  <si>
    <t>MONTERO RIOS, MELANIE SOL</t>
  </si>
  <si>
    <t>MONTERO, MAYRA</t>
  </si>
  <si>
    <t>MONTEROS SELENE</t>
  </si>
  <si>
    <t>MONTEROS SELENE ORNELLA</t>
  </si>
  <si>
    <t>MONTEROS, SELENE</t>
  </si>
  <si>
    <t>MONTI, AGUSTIN</t>
  </si>
  <si>
    <t>MONTIEL , Noeilia</t>
  </si>
  <si>
    <t>MONTIEL , Noelia</t>
  </si>
  <si>
    <t>MONTIEL JUAN</t>
  </si>
  <si>
    <t xml:space="preserve">MONTIEL NOELIA </t>
  </si>
  <si>
    <t>MONTIEL, JUAN</t>
  </si>
  <si>
    <t>MONTIEL, JUAN RAMON</t>
  </si>
  <si>
    <t>MONTIEL, SARA</t>
  </si>
  <si>
    <t>MONTIEL,Noelia</t>
  </si>
  <si>
    <t>MONTUORO NICOLAS</t>
  </si>
  <si>
    <t>MONZALVO SOFIA</t>
  </si>
  <si>
    <t>Monzalvo, Sofia Abigail</t>
  </si>
  <si>
    <t>MONZALVO, SOFÍA ABIGAIL</t>
  </si>
  <si>
    <t>MONZON, NORA</t>
  </si>
  <si>
    <t>MONZON, NORA VIVIANA</t>
  </si>
  <si>
    <t>MORALES DARIO</t>
  </si>
  <si>
    <t>MORALES EZEQUIEL</t>
  </si>
  <si>
    <t>Morales Ezequiel Dario</t>
  </si>
  <si>
    <t>MORALES, EZEQUIEL</t>
  </si>
  <si>
    <t>Morales, Ezequiel Dario</t>
  </si>
  <si>
    <t>MORALES, EZEQUIEL DARIO.</t>
  </si>
  <si>
    <t>MORANDO, IAN</t>
  </si>
  <si>
    <t>MORAS ALEJANDRO</t>
  </si>
  <si>
    <t>MORAS, ALEJANDRO</t>
  </si>
  <si>
    <t>MOREL AYELEN</t>
  </si>
  <si>
    <t>MOREL, AYELEN</t>
  </si>
  <si>
    <t>MOREL, AYELEN SOFÍA</t>
  </si>
  <si>
    <t>MORENO, FEDERICO</t>
  </si>
  <si>
    <t>MORETTI VALERIA</t>
  </si>
  <si>
    <t>MORETTI, VALERIA</t>
  </si>
  <si>
    <t>MORETTO NAZAR, NAHIR</t>
  </si>
  <si>
    <t>MORINIGO CALI, PRISCILA</t>
  </si>
  <si>
    <t>MOUMARY CECILIA ESPERANZA</t>
  </si>
  <si>
    <t>MOUMARY, CECILIA</t>
  </si>
  <si>
    <t>MOUMARY, CECILIA ESPERANZA</t>
  </si>
  <si>
    <t>MOURE, FRANCO</t>
  </si>
  <si>
    <t>MOYA PRISCILA</t>
  </si>
  <si>
    <t>MOYA, PRISCILA</t>
  </si>
  <si>
    <t>MOYANO UBEDA, LIDIA LEONOR</t>
  </si>
  <si>
    <t>MUJICA DOMINGO, ELIAS</t>
  </si>
  <si>
    <t>MUJICA, DOMINGO</t>
  </si>
  <si>
    <t>MUNIAGURRIA PAZOS, ZAHIRA LUZ</t>
  </si>
  <si>
    <t>MUÑOZ AGOSTINA</t>
  </si>
  <si>
    <t>Muñoz Tomas</t>
  </si>
  <si>
    <t>MUÑOZ, AGOSTINA</t>
  </si>
  <si>
    <t>MUÑOZ, AGOSTINA BELEN</t>
  </si>
  <si>
    <t>Muñoz, Agostina Belén</t>
  </si>
  <si>
    <t>MUÑOZ, THOMAS</t>
  </si>
  <si>
    <t>MUÑOZ, TOMAS</t>
  </si>
  <si>
    <t>NACARELLA, ROMINA</t>
  </si>
  <si>
    <t>NAHIR KARSCHACOFF</t>
  </si>
  <si>
    <t>NAHUEL LOPEZ DIAZ</t>
  </si>
  <si>
    <t>NARANJO JENNIFER</t>
  </si>
  <si>
    <t>NARANJO LUCIANO</t>
  </si>
  <si>
    <t>NARANJO LUCIANO ROBERTO</t>
  </si>
  <si>
    <t>Naranjo, Jeniffer</t>
  </si>
  <si>
    <t>NARANJO, LUCIANO</t>
  </si>
  <si>
    <t>Navarro María José</t>
  </si>
  <si>
    <t>NAVARRO, DENISE</t>
  </si>
  <si>
    <t>Navarro, Maria Jose</t>
  </si>
  <si>
    <t>NICOLA, ANDRÉS</t>
  </si>
  <si>
    <t>NICOLAS BORGHESAN</t>
  </si>
  <si>
    <t>NIEVA SOFIA</t>
  </si>
  <si>
    <t>NIEVA, NANCY</t>
  </si>
  <si>
    <t>NIEVAS, NANCY</t>
  </si>
  <si>
    <t>NIEVAS, NANCY VIVIANA</t>
  </si>
  <si>
    <t>NOCITI IGNACIO</t>
  </si>
  <si>
    <t>NOVAS</t>
  </si>
  <si>
    <t>NUÑEZ, VALERIA</t>
  </si>
  <si>
    <t>OBISPO, VALERIA</t>
  </si>
  <si>
    <t>OBISPO, VALERIA SOLEDAD</t>
  </si>
  <si>
    <t>OBREGON, GUSTAVO</t>
  </si>
  <si>
    <t>OBRONSKY, KATHERINE</t>
  </si>
  <si>
    <t>OCTAVIO, MARCELO</t>
  </si>
  <si>
    <t>OJEDA DAIANA</t>
  </si>
  <si>
    <t>OJEDA ROCIO</t>
  </si>
  <si>
    <t xml:space="preserve">OJEDA ROCIO </t>
  </si>
  <si>
    <t>OJEDA, ROCIO</t>
  </si>
  <si>
    <t>OJEDA, ROCÍO</t>
  </si>
  <si>
    <t>OLIVA, CATERINA</t>
  </si>
  <si>
    <t>OLIVA, CATERINA ESTAFANIA</t>
  </si>
  <si>
    <t>OLIVA, CATERINA ESTEFANÍA</t>
  </si>
  <si>
    <t>OLIVARES, SABRINA</t>
  </si>
  <si>
    <t>OLIVIERI, EZEQUIEL</t>
  </si>
  <si>
    <t>ORDOÑEZ BULENTINI, VALENTINA</t>
  </si>
  <si>
    <t xml:space="preserve">Ordoñez Bulentini, Valentina </t>
  </si>
  <si>
    <t xml:space="preserve">ORDOÑEZ BULENTINI, VALENTINA       </t>
  </si>
  <si>
    <t>Ordóñez Débora Andrea</t>
  </si>
  <si>
    <t>ORDOÑEZ LUCAS</t>
  </si>
  <si>
    <t>ORDÓÑEZ LUCAS</t>
  </si>
  <si>
    <t>ORDOÑEZ VALENTINA</t>
  </si>
  <si>
    <t>ORDOÑEZ VALETINA</t>
  </si>
  <si>
    <t>ORDOÑEZ, DEBORA</t>
  </si>
  <si>
    <t>Ordóñez, Débora</t>
  </si>
  <si>
    <t>ORDÓÑEZ, DÉBORA ANDREA</t>
  </si>
  <si>
    <t>ORDÓÑEZ, LUCAS</t>
  </si>
  <si>
    <t>ORDOÑEZ, LUCAS MATIAS</t>
  </si>
  <si>
    <t>ORDOÑEZ, LUCAS MATÍAS</t>
  </si>
  <si>
    <t>ORDO脩EZ BULENTINI, VALENTINA</t>
  </si>
  <si>
    <t>ORELLANO, MARÍA</t>
  </si>
  <si>
    <t>ORLANDONI, GONZALO JAVIER</t>
  </si>
  <si>
    <t>ORREGO, PAMELA</t>
  </si>
  <si>
    <t>ORTIZ, RAQUEL ELIZABETH</t>
  </si>
  <si>
    <t>Ortubia Eugenia Miriam</t>
  </si>
  <si>
    <t>ORTUBIA, EUGENIA</t>
  </si>
  <si>
    <t>ORTUBIA, EUGENIA MARIAM</t>
  </si>
  <si>
    <t>Ortubia, Eugenia Miriam</t>
  </si>
  <si>
    <t>OZON, FERNANDO</t>
  </si>
  <si>
    <t>PAES, HECTOR</t>
  </si>
  <si>
    <t>Paes, Hector Daniel</t>
  </si>
  <si>
    <t>PALACIO SOFIA</t>
  </si>
  <si>
    <t>PALACIOS LEILA</t>
  </si>
  <si>
    <t>PALACIOS SOFIA</t>
  </si>
  <si>
    <t>PALACIOS, LEYLA</t>
  </si>
  <si>
    <t>PALACIOS, SOFIA</t>
  </si>
  <si>
    <t xml:space="preserve">Palacios, Sofia </t>
  </si>
  <si>
    <t>PALAVECINO DAMIAN</t>
  </si>
  <si>
    <t>Palavecino Damian Emmanuel</t>
  </si>
  <si>
    <t>PALAVECINO, DAMIAN</t>
  </si>
  <si>
    <t>PALAVECINO, DAMIAN EMANUEL</t>
  </si>
  <si>
    <t>PANDO, GABRIELA</t>
  </si>
  <si>
    <t>PARADA ENZO</t>
  </si>
  <si>
    <t>PARADA, ENZO</t>
  </si>
  <si>
    <t>PATRICIA CANAGLIA</t>
  </si>
  <si>
    <t>PAULA GARCIA</t>
  </si>
  <si>
    <t>PAULA VELTRI</t>
  </si>
  <si>
    <t>PAZ PRISCILA MAGALI</t>
  </si>
  <si>
    <t>PAZ, AGUSTIN DANIEL</t>
  </si>
  <si>
    <t>PAZ, PRISCILA</t>
  </si>
  <si>
    <t>PAZ, PRISCILA MAGALI</t>
  </si>
  <si>
    <t xml:space="preserve">Paz, Priscila Magali </t>
  </si>
  <si>
    <t xml:space="preserve">PAZ, PRISCILA MAGALI Magali </t>
  </si>
  <si>
    <t>PEDEMONTE, MAYRA</t>
  </si>
  <si>
    <t>PEDRAZA , YESICA</t>
  </si>
  <si>
    <t>PEDRAZA YESICA</t>
  </si>
  <si>
    <t>PEDRAZA YESICA AYELEN</t>
  </si>
  <si>
    <t>PEDRAZA, YESICA</t>
  </si>
  <si>
    <t>PELOSI, ESTEFANIA</t>
  </si>
  <si>
    <t>PERALTA NOELIA</t>
  </si>
  <si>
    <t>PERALTA, EZEQUIEL</t>
  </si>
  <si>
    <t>PERALTA, NOELIA</t>
  </si>
  <si>
    <t>PERALTA, NOEMÍ</t>
  </si>
  <si>
    <t>PEREIRA DINIZ, BRISA FLORENCIA</t>
  </si>
  <si>
    <t>PEREIRA, ANALÍA</t>
  </si>
  <si>
    <t>Pereyra Melisa</t>
  </si>
  <si>
    <t>PEREZ AGUSTINA</t>
  </si>
  <si>
    <t xml:space="preserve">PEREZ AGUSTINA </t>
  </si>
  <si>
    <t>PEREZ FEDERICO</t>
  </si>
  <si>
    <t>PEREZ FLAVIA</t>
  </si>
  <si>
    <t>PEREZ JULIERTA AGUSTINA</t>
  </si>
  <si>
    <t>PEREZ JULIETA</t>
  </si>
  <si>
    <t>PEREZ KIARA</t>
  </si>
  <si>
    <t>PEREZ MATIAS</t>
  </si>
  <si>
    <t>PEREZ, AGUSTINA</t>
  </si>
  <si>
    <t>PEREZ, AGUSTINA ABIGAI</t>
  </si>
  <si>
    <t xml:space="preserve">PEREZ, AGUSTINA ABIGAI </t>
  </si>
  <si>
    <t>PEREZ, AGUSTINA ABIGAIL</t>
  </si>
  <si>
    <t>PEREZ, CELESTE</t>
  </si>
  <si>
    <t>PEREZ, DANIEL</t>
  </si>
  <si>
    <t>PÉREZ, FEDERICO</t>
  </si>
  <si>
    <t>PEREZ, FEDERICO HERNAN</t>
  </si>
  <si>
    <t>PEREZ, JULIETA</t>
  </si>
  <si>
    <t>PEREZ, KIARA</t>
  </si>
  <si>
    <t>PEREZ, KIARA BRISA</t>
  </si>
  <si>
    <t>PEREZ, MARIANA</t>
  </si>
  <si>
    <t>PEREZ, MATIAS</t>
  </si>
  <si>
    <t>PEREZ, MATÍAS FABIÁN</t>
  </si>
  <si>
    <t>PÉREZ, MATÍAS FABIÁN</t>
  </si>
  <si>
    <t>Perez. Matias Fabian</t>
  </si>
  <si>
    <t xml:space="preserve">PERGOLA , BRIAN </t>
  </si>
  <si>
    <t>PÉRGOLA BRIAN SEBASTIÁN</t>
  </si>
  <si>
    <t>Pergola, Brian</t>
  </si>
  <si>
    <t>PERGOLA, BRIAN SEBASTIAN</t>
  </si>
  <si>
    <t>PERGOLA, BRIAN SEBASTIÀN</t>
  </si>
  <si>
    <t>PERGOLA, BRIAN SEBASTI脌N</t>
  </si>
  <si>
    <t>PERGOLA, NAHUEL</t>
  </si>
  <si>
    <t>PERGOLA, SEBASTIAN</t>
  </si>
  <si>
    <t>PERGOLA. BRIAN</t>
  </si>
  <si>
    <t>PEROTTI CANDELA</t>
  </si>
  <si>
    <t>PEROTTI, CANDELA</t>
  </si>
  <si>
    <t>PEROTTI, CANDELA AYLEN</t>
  </si>
  <si>
    <t>PERPOLI, RICARDO</t>
  </si>
  <si>
    <t>PERRONE TAMARA</t>
  </si>
  <si>
    <t>PIACENTE FRANCO</t>
  </si>
  <si>
    <t>PIANESI CASSANO NICOLÁS</t>
  </si>
  <si>
    <t>PIANESI CASSANO, NICOLAS</t>
  </si>
  <si>
    <t>PIANESI, NICOLAS</t>
  </si>
  <si>
    <t>PICCO PATRICIA</t>
  </si>
  <si>
    <t>PINEDO, AGUSTINA</t>
  </si>
  <si>
    <t>PINEL MILAGROS</t>
  </si>
  <si>
    <t>PINEL MILAGROS BELEN</t>
  </si>
  <si>
    <t>PINEL, MILAGROS</t>
  </si>
  <si>
    <t>PINEL, MILAGROS BELÉN</t>
  </si>
  <si>
    <t>PINTADO SANTIAGO</t>
  </si>
  <si>
    <t>PINTADO, SANTIAGO</t>
  </si>
  <si>
    <t>PIÑEIRO, NOELIA</t>
  </si>
  <si>
    <t>PIÑEYRO, CELESTE</t>
  </si>
  <si>
    <t>Pipa Marina Lidia</t>
  </si>
  <si>
    <t xml:space="preserve">PIPA MARINA LIDIA </t>
  </si>
  <si>
    <t>PIPA SILVA, LIDIA MARINA</t>
  </si>
  <si>
    <t>PIPA SILVA, MARINA</t>
  </si>
  <si>
    <t>PIZZINATO, MATEO DANILO</t>
  </si>
  <si>
    <t>PLESCIA, MICAELA</t>
  </si>
  <si>
    <t xml:space="preserve">Plomer, Laura </t>
  </si>
  <si>
    <t>POLARI ULISES</t>
  </si>
  <si>
    <t>POLARI, ULISES</t>
  </si>
  <si>
    <t>POLARI, ULISES GONZALO</t>
  </si>
  <si>
    <t>POLIDOR MARIA EVA</t>
  </si>
  <si>
    <t>POLIDOR, MARIA EVA</t>
  </si>
  <si>
    <t xml:space="preserve">POLIDOR, MARIA EVA </t>
  </si>
  <si>
    <t>Ponce Candela</t>
  </si>
  <si>
    <t>Ponce de León Cindy Maribel</t>
  </si>
  <si>
    <t>PONCE DE LEON, CINDY</t>
  </si>
  <si>
    <t>Ponce de Leon, Cindy Maribel</t>
  </si>
  <si>
    <t>PONCE DE LEÓN, CINDY MARIBEL</t>
  </si>
  <si>
    <t>PONCE VANESA PAOLA</t>
  </si>
  <si>
    <t>PONCE, CANDELA</t>
  </si>
  <si>
    <t xml:space="preserve">Ponce, Candela </t>
  </si>
  <si>
    <t>PONCE, CANDELA AYLEN</t>
  </si>
  <si>
    <t>PONCE, PAOLA</t>
  </si>
  <si>
    <t>PONCE, VANESA</t>
  </si>
  <si>
    <t>PORTO, ROCIO</t>
  </si>
  <si>
    <t>POTEL, ROCIO</t>
  </si>
  <si>
    <t>POTEL, ROCÍO SOL</t>
  </si>
  <si>
    <t>PREZAVENTO SERGIO</t>
  </si>
  <si>
    <t>PREZZAVENTO SERGIO</t>
  </si>
  <si>
    <t>PREZZAVENTO,SERGIO</t>
  </si>
  <si>
    <t>PUYOL ANAHI</t>
  </si>
  <si>
    <t>QUAGLIA TOMAS EZEQUIEL</t>
  </si>
  <si>
    <t>QUAGLIA, TOMAS EZEQUIEL</t>
  </si>
  <si>
    <t>QUEVEDO, DELFINA</t>
  </si>
  <si>
    <t xml:space="preserve">Quevedo, Delfina </t>
  </si>
  <si>
    <t>QUINTANA, MARÍA BELÉN</t>
  </si>
  <si>
    <t>QUINTERO VARGAS, MARCELO EMANUEL</t>
  </si>
  <si>
    <t>QUINTEROS, JULIETA</t>
  </si>
  <si>
    <t xml:space="preserve">Quinteros, Julieta </t>
  </si>
  <si>
    <t>QUIÑONEZ MARIA FLORENCIA</t>
  </si>
  <si>
    <t>QUIROGA VICTORIA</t>
  </si>
  <si>
    <t>QUIROGA, ADRIANA CELINA</t>
  </si>
  <si>
    <t>QUIROGA, FRANCO</t>
  </si>
  <si>
    <t>Quiroga, Jacquelina</t>
  </si>
  <si>
    <t>QUIROGA, JAQUELINE</t>
  </si>
  <si>
    <t>QUIROGA, MICAELA</t>
  </si>
  <si>
    <t>QUIROGA, VICTORIA</t>
  </si>
  <si>
    <t>RAMIREZ, DAVID EZEQUIEL</t>
  </si>
  <si>
    <t>RAMOS LORENA</t>
  </si>
  <si>
    <t>RAMOS, ALEJANDRA</t>
  </si>
  <si>
    <t>RAMOS, ALEJANDRA BEATRIZ</t>
  </si>
  <si>
    <t>RAMOS, LORENA ELIZABETH VICTORIA</t>
  </si>
  <si>
    <t>RAVALLO LUCIANO</t>
  </si>
  <si>
    <t>RAVALLO, LUCIANO</t>
  </si>
  <si>
    <t>RAVALLO, LUCIANO ALFIO</t>
  </si>
  <si>
    <t>RECCHIA, AGUSTÍN</t>
  </si>
  <si>
    <t>REGUEIRA, CAMILA</t>
  </si>
  <si>
    <t>REINOSO IVAN</t>
  </si>
  <si>
    <t>Reinoso Matías</t>
  </si>
  <si>
    <t>REINOSO, IVAN MAURO</t>
  </si>
  <si>
    <t>Reinoso, Matías</t>
  </si>
  <si>
    <t>REINOZO IVAN</t>
  </si>
  <si>
    <t>REINOZO, IVAN MAURO</t>
  </si>
  <si>
    <t>Rejala Efrain Juan Carlos</t>
  </si>
  <si>
    <t xml:space="preserve">Rejala Efrain Juan Carlos </t>
  </si>
  <si>
    <t>REJALA, EFRAIN</t>
  </si>
  <si>
    <t>REJALA, EFRAIN JUAN CARLOS</t>
  </si>
  <si>
    <t>REJALA, EFRAÍN JUAN CARLOS</t>
  </si>
  <si>
    <t>RENFIJES, BELEN</t>
  </si>
  <si>
    <t>Revainera Florencia</t>
  </si>
  <si>
    <t xml:space="preserve">Revainera Florencia </t>
  </si>
  <si>
    <t>REVAINERA, FLORENCIA</t>
  </si>
  <si>
    <t>REVAINERA, FLORENCIA ELIANA</t>
  </si>
  <si>
    <t>REY, JORGE</t>
  </si>
  <si>
    <t>REY, JORGE LUIS</t>
  </si>
  <si>
    <t>REY, THOMAS LEONEL</t>
  </si>
  <si>
    <t>REYES, CLAUDIA</t>
  </si>
  <si>
    <t>REYNA, EZEQUIEL FERNANDO</t>
  </si>
  <si>
    <t>RIBEIRO CECILIA</t>
  </si>
  <si>
    <t>RIBEIRO GUADALUPE</t>
  </si>
  <si>
    <t xml:space="preserve">RIBEIRO, CECILIA </t>
  </si>
  <si>
    <t>RIBEIRO, GUADALUPE</t>
  </si>
  <si>
    <t>RIGONI, VALENTINA</t>
  </si>
  <si>
    <t>RINALDI, SANTIAGO</t>
  </si>
  <si>
    <t>RIOS GABRIELA</t>
  </si>
  <si>
    <t>RÍOS GABRIELA</t>
  </si>
  <si>
    <t>RIOS MESA, MALCOM</t>
  </si>
  <si>
    <t>RÍOS MESA, MALCOM MIGUEL</t>
  </si>
  <si>
    <t>RIOS MEZA, MALCOM</t>
  </si>
  <si>
    <t>RÍOS PÉREZ, KARINA</t>
  </si>
  <si>
    <t xml:space="preserve">RIOS, GABRIELA </t>
  </si>
  <si>
    <t>RIOSRIOS PEREZ, KARINA ALDANA</t>
  </si>
  <si>
    <t>RIPARI MARIA</t>
  </si>
  <si>
    <t>RIPARI VICTORIA</t>
  </si>
  <si>
    <t>RIPARI, VICTORIA</t>
  </si>
  <si>
    <t>RITA AUGUSTO, SOFÍA FLORENCIA</t>
  </si>
  <si>
    <t>RITA SOFIA</t>
  </si>
  <si>
    <t xml:space="preserve">RIVAINERA FLORENCIA </t>
  </si>
  <si>
    <t>RIVAS CARLETTO ALBA</t>
  </si>
  <si>
    <t>RIVAS, ALBA</t>
  </si>
  <si>
    <t xml:space="preserve">RIVERA , Karen </t>
  </si>
  <si>
    <t>RIVERA DANIELA ALEJANDRA</t>
  </si>
  <si>
    <t>RIVERA KAREN</t>
  </si>
  <si>
    <t>RIVERA MARIA FLORENCIA</t>
  </si>
  <si>
    <t xml:space="preserve">RIVERA MARIA FLORENCIA </t>
  </si>
  <si>
    <t>RIVERA MARÍA, FLORENCIA</t>
  </si>
  <si>
    <t>RIVERA, DANIEL DANIELA ALEJANDRA</t>
  </si>
  <si>
    <t>Rivera, Daniela Alejandra</t>
  </si>
  <si>
    <t>RIVERA, DANIELA ALEJANDRA.</t>
  </si>
  <si>
    <t xml:space="preserve">RIVERA, DANIELA ALEJANDRA. </t>
  </si>
  <si>
    <t>RIVERA, KAREN</t>
  </si>
  <si>
    <t>RIVERA, MARIA</t>
  </si>
  <si>
    <t>RIVERA, MARÍA FLORENCIA</t>
  </si>
  <si>
    <t>ROA ABRIL</t>
  </si>
  <si>
    <t>ROA, ABRIL</t>
  </si>
  <si>
    <t xml:space="preserve">ROA, ABRIL </t>
  </si>
  <si>
    <t>ROBLES, LARA VALENTINA</t>
  </si>
  <si>
    <t xml:space="preserve">ROBLES, LARA VALENTINA </t>
  </si>
  <si>
    <t>ROCA, BERNARDO</t>
  </si>
  <si>
    <t>RODRIGUEZ BAEZ, MAXIMA</t>
  </si>
  <si>
    <t xml:space="preserve">RODRIGUEZ BAEZ, MAXIMA </t>
  </si>
  <si>
    <t>RODRIGUEZ NATALIA</t>
  </si>
  <si>
    <t>RODRIGUEZ PATRICIA</t>
  </si>
  <si>
    <t>RODRIGUEZ PATRICIA ELIZABETH</t>
  </si>
  <si>
    <t>RODRIGUEZ SOFIA</t>
  </si>
  <si>
    <t>RODRIGUEZ TARRES MATIAS</t>
  </si>
  <si>
    <t>RODRÍGUEZ TARRES, MATÍAS</t>
  </si>
  <si>
    <t>RODRIGUEZ, ADRIANA MABEL</t>
  </si>
  <si>
    <t>RODRIGUEZ, ANDREA</t>
  </si>
  <si>
    <t>RODRIGUEZ, ELIANA</t>
  </si>
  <si>
    <t>RODRIGUEZ, GABRIEL DARIO</t>
  </si>
  <si>
    <t>RODRIGUEZ, LUCIA</t>
  </si>
  <si>
    <t>RODRIGUEZ, NATALIA</t>
  </si>
  <si>
    <t>RODRIGUEZ, NATALIA LOURDES</t>
  </si>
  <si>
    <t>RODRIGUEZ, PABLO JULIAN</t>
  </si>
  <si>
    <t>RODRIGUEZ, PATRICIA</t>
  </si>
  <si>
    <t>RODRIGUEZ, PATRICIA.</t>
  </si>
  <si>
    <t>Rodriguez, Sofía</t>
  </si>
  <si>
    <t>ROJAS ANTONELLA</t>
  </si>
  <si>
    <t>ROJAS EMILIANO</t>
  </si>
  <si>
    <t>ROJAS EMILIANO JOSE</t>
  </si>
  <si>
    <t>ROJAS GISELA</t>
  </si>
  <si>
    <t>ROJAS GISELA ANTONELLA</t>
  </si>
  <si>
    <t>Rojas Greta</t>
  </si>
  <si>
    <t>ROJAS MELANIE</t>
  </si>
  <si>
    <t>Rojas Paula</t>
  </si>
  <si>
    <t>ROJAS, ANTONELLA</t>
  </si>
  <si>
    <t>ROJAS, GISELA</t>
  </si>
  <si>
    <t>ROJAS, GRETA</t>
  </si>
  <si>
    <t>ROJAS, MELANIE</t>
  </si>
  <si>
    <t xml:space="preserve">ROJAS, MELANIE </t>
  </si>
  <si>
    <t>ROJAS, PAULA</t>
  </si>
  <si>
    <t>ROJAS, PAULA GABRIELA</t>
  </si>
  <si>
    <t>ROJAS, PRISCILA</t>
  </si>
  <si>
    <t>ROJAS, SHEILA</t>
  </si>
  <si>
    <t>ROMAN, DIANA</t>
  </si>
  <si>
    <t>ROMANO, AXEL ADRIAN</t>
  </si>
  <si>
    <t>ROMANO, BRIAN NICOLAS ERIK</t>
  </si>
  <si>
    <t>ROMANOS BRIAN</t>
  </si>
  <si>
    <t>ROMANOS BRIAN NICOLAS ERIK</t>
  </si>
  <si>
    <t>ROMANOS, BRIAN</t>
  </si>
  <si>
    <t>ROMANOS, BRIAN NICOLAS ERIK</t>
  </si>
  <si>
    <t>ROMERO ALEJANDRA</t>
  </si>
  <si>
    <t>ROMERO ESTEFANIA</t>
  </si>
  <si>
    <t>ROMERO GRACIELA</t>
  </si>
  <si>
    <t>ROMERO LUCAS</t>
  </si>
  <si>
    <t>ROMERO VALENTINA</t>
  </si>
  <si>
    <t>ROMERO VALENTINA LUDMILA</t>
  </si>
  <si>
    <t>ROMERO, BRANDON</t>
  </si>
  <si>
    <t>ROMERO, CARLOS</t>
  </si>
  <si>
    <t>ROMERO, ESTEFANIA</t>
  </si>
  <si>
    <t>ROMERO, GRISELDA</t>
  </si>
  <si>
    <t>ROMERO, KARINA</t>
  </si>
  <si>
    <t xml:space="preserve">ROMERO, KARINA </t>
  </si>
  <si>
    <t>ROMERO, KARINA GISELLE</t>
  </si>
  <si>
    <t xml:space="preserve">Romero, Karina Giselle </t>
  </si>
  <si>
    <t xml:space="preserve">ROMERO, KARINA GISELLE Giselle </t>
  </si>
  <si>
    <t>ROMERO, LUCAS.</t>
  </si>
  <si>
    <t>Romero, Nasrala Estefania</t>
  </si>
  <si>
    <t>ROMERO, VALENTINA</t>
  </si>
  <si>
    <t>ROMERO, VALENTINA LUDMILA</t>
  </si>
  <si>
    <t>ROSSI LUCÍA</t>
  </si>
  <si>
    <t>ROSSI, CANDELA</t>
  </si>
  <si>
    <t>ROSSI, CANDELA ALEJANDRA</t>
  </si>
  <si>
    <t>ROSSI, LUCIA</t>
  </si>
  <si>
    <t>ROTONDO, SOFIA</t>
  </si>
  <si>
    <t>RUA, TAMARA SHEILA</t>
  </si>
  <si>
    <t>RUEDA, LUCAS</t>
  </si>
  <si>
    <t>RUEDA, LUCAS HERNAN</t>
  </si>
  <si>
    <t>RUFFINENGO, FABIANA</t>
  </si>
  <si>
    <t>RUIBAL, MARCELO</t>
  </si>
  <si>
    <t>RUIZ DIAZ, BELEN</t>
  </si>
  <si>
    <t>RUÍZ DÍAZ, BELEN ALEJANDRA</t>
  </si>
  <si>
    <t>RUIZ, JAQUELINE</t>
  </si>
  <si>
    <t>RUIZ, NICOLAS</t>
  </si>
  <si>
    <t>RUNGE MIRTA</t>
  </si>
  <si>
    <t>RUNGE, MIRTHA</t>
  </si>
  <si>
    <t>SABELLA ROSA</t>
  </si>
  <si>
    <t>SABELLA ROSA MARIA</t>
  </si>
  <si>
    <t>Sabella Rosa, Maria Noe</t>
  </si>
  <si>
    <t>SABELLA, ROSA MARÍA</t>
  </si>
  <si>
    <t>SALERNO, KEVIN</t>
  </si>
  <si>
    <t>SALGUERO, ADRIANA</t>
  </si>
  <si>
    <t>SALINAS FRANCO</t>
  </si>
  <si>
    <t>SALINAS, FRANCO</t>
  </si>
  <si>
    <t xml:space="preserve">SALINAS, FRANCO GABRIEL </t>
  </si>
  <si>
    <t>SALINAS, PRESENTE GABRIEL</t>
  </si>
  <si>
    <t>SALINAS,FRANCO</t>
  </si>
  <si>
    <t>SALVATIERRA, BLAS</t>
  </si>
  <si>
    <t>SANABRIA ANGELES</t>
  </si>
  <si>
    <t>SANABRIA MELINA</t>
  </si>
  <si>
    <t xml:space="preserve">Sanabria Melina </t>
  </si>
  <si>
    <t>SANABRIA, MACARENA MILAGROS</t>
  </si>
  <si>
    <t>SANABRIA, MELINA</t>
  </si>
  <si>
    <t>SANCHEZ IONA VICTORIA</t>
  </si>
  <si>
    <t>SANCHEZ MELANY YAMILA</t>
  </si>
  <si>
    <t>SANCHEZ, CHRISTIAN</t>
  </si>
  <si>
    <t>SANCHEZ, FEDERICO EMANUEL</t>
  </si>
  <si>
    <t>SANCHEZ, IONA VICTORIA</t>
  </si>
  <si>
    <t xml:space="preserve">SANCHEZ, IONA VICTORIA </t>
  </si>
  <si>
    <t>SANCHEZ, MELANY</t>
  </si>
  <si>
    <t>SANCHEZ, NOEL EMILIANO</t>
  </si>
  <si>
    <t>SANDOVAL JEREMÍAS</t>
  </si>
  <si>
    <t>SANDOVAL, JEREMÍAS</t>
  </si>
  <si>
    <t>SANDOVAL, NICOLAS</t>
  </si>
  <si>
    <t>SANDRA FEDELLE</t>
  </si>
  <si>
    <t>SANTELLAN JONATHAN</t>
  </si>
  <si>
    <t>SANTELLAN, JONATHAN SEBASTIAN</t>
  </si>
  <si>
    <t>SANTILLAN JONATHAN</t>
  </si>
  <si>
    <t xml:space="preserve">SANTILLAN JONATHAN </t>
  </si>
  <si>
    <t>SANTILLÁN LEÓN, LUIS EZEQUIEL</t>
  </si>
  <si>
    <t>SANTUCHO RODRIGO</t>
  </si>
  <si>
    <t>Santucho, Rodrigo</t>
  </si>
  <si>
    <t>SASTRE RODRIGUEZ, CAMILO EZEQUIEL</t>
  </si>
  <si>
    <t>SAYUS , Yanina</t>
  </si>
  <si>
    <t>SAYUS YANINA</t>
  </si>
  <si>
    <t xml:space="preserve">SAYUS, Yanina </t>
  </si>
  <si>
    <t>SAYUS,YANINA</t>
  </si>
  <si>
    <t>SCHIAVONI, BELEN</t>
  </si>
  <si>
    <t>SCHIRRIPA, ESTEBAN</t>
  </si>
  <si>
    <t>Schirripa,Esteban</t>
  </si>
  <si>
    <t xml:space="preserve">Schirripa,Esteban  </t>
  </si>
  <si>
    <t>SEBASTIA MARIANA</t>
  </si>
  <si>
    <t>SEGOVIA NOELIA</t>
  </si>
  <si>
    <t>SEGOVIA, MELISA BEATRIZ</t>
  </si>
  <si>
    <t>SEGURADO, JUAN IGNACIO</t>
  </si>
  <si>
    <t>SELIS SOLANGE</t>
  </si>
  <si>
    <t>SELIS, SOLANGE NAHIR</t>
  </si>
  <si>
    <t>SENA, BENJAMIN</t>
  </si>
  <si>
    <t>SHIRLY, SALINAS</t>
  </si>
  <si>
    <t>SICILIANO LUCIA</t>
  </si>
  <si>
    <t>SILVA MILENA</t>
  </si>
  <si>
    <t>SILVA VANESA NOEMÍ</t>
  </si>
  <si>
    <t>SILVA, MILENA</t>
  </si>
  <si>
    <t>SILVA, VANESA NOEMÍ</t>
  </si>
  <si>
    <t>SILVIA GABRIELA FRIAS</t>
  </si>
  <si>
    <t>SIQUILA FLORENCIA</t>
  </si>
  <si>
    <t>SIQUILA FLORENCIA AGUSTINA</t>
  </si>
  <si>
    <t>SIQUILA, FLORENCIA</t>
  </si>
  <si>
    <t>SIVIERO , Agustina</t>
  </si>
  <si>
    <t xml:space="preserve">SIVIERO , Agustina </t>
  </si>
  <si>
    <t>SIVIERO AGUSTINA</t>
  </si>
  <si>
    <t>Solari Oriana</t>
  </si>
  <si>
    <t>SOLARI, ORIANA</t>
  </si>
  <si>
    <t>SOLDANI, CLARA</t>
  </si>
  <si>
    <t>SOLDANI, CLARA LUCIA</t>
  </si>
  <si>
    <t>SORIA ANA VALERIA</t>
  </si>
  <si>
    <t>SORIA, ANA</t>
  </si>
  <si>
    <t>SORIA, LAURA</t>
  </si>
  <si>
    <t>SORIA, LAURA BELÉN</t>
  </si>
  <si>
    <t>SORIA, LEILA</t>
  </si>
  <si>
    <t>SOSA DÉBORA SABRINA</t>
  </si>
  <si>
    <t>SOSA MIGUEL LEON</t>
  </si>
  <si>
    <t>SOSA NOELIA ROXANA</t>
  </si>
  <si>
    <t>SOSA ROXANA</t>
  </si>
  <si>
    <t>Sosa Sabrina</t>
  </si>
  <si>
    <t>SOSA, DEBORA</t>
  </si>
  <si>
    <t>SOSA, DÉBORA</t>
  </si>
  <si>
    <t>SOSA, DEBORA SABRINA</t>
  </si>
  <si>
    <t>SOSA, NOELIA ROXANA</t>
  </si>
  <si>
    <t>Sosa, Roxana</t>
  </si>
  <si>
    <t>SOSA, TAMARA</t>
  </si>
  <si>
    <t>SOTILLO, KAMILA</t>
  </si>
  <si>
    <t>SOTO AILEN</t>
  </si>
  <si>
    <t>SPADARO, CAMILA</t>
  </si>
  <si>
    <t>STUCHETTI, FLORENCIA SOLEDAD</t>
  </si>
  <si>
    <t>Suarez Marcos Nahuel</t>
  </si>
  <si>
    <t>SUAREZ SABRINA</t>
  </si>
  <si>
    <t>SUAREZ, MARCOS</t>
  </si>
  <si>
    <t>SUAREZ, MARCOS NAHUEL</t>
  </si>
  <si>
    <t>SUAREZ, SABRINA</t>
  </si>
  <si>
    <t>SUAREZ, SABRINA GISELA</t>
  </si>
  <si>
    <t xml:space="preserve">SUAREZ, SABRINA GISELA </t>
  </si>
  <si>
    <t xml:space="preserve">SUAREZ, SABRINA GISELA Gisela </t>
  </si>
  <si>
    <t>TABOADA FEDERICO</t>
  </si>
  <si>
    <t>TABOADA, FEDERICO</t>
  </si>
  <si>
    <t>Taiel, Claro</t>
  </si>
  <si>
    <t xml:space="preserve">Takach Agustin </t>
  </si>
  <si>
    <t>TAKACH SABORIDO AGUSTIN</t>
  </si>
  <si>
    <t>TAKACH, AGUSTIN</t>
  </si>
  <si>
    <t>TALLARICO, FRANCISCO</t>
  </si>
  <si>
    <t>TARRES RODRIGUEZ</t>
  </si>
  <si>
    <t xml:space="preserve">TARRES RODRIGUEZ </t>
  </si>
  <si>
    <t>TARRES RODRIGUEZ, QUE???????</t>
  </si>
  <si>
    <t>TAULAMET, JOSE MARIA</t>
  </si>
  <si>
    <t>TELLO, SOFIA BELEN</t>
  </si>
  <si>
    <t>TENEB, LAUTARO NAHUEL</t>
  </si>
  <si>
    <t>TIRAVANTI JAZMIN</t>
  </si>
  <si>
    <t>TIRAVANTI MEDINA, INGRID JAZMIN</t>
  </si>
  <si>
    <t>TIRAVANTI MEDINA, INGRYD JAZMÍN</t>
  </si>
  <si>
    <t>TOBARES SABRINA</t>
  </si>
  <si>
    <t>TOCONÁS, MARISA</t>
  </si>
  <si>
    <t>TOFALO, MAURICIO OSCAR</t>
  </si>
  <si>
    <t>TOLEDO GONZALEZ, CINTHIA</t>
  </si>
  <si>
    <t>TOMARO COSTA, FATIMA</t>
  </si>
  <si>
    <t>TORELLI, MARÍA SOL</t>
  </si>
  <si>
    <t>TORRES, NAYRA</t>
  </si>
  <si>
    <t>TORRES, PAOLA</t>
  </si>
  <si>
    <t>TORRES, PAOLA HERMINIA</t>
  </si>
  <si>
    <t>TORREZ HURTADO</t>
  </si>
  <si>
    <t>TORREZ HURTADO, NAYRA</t>
  </si>
  <si>
    <t>TORREZ NAYRA</t>
  </si>
  <si>
    <t>TORREZ, NAYRA</t>
  </si>
  <si>
    <t>TOURÓN, DIEGO</t>
  </si>
  <si>
    <t>TOURON, DIEGO LEONEL</t>
  </si>
  <si>
    <t>TRIPODI, TANIA</t>
  </si>
  <si>
    <t>TRIPPICCHIO, MILAGROS</t>
  </si>
  <si>
    <t>TUÑEZ, NOELIA</t>
  </si>
  <si>
    <t>TURA MELINA</t>
  </si>
  <si>
    <t>TURA, MELINA</t>
  </si>
  <si>
    <t>Tura,Belen</t>
  </si>
  <si>
    <t>UEZ FLORENCIA</t>
  </si>
  <si>
    <t>UEZ, FLORENCIA.</t>
  </si>
  <si>
    <t>ustina Isabel RociO Villarrubia</t>
  </si>
  <si>
    <t>UZCATEGUI  FLORANYELY</t>
  </si>
  <si>
    <t>Uzcategui Floranyely</t>
  </si>
  <si>
    <t xml:space="preserve">Uzcategui Floranyely </t>
  </si>
  <si>
    <t>UZCATEGUI, FLORANYELY</t>
  </si>
  <si>
    <t>UZCATEGUI, FLORYANELY</t>
  </si>
  <si>
    <t>VACA GAONA CHIRA</t>
  </si>
  <si>
    <t>VALDEZ, FABIANA</t>
  </si>
  <si>
    <t>VALDIVIEZO, HECTOR</t>
  </si>
  <si>
    <t>Valentina Guzmán</t>
  </si>
  <si>
    <t>VALENTINA, ROMERO</t>
  </si>
  <si>
    <t>VALERIA SOLEDAD</t>
  </si>
  <si>
    <t>Vallejo Rocio Ayelen</t>
  </si>
  <si>
    <t>VALLEJOS, ELENA BELEN</t>
  </si>
  <si>
    <t>VALLEJOS, PATRICIA</t>
  </si>
  <si>
    <t>VALLS FACUNDO</t>
  </si>
  <si>
    <t>VANESA, CHAUQUE</t>
  </si>
  <si>
    <t>VARAS LUCIANA</t>
  </si>
  <si>
    <t>VAZQUEZ MARIA JOSE</t>
  </si>
  <si>
    <t>VAZQUEZ, MARY</t>
  </si>
  <si>
    <t>VEDDA JAVIER</t>
  </si>
  <si>
    <t>VEDDA, JAVIER</t>
  </si>
  <si>
    <t>VEGA BRISA</t>
  </si>
  <si>
    <t>VEGA, BRISA</t>
  </si>
  <si>
    <t>Veidovsky Ruben Maximo</t>
  </si>
  <si>
    <t>VEIDOVSKY, MAXIMO</t>
  </si>
  <si>
    <t>VEIDOVSKY, MÁXIMO</t>
  </si>
  <si>
    <t>VEIDOVSKY, RUBEN MAXIMO</t>
  </si>
  <si>
    <t>VELASQUEZ, ANTONIO</t>
  </si>
  <si>
    <t>VELIZ , Rocio</t>
  </si>
  <si>
    <t>Veliz Ayala Rocio Soledad</t>
  </si>
  <si>
    <t>VELIZ AYALA, Rocio</t>
  </si>
  <si>
    <t>Veliz Ayala, Rocio Soledad</t>
  </si>
  <si>
    <t>VELIZ AYALA,Rocio</t>
  </si>
  <si>
    <t>VELIZ, DAMIAN</t>
  </si>
  <si>
    <t>VELIZ, ROCIO</t>
  </si>
  <si>
    <t>VELOSO CORDOBA, BRIAN</t>
  </si>
  <si>
    <t>VELTRI</t>
  </si>
  <si>
    <t>VELTRI , Paula</t>
  </si>
  <si>
    <t>VELTRI PAULA</t>
  </si>
  <si>
    <t>veltri, p</t>
  </si>
  <si>
    <t>VELTRI, PAULA</t>
  </si>
  <si>
    <t>VENTRE, MARIA JOSE</t>
  </si>
  <si>
    <t>VENTURINI, NICOLAS</t>
  </si>
  <si>
    <t>VERA, DAIANA</t>
  </si>
  <si>
    <t>VERAMENDI ENZO</t>
  </si>
  <si>
    <t>VERAMENDI, ENZO</t>
  </si>
  <si>
    <t>VERDES, BARBARA NADIR</t>
  </si>
  <si>
    <t>VERDURA ELIAS</t>
  </si>
  <si>
    <t xml:space="preserve">VERDURA ELIAS </t>
  </si>
  <si>
    <t>VERDURA, ELIAS</t>
  </si>
  <si>
    <t>VERDURA, ELIAS URIEL</t>
  </si>
  <si>
    <t>VERON, BIANCA</t>
  </si>
  <si>
    <t>VERTI GASTON</t>
  </si>
  <si>
    <t>VERTI, GASTÓN</t>
  </si>
  <si>
    <t>Vesga Ivana</t>
  </si>
  <si>
    <t>VESGA, IVANA</t>
  </si>
  <si>
    <t>VIALE, GISELA</t>
  </si>
  <si>
    <t>VIEZZOLI, DIEGO</t>
  </si>
  <si>
    <t>VIFNOLLES, MACARENA</t>
  </si>
  <si>
    <t>Vignolles Macarena</t>
  </si>
  <si>
    <t>VIGNOLLES, MACARENA</t>
  </si>
  <si>
    <t>VILARO, LUDMILA</t>
  </si>
  <si>
    <t>VILARO, LUDMILA MAGALÍ</t>
  </si>
  <si>
    <t>VILARRUBIA JUSTINA</t>
  </si>
  <si>
    <t>VILCHES, MARIANELA</t>
  </si>
  <si>
    <t>VILCHES, MARIELA</t>
  </si>
  <si>
    <t>VILLAGRA IARA</t>
  </si>
  <si>
    <t>VILLALBA, GUADALUPE AYELEN</t>
  </si>
  <si>
    <t>VILLALBA, GUSTAVO GABRIEL</t>
  </si>
  <si>
    <t>VILLALVA GABRIEL</t>
  </si>
  <si>
    <t>VILLALVA GABRIEL EZEQUIEL</t>
  </si>
  <si>
    <t>VILLANUEVA, CELESTE</t>
  </si>
  <si>
    <t>VILLANUEVA, CELESTE YAMILA</t>
  </si>
  <si>
    <t>VILLAR RODRIGO</t>
  </si>
  <si>
    <t>VILLAR, RODRIGO</t>
  </si>
  <si>
    <t>VILLAROEL EZEQUIEL</t>
  </si>
  <si>
    <t>villaroel Oliveri Ezequiel Oliveri</t>
  </si>
  <si>
    <t>VILLARROEL OLIVERI, EZEQUIEL AGUSTIN</t>
  </si>
  <si>
    <t>Villarroel Olivieri Ezequiel Agustin</t>
  </si>
  <si>
    <t>VILLARROEL OLIVIERI, EZEQUIEL AGUSTIN</t>
  </si>
  <si>
    <t>VILLARRUBIA, JUSTINA</t>
  </si>
  <si>
    <t>VILLARUBIA JUSTINA</t>
  </si>
  <si>
    <t>VILLARUBIA, JUSTINA</t>
  </si>
  <si>
    <t>VILLEGAS RODRIGO</t>
  </si>
  <si>
    <t>VILLORDO</t>
  </si>
  <si>
    <t>WAGNER, KAREN</t>
  </si>
  <si>
    <t>WAGNER, KAREN STEPHANIE</t>
  </si>
  <si>
    <t>WOLANIK, MATIAS</t>
  </si>
  <si>
    <t>WOLANINK MATÍAS</t>
  </si>
  <si>
    <t>WOLANINK, MATÍAS</t>
  </si>
  <si>
    <t>YAÑEZ</t>
  </si>
  <si>
    <t>YAÑEZ VICENTE</t>
  </si>
  <si>
    <t>Yañez Vicente Juan Manuel</t>
  </si>
  <si>
    <t>YAÑEZ VICENTE, JUAN MANUEL</t>
  </si>
  <si>
    <t>YAÑEZ VICENTE, JUAN MANUEL Juan Manuel</t>
  </si>
  <si>
    <t>YAÑEZ. VICENTE</t>
  </si>
  <si>
    <t>YAPURA, JOHANNA</t>
  </si>
  <si>
    <t>YASKULOWSKI, SILVIA</t>
  </si>
  <si>
    <t>YASKULOWSKI, SILVIA DANIELA</t>
  </si>
  <si>
    <t>Yaskulowski. Silvia Daniela</t>
  </si>
  <si>
    <t>YUDI GISELLE</t>
  </si>
  <si>
    <t>YUFRA YOHANA</t>
  </si>
  <si>
    <t>YUFRA, YOHANA BELEN</t>
  </si>
  <si>
    <t>YUFRA, YOHANNA</t>
  </si>
  <si>
    <t>YUFRA,YOHANNA</t>
  </si>
  <si>
    <t>ZABALETA GUTIERREZ, MICHELLE STHEPHANY</t>
  </si>
  <si>
    <t>ZABALETA, MICHELLE</t>
  </si>
  <si>
    <t>Zabaleta, Michelle Sthephany</t>
  </si>
  <si>
    <t>ZAMERO, DAIANA</t>
  </si>
  <si>
    <t>ZAMORA STELLA SOLEDAD</t>
  </si>
  <si>
    <t>ZAMUDIO, ALEJANDRO</t>
  </si>
  <si>
    <t>ZAMUDIO, ALEJANDRO GASTON</t>
  </si>
  <si>
    <t>ZANUY</t>
  </si>
  <si>
    <t>ZANUY JERONIMO</t>
  </si>
  <si>
    <t>ZARZOLI FLORENCIA</t>
  </si>
  <si>
    <t>ZASLAVSKY, SANDRA</t>
  </si>
  <si>
    <t>Zavaleta Gutierrez, Michelle Sthephany</t>
  </si>
  <si>
    <t>ZAVLASKY, SANDRA</t>
  </si>
  <si>
    <t>ZELARAYAN, MIRELLA</t>
  </si>
  <si>
    <t>ZORAIRE MICAELA</t>
  </si>
  <si>
    <t>ZORAIRE, MICAELA</t>
  </si>
  <si>
    <t>ZORAIRE, ROMINA</t>
  </si>
  <si>
    <t>ZORZOLI FLORENCIA</t>
  </si>
  <si>
    <t>SITUACION DE CALLE/VULNERABILIDAD</t>
  </si>
  <si>
    <t>TIPIFICACION</t>
  </si>
  <si>
    <t>UBICACION</t>
  </si>
  <si>
    <t>TOTAL ARRIBO</t>
  </si>
  <si>
    <t>TOTAL EVENTOS</t>
  </si>
  <si>
    <t>MODALIDAD</t>
  </si>
  <si>
    <t>MOTOCHORRO</t>
  </si>
  <si>
    <t>ARREBATO</t>
  </si>
  <si>
    <t>CANGURO</t>
  </si>
  <si>
    <t>MECHERO/MOSTACERO</t>
  </si>
  <si>
    <t>AUTOMOTOR/AUTOPARTE</t>
  </si>
  <si>
    <t>MANO ARMADA</t>
  </si>
  <si>
    <t>PIRAÑA</t>
  </si>
  <si>
    <t>AUSENCIA MORADOR</t>
  </si>
  <si>
    <t>ESCALAMIENTO</t>
  </si>
  <si>
    <t>BRONCE/PICAPORTE</t>
  </si>
  <si>
    <t>OTRO</t>
  </si>
  <si>
    <t>-</t>
  </si>
  <si>
    <t>AMENAZA DE BOMBA/INTIMIDACION</t>
  </si>
  <si>
    <t>IDENTIFICACION VEHICULAR</t>
  </si>
  <si>
    <t>TOBILLERA</t>
  </si>
  <si>
    <t>SALIDERA BANCARIA</t>
  </si>
  <si>
    <t>BICICLETA</t>
  </si>
  <si>
    <t>PROPIEDAD PRIVADA</t>
  </si>
  <si>
    <t>COMERCIO</t>
  </si>
  <si>
    <t>COLABORACIONES TOTALES =</t>
  </si>
  <si>
    <t>DETENIDOS EN COLABORACION TOTALES =</t>
  </si>
  <si>
    <t>ALOY AGUSTINA</t>
  </si>
  <si>
    <t>CACERES MATIAS</t>
  </si>
  <si>
    <t>CUELLOS, JOAQUIN</t>
  </si>
  <si>
    <t xml:space="preserve">DE LA PUENTE ANA </t>
  </si>
  <si>
    <t xml:space="preserve">ESPINOLA CAROLINA </t>
  </si>
  <si>
    <t>Facundo, CIPRIANO</t>
  </si>
  <si>
    <t>FERNANDEZ GUERRA, CHIARA</t>
  </si>
  <si>
    <t>Godoy Amilcar Manuel</t>
  </si>
  <si>
    <t>GODOY EMANUEL</t>
  </si>
  <si>
    <t>GODOY, AMILCAR EMANUEL</t>
  </si>
  <si>
    <t>GODOY, EMANUEL</t>
  </si>
  <si>
    <t>GUERRA FERNANDEZ CHIARA</t>
  </si>
  <si>
    <t>GUERRA FERNANDEZ, CHIARA</t>
  </si>
  <si>
    <t>GUTIERREZ, ADRIAN EZEQUIEL</t>
  </si>
  <si>
    <t>Kuhn Candela</t>
  </si>
  <si>
    <t>Lagomarsino Lucia</t>
  </si>
  <si>
    <t>LUCRECIA, LOBOS</t>
  </si>
  <si>
    <t>MUÑOZ FABIAN</t>
  </si>
  <si>
    <t>Muñoz Zapata Fabian Andres</t>
  </si>
  <si>
    <t>RODRIGUEZ, TOMAS</t>
  </si>
  <si>
    <t>Josefina Clara Rodriguez</t>
  </si>
  <si>
    <t>RODRIGUEZ, JOSEFINA</t>
  </si>
  <si>
    <t>RODRIGUEZ, JOSEFINA CLARA</t>
  </si>
  <si>
    <t>AISIMBURO JAZMIN</t>
  </si>
  <si>
    <t>FERNANDEZ SELENE</t>
  </si>
  <si>
    <t>FERNANDEZ VIDAL</t>
  </si>
  <si>
    <t>GOMEZ, RAMIRO</t>
  </si>
  <si>
    <t>LACABA CAMILA</t>
  </si>
  <si>
    <t>LEIS MICAELA</t>
  </si>
  <si>
    <t>LONGARETTI CAROLINA</t>
  </si>
  <si>
    <t>MOLINA MARIA LAURA</t>
  </si>
  <si>
    <t>MONZALVO,Sofia</t>
  </si>
  <si>
    <t>PENOVI LUCAS</t>
  </si>
  <si>
    <t>Perez,Federico</t>
  </si>
  <si>
    <t>RIVERA DANIELA</t>
  </si>
  <si>
    <t>ROJAS NICOLE</t>
  </si>
  <si>
    <t>TELVINI TIAGO</t>
  </si>
  <si>
    <t>VORPAGEL AGUSTINA</t>
  </si>
  <si>
    <t>VORPAGEL SABRINA</t>
  </si>
  <si>
    <t>YANEZ, VICENTE</t>
  </si>
  <si>
    <t xml:space="preserve">ALTAMIRANO MICAELA </t>
  </si>
  <si>
    <t>BARONE CANDELA</t>
  </si>
  <si>
    <t>BERMAL LAYLA</t>
  </si>
  <si>
    <t>BRUNO ALEJANDRO</t>
  </si>
  <si>
    <t>DIAZ LEIS MICAELA</t>
  </si>
  <si>
    <t>ELIAS VERDURA</t>
  </si>
  <si>
    <t xml:space="preserve">ELIAS VERDURA </t>
  </si>
  <si>
    <t>KAREN WANGER</t>
  </si>
  <si>
    <t>MACARENA VIGNOLLES</t>
  </si>
  <si>
    <t>Monzón Viviana</t>
  </si>
  <si>
    <t>SICILIANI LUCIA</t>
  </si>
  <si>
    <t>VIDAL LUCA</t>
  </si>
  <si>
    <t>Aloy, Agustina</t>
  </si>
  <si>
    <t>ARTESI, FLAVIA</t>
  </si>
  <si>
    <t>BARRIENTOS, TALIA</t>
  </si>
  <si>
    <t>Borja, Lucas Leonel</t>
  </si>
  <si>
    <t>CUELLO, JOAQUIN</t>
  </si>
  <si>
    <t>De la Puente, Ana Celia</t>
  </si>
  <si>
    <t xml:space="preserve">Garcia Nadia </t>
  </si>
  <si>
    <t xml:space="preserve">Guerra Fernandez Chiara </t>
  </si>
  <si>
    <t>GUIZADO CENTENO, AYDEE</t>
  </si>
  <si>
    <t>JUNCOS, GISELLE ELIZABETH</t>
  </si>
  <si>
    <t>KUHN, CANDELA</t>
  </si>
  <si>
    <t>LAGOMARSINO, LUCIA</t>
  </si>
  <si>
    <t>MARTINEZ QUINTANA, MARIA BELEN</t>
  </si>
  <si>
    <t>MICAELA DIAZ, LEIS</t>
  </si>
  <si>
    <t>MUÑOZ ZAPATA, FABIAN ANDRES</t>
  </si>
  <si>
    <t>RODRIGUEZ, TOMAS AGUSTIN</t>
  </si>
  <si>
    <t>SICILIANO, LUCIA</t>
  </si>
  <si>
    <t>VALLEJO, ROCIO AYELEN</t>
  </si>
  <si>
    <t xml:space="preserve">DIDIER, NICOLAS </t>
  </si>
  <si>
    <t xml:space="preserve">Yapura, Johana </t>
  </si>
  <si>
    <t xml:space="preserve">CABRAL, CAROLINA </t>
  </si>
  <si>
    <t xml:space="preserve">DIDIER, NICOLÁS </t>
  </si>
  <si>
    <t xml:space="preserve">LENCINA CRISTINA </t>
  </si>
  <si>
    <t xml:space="preserve">ACEVEDO LUDMILA </t>
  </si>
  <si>
    <t xml:space="preserve">AGE, FRANCO </t>
  </si>
  <si>
    <t xml:space="preserve">AISIMBURO, JAZMIN </t>
  </si>
  <si>
    <t xml:space="preserve">ALBRECHT, YOEL ELIAS </t>
  </si>
  <si>
    <t xml:space="preserve">ALVARADO, ROSARIO </t>
  </si>
  <si>
    <t xml:space="preserve">ALVAREZ, LAURA GABRIELA </t>
  </si>
  <si>
    <t xml:space="preserve">ARGAÑARAZ BRIAN </t>
  </si>
  <si>
    <t xml:space="preserve">ARISPE, GERSON </t>
  </si>
  <si>
    <t xml:space="preserve">ASTARGO, NATANAEL ALEJANDRO </t>
  </si>
  <si>
    <t xml:space="preserve">AVILA SAMIRA </t>
  </si>
  <si>
    <t xml:space="preserve">AYRTON, MARTIN </t>
  </si>
  <si>
    <t xml:space="preserve">BARZOLA, DYLAN </t>
  </si>
  <si>
    <t xml:space="preserve">BORGHESAN, NICOLAS </t>
  </si>
  <si>
    <t xml:space="preserve">BRIZUELA, MARIA ALEJANDRA </t>
  </si>
  <si>
    <t xml:space="preserve">BULENTINI VALENTINA </t>
  </si>
  <si>
    <t xml:space="preserve">CAMARGO, PRISCILA </t>
  </si>
  <si>
    <t xml:space="preserve">CAMINO, MATIAS JULIAN </t>
  </si>
  <si>
    <t xml:space="preserve">CASERES NICOLE </t>
  </si>
  <si>
    <t xml:space="preserve">CASERES, NICOLE </t>
  </si>
  <si>
    <t xml:space="preserve">CASTRO LAUDANI TAMARA </t>
  </si>
  <si>
    <t>CIPRIANI  SOFIA</t>
  </si>
  <si>
    <t>CIPRIANI,  SOFIA</t>
  </si>
  <si>
    <t xml:space="preserve">COCERES, FIAMMA </t>
  </si>
  <si>
    <t xml:space="preserve">COCERES, FIAMMA ABIGAIL </t>
  </si>
  <si>
    <t xml:space="preserve">COLINAS, NICOLAS </t>
  </si>
  <si>
    <t xml:space="preserve">CORREA ,BELEN </t>
  </si>
  <si>
    <t xml:space="preserve">CORREA BELEN </t>
  </si>
  <si>
    <t xml:space="preserve">CRISTOFORI NAGEL, GUSTAVO </t>
  </si>
  <si>
    <t>DANGELIS  VANESA</t>
  </si>
  <si>
    <t xml:space="preserve">DAUMAS, VICTORIA </t>
  </si>
  <si>
    <t xml:space="preserve">DELGADO, LEONARDO MATIAS </t>
  </si>
  <si>
    <t xml:space="preserve">DELVECCHIO, DIANA </t>
  </si>
  <si>
    <t xml:space="preserve">farias veronica </t>
  </si>
  <si>
    <t xml:space="preserve">FRASQUERI, PABLO </t>
  </si>
  <si>
    <t xml:space="preserve">FRIAS, SILVIA </t>
  </si>
  <si>
    <t xml:space="preserve">GALEANO, BELEN </t>
  </si>
  <si>
    <t xml:space="preserve">GARCIA, MICAELA </t>
  </si>
  <si>
    <t xml:space="preserve">GONZALEZ, IARA EDITH </t>
  </si>
  <si>
    <t xml:space="preserve">GURECKI, LAUTARO </t>
  </si>
  <si>
    <t xml:space="preserve">GUTIERREZ, BETINA </t>
  </si>
  <si>
    <t xml:space="preserve">GUTIERREZ, FACUNDO </t>
  </si>
  <si>
    <t xml:space="preserve">GUTIERREZ, NADIA NAHIR </t>
  </si>
  <si>
    <t xml:space="preserve">IBARRA, RAMON </t>
  </si>
  <si>
    <t xml:space="preserve">IERACI, FLORENCIA </t>
  </si>
  <si>
    <t xml:space="preserve">JONSEN, YANINA </t>
  </si>
  <si>
    <t xml:space="preserve">JUNOY </t>
  </si>
  <si>
    <t xml:space="preserve">KARSCHACOFF, NAHIR </t>
  </si>
  <si>
    <t xml:space="preserve">KOSELSTEIN, SILVINA </t>
  </si>
  <si>
    <t xml:space="preserve">KRAKOVSKY, MARTINA </t>
  </si>
  <si>
    <t xml:space="preserve">LAMELA AGUSTIN </t>
  </si>
  <si>
    <t xml:space="preserve">LARDAPIDE, CECILIA </t>
  </si>
  <si>
    <t xml:space="preserve">LEGUIZAMON, KARINA </t>
  </si>
  <si>
    <t xml:space="preserve">LOBOS LUCRECIA </t>
  </si>
  <si>
    <t xml:space="preserve">LOPEZ CAMILA </t>
  </si>
  <si>
    <t xml:space="preserve">LORENA RAMOS </t>
  </si>
  <si>
    <t>LUCA  CIAPPINI</t>
  </si>
  <si>
    <t xml:space="preserve">MARASCO, MAXIMO </t>
  </si>
  <si>
    <t xml:space="preserve">MARINA PIPA SILVA </t>
  </si>
  <si>
    <t xml:space="preserve">MEJIA, GABRIEL </t>
  </si>
  <si>
    <t xml:space="preserve">MOLIN, WARA </t>
  </si>
  <si>
    <t xml:space="preserve">MORALES, EZEQUIEL </t>
  </si>
  <si>
    <t xml:space="preserve">MORRONE, GISELA VERONICA </t>
  </si>
  <si>
    <t xml:space="preserve">MOUMARY, CECILIA </t>
  </si>
  <si>
    <t xml:space="preserve">MOYA, PRISCILA </t>
  </si>
  <si>
    <t xml:space="preserve">NABILA, DALIA </t>
  </si>
  <si>
    <t xml:space="preserve">OJEDA, DAIANA </t>
  </si>
  <si>
    <t xml:space="preserve">OLIVA, CATERINA </t>
  </si>
  <si>
    <t xml:space="preserve">Ordóñez Débora </t>
  </si>
  <si>
    <t xml:space="preserve">ORDOÑEZ VALENTINA </t>
  </si>
  <si>
    <t xml:space="preserve">PAEZ MARIA </t>
  </si>
  <si>
    <t xml:space="preserve">PALAVECINO DAMIAN </t>
  </si>
  <si>
    <t xml:space="preserve">PAZ, AGUSTIN DANIEL </t>
  </si>
  <si>
    <t xml:space="preserve">PEDEMONTE, MAYRA SOFIA </t>
  </si>
  <si>
    <t xml:space="preserve">PERALTA, NOELIA </t>
  </si>
  <si>
    <t xml:space="preserve">PEREIRA DINIZ, BRISA FLORENCIA </t>
  </si>
  <si>
    <t xml:space="preserve">PEREZ, JULIETA </t>
  </si>
  <si>
    <t xml:space="preserve">PERGOLA, BRIAN SEBASTIÀN </t>
  </si>
  <si>
    <t xml:space="preserve">PICCO PATRICIA </t>
  </si>
  <si>
    <t xml:space="preserve">PIÑEIRO, NOELIA </t>
  </si>
  <si>
    <t xml:space="preserve">PIPA SILVA MARINA </t>
  </si>
  <si>
    <t xml:space="preserve">PIPA SILVA, MARINA </t>
  </si>
  <si>
    <t xml:space="preserve">PLOMER LAURA </t>
  </si>
  <si>
    <t xml:space="preserve">PUYOL ANAHI </t>
  </si>
  <si>
    <t xml:space="preserve">RAMOS LORENA </t>
  </si>
  <si>
    <t xml:space="preserve">RECCHIA </t>
  </si>
  <si>
    <t xml:space="preserve">REINOSO IVAN </t>
  </si>
  <si>
    <t xml:space="preserve">REINOSO, MATIAS </t>
  </si>
  <si>
    <t xml:space="preserve">REINOZO IVAN </t>
  </si>
  <si>
    <t xml:space="preserve">RIBEIRO GUADALUPE </t>
  </si>
  <si>
    <t xml:space="preserve">RINALDI, SANTIAGO </t>
  </si>
  <si>
    <t xml:space="preserve">RODRIGUEZ PABLO </t>
  </si>
  <si>
    <t xml:space="preserve">RODRIGUEZ, PATRICIA </t>
  </si>
  <si>
    <t xml:space="preserve">ROJAS EMILIANO JOSE </t>
  </si>
  <si>
    <t xml:space="preserve">ROJAS MELANIE </t>
  </si>
  <si>
    <t xml:space="preserve">ROJAS, ANTONELLA </t>
  </si>
  <si>
    <t xml:space="preserve">ROJAS, GISELA ANTONELLA </t>
  </si>
  <si>
    <t xml:space="preserve">ROMERO, GRACIELA </t>
  </si>
  <si>
    <t xml:space="preserve">TEJEDA, MATIAS </t>
  </si>
  <si>
    <t xml:space="preserve">TELLELDIN MARCOS NICOLAS </t>
  </si>
  <si>
    <t xml:space="preserve">TIRAVANTI MEDINA, INGRID JAZMIN </t>
  </si>
  <si>
    <t xml:space="preserve">UEZ, FLORENCIA </t>
  </si>
  <si>
    <t xml:space="preserve">VILCHES MARIELA </t>
  </si>
  <si>
    <t xml:space="preserve">VILLAR, RODRIGO </t>
  </si>
  <si>
    <t xml:space="preserve">ZANUY JERONIMO </t>
  </si>
  <si>
    <t xml:space="preserve">ZANUY, JERONIMO </t>
  </si>
  <si>
    <t xml:space="preserve">ZORZOLI, FLORENCIA </t>
  </si>
  <si>
    <t>CORDOBA, ROMINA</t>
  </si>
  <si>
    <t>GARCIA, NADIA</t>
  </si>
  <si>
    <t>GODOY, AMILCAR MANUEL</t>
  </si>
  <si>
    <t>GONZALEZ MICHEL, MARTINA GALA</t>
  </si>
  <si>
    <t>PAES, HECTOR DANIEL</t>
  </si>
  <si>
    <t>ROJAS, NICOLE</t>
  </si>
  <si>
    <t>SANTUCHO, RODRIGO</t>
  </si>
  <si>
    <t>KOLISNYK, SOFIA BELEN</t>
  </si>
  <si>
    <t>NAVARRO, MARIA JOSE</t>
  </si>
  <si>
    <t>ALOY, AGUSTINA</t>
  </si>
  <si>
    <t>BORJA, LUCAS LEONEL</t>
  </si>
  <si>
    <t>DE LA PUENTE, ANA CELIA</t>
  </si>
  <si>
    <t>CHACARITA</t>
  </si>
  <si>
    <t>VILLA LUGANO</t>
  </si>
  <si>
    <t>PUERTO MADERO</t>
  </si>
  <si>
    <t>EN CURSO</t>
  </si>
  <si>
    <t>RIVERO, MARCOS</t>
  </si>
  <si>
    <t>ABEL, PAULA NATALIA</t>
  </si>
  <si>
    <t>SENDROS, JONATHAN LUIS</t>
  </si>
  <si>
    <t>GOMEZ, GABRIEL EDUARDO</t>
  </si>
  <si>
    <t>Boedo</t>
  </si>
  <si>
    <t>5B</t>
  </si>
  <si>
    <t>U</t>
  </si>
  <si>
    <t>CARTA</t>
  </si>
  <si>
    <t>Constitucion</t>
  </si>
  <si>
    <t>1C</t>
  </si>
  <si>
    <t>Monserrat</t>
  </si>
  <si>
    <t>1B</t>
  </si>
  <si>
    <t>Retiro</t>
  </si>
  <si>
    <t>1A</t>
  </si>
  <si>
    <t>MONITOREO</t>
  </si>
  <si>
    <t>Villa Soldati</t>
  </si>
  <si>
    <t>8B</t>
  </si>
  <si>
    <t>Liniers</t>
  </si>
  <si>
    <t>9B</t>
  </si>
  <si>
    <t>15C</t>
  </si>
  <si>
    <t>SISEP</t>
  </si>
  <si>
    <t>Balvanera</t>
  </si>
  <si>
    <t>3A</t>
  </si>
  <si>
    <t>15B</t>
  </si>
  <si>
    <t>Palermo</t>
  </si>
  <si>
    <t>14A</t>
  </si>
  <si>
    <t>3B</t>
  </si>
  <si>
    <t>Almagro</t>
  </si>
  <si>
    <t>5A</t>
  </si>
  <si>
    <t>3C</t>
  </si>
  <si>
    <t>Caballito</t>
  </si>
  <si>
    <t>San Nicolas</t>
  </si>
  <si>
    <t>1D</t>
  </si>
  <si>
    <t>Recoleta</t>
  </si>
  <si>
    <t>2A</t>
  </si>
  <si>
    <t>Villa Crespo</t>
  </si>
  <si>
    <t>Puerto Madero</t>
  </si>
  <si>
    <t>1E</t>
  </si>
  <si>
    <t>1 TRASLADO SAME</t>
  </si>
  <si>
    <t>1 DETENIDO</t>
  </si>
  <si>
    <t>Colegiales</t>
  </si>
  <si>
    <t>13C</t>
  </si>
  <si>
    <t>Flores</t>
  </si>
  <si>
    <t>7A</t>
  </si>
  <si>
    <t>6B</t>
  </si>
  <si>
    <t>9A</t>
  </si>
  <si>
    <t>Barracas</t>
  </si>
  <si>
    <t>4D</t>
  </si>
  <si>
    <t>7C</t>
  </si>
  <si>
    <t>14C</t>
  </si>
  <si>
    <t>1 IMPUTADO</t>
  </si>
  <si>
    <t>Chacarita</t>
  </si>
  <si>
    <t>15A</t>
  </si>
  <si>
    <t>Villa Urquiza</t>
  </si>
  <si>
    <t>12C</t>
  </si>
  <si>
    <t>Villa Lugano</t>
  </si>
  <si>
    <t>8A</t>
  </si>
  <si>
    <t>CONSTITUCION 74</t>
  </si>
  <si>
    <t>14B</t>
  </si>
  <si>
    <t>FRECUENCIA</t>
  </si>
  <si>
    <t>Nueva Pompeya</t>
  </si>
  <si>
    <t>2B</t>
  </si>
  <si>
    <t>Floresta</t>
  </si>
  <si>
    <t>10A</t>
  </si>
  <si>
    <t>2 DETENIDOS</t>
  </si>
  <si>
    <t>Parque Chacabuco</t>
  </si>
  <si>
    <t>7B</t>
  </si>
  <si>
    <t>Saavedra</t>
  </si>
  <si>
    <t>6A</t>
  </si>
  <si>
    <t>Parque Chas</t>
  </si>
  <si>
    <t>11B</t>
  </si>
  <si>
    <t>San Telmo</t>
  </si>
  <si>
    <t>1F</t>
  </si>
  <si>
    <t>Belgrano</t>
  </si>
  <si>
    <t>13A</t>
  </si>
  <si>
    <t>1 DETENIDO.-</t>
  </si>
  <si>
    <t>MARTINEZ, VERONICA</t>
  </si>
  <si>
    <t>CISNEROS, HECTOR</t>
  </si>
  <si>
    <t>RODRIGUEZ CRISTIAN</t>
  </si>
  <si>
    <t>ARELLANO HAMM</t>
  </si>
  <si>
    <t>01 DETENIDO</t>
  </si>
  <si>
    <t>PALERMO O103</t>
  </si>
  <si>
    <t>FLORES 76</t>
  </si>
  <si>
    <t xml:space="preserve">1 IMPUTADO </t>
  </si>
  <si>
    <t>12A</t>
  </si>
  <si>
    <t xml:space="preserve">Villa del Parque </t>
  </si>
  <si>
    <t>San Cristobal</t>
  </si>
  <si>
    <t>8C</t>
  </si>
  <si>
    <t>1 TRASLADO</t>
  </si>
  <si>
    <t>Barrio 31</t>
  </si>
  <si>
    <t>CHACARITA 67</t>
  </si>
  <si>
    <t>PALERMO O156</t>
  </si>
  <si>
    <t>1 CONTRAVENTOR</t>
  </si>
  <si>
    <t>2 IMPUTADOS</t>
  </si>
  <si>
    <t>CONSTITUCION74</t>
  </si>
  <si>
    <t>LINIERS 11</t>
  </si>
  <si>
    <t>FINALIZADA CON IMPUTADOS</t>
  </si>
  <si>
    <t>*NO CARGA IMPUTADO</t>
  </si>
  <si>
    <t>PERRONE, JULIANA</t>
  </si>
  <si>
    <t>ALCARAZ, ARIEL</t>
  </si>
  <si>
    <t>AGUERO EDITH</t>
  </si>
  <si>
    <t>LEDESMA, NATALIA</t>
  </si>
  <si>
    <t xml:space="preserve">EN CURSO </t>
  </si>
  <si>
    <t>BUSTAMANTE, LIS</t>
  </si>
  <si>
    <t>CONSTITUCION 82</t>
  </si>
  <si>
    <t>BALVANERA 24</t>
  </si>
  <si>
    <t>SIENDO LAS 00:14HS. SE TOMA CÁMARA BALVANERA24 EMPLAZADA EN RIVADAVIA 2396 Y MATHEU SE VISUALIZA A MASCULINO CAMINANDO CON UN MOTOVEHICULO SE DA AVISO A COMANDO GENERANDO CARTA SAE N°48375884 SIENDO LAS 00:16HS. ARRIBA PERSONAL POLICIAL DANDO CON EL MASCULINO POSTERIORMENTE SE VISUALIZA MEDIANTE LA CÁMARA BALVANERAO114 EMPLAZADA EN RIVADAVIA 2509 Y LARREA A ESTE MASCULINO SIENDO ENTREVISTADO POR PERSONAL POLICIAL. 00:20HS. SE RETIRA MASCULINO POR SUS PROPIOS MEDIOS Y PERSONAL POLICIAL DANDO ASÍ POR FINALIZADO ESTE EVENTO. POSTERIORMENTE SE AMPLÍA MEDIANTE SAE MÓVIL INFORMA QUE SE IDENTIFICÓ A UN MASCULINO Y A UN MOTOVEHICULO LOS MISMOS CORRESPONDEN Y NO POSEEN IMPEDIMENTO</t>
  </si>
  <si>
    <t>VILLA DEVOTO O115</t>
  </si>
  <si>
    <t>Villa Devoto</t>
  </si>
  <si>
    <t>SE TOMA CONOCIMIENTO MEDIANTE CARTA SAE N° 48375887. LLAMANTE REQUIERE MÓVIL POR CHOQUE CON HERIDO. 00:24HS. SE TOMA CÁMARA VILLA DEVOTOO115 EMPLAZADA EN EMILIO LAMARCA 5401 Y GENERAL PAZ EN LA MISMA SE VISUALIZA VEHÍCULO COLOR GRIS Y UN MOTOVEHÍCULO TENDIDO EN LA VÍA PUBLICA. SE VERIFICA MEDIANTE LÍNEA DE TIEMPO POR CÁMARA VILLA DEVOTOO115 CAM02 EMPLAZADA EN LA MENCIONADA SIENDO LAS 23:55HS. SE VISUALIZA EL MOMENTO EN EL QUE VEHÍCULO QUE CIRCULABA POR COLECTORA DE GENERAL PAZ COLISIONA AL MOTOVEHÍCULO QUE CIRCULABA POR LA CALLE LAMARCA BAJANDO DEL PUENTE EL VEHÍCULO CIRCULABA CON EL SEMÁFORO EN VERDE HABILITÁNDOLE EL PASO. 00:45HS. ARRIBA SAME. 00:45HS. SE RETIRA SAME CON TRASLADO. SIENDO LAS 01:21HS. SE DA POR FINALIZADO ESTE EVENTO QUEDANDO PERSONAL POLICIAL EN CONSIGNA EN EL LUGAR. POSTERIORMENTE SE AMPLÍA MEDIANTE AMPLIACIÓN SAE MÓVIL 911 B NUEVA CONSULTA CON UNIDAD DE FLAGRANCIA OESTE A CARGO DOCTORA TAMARA CRISTINI ACTUACIÓN LESIONES 94 29 Y 30 PARA EL SEÑOR LUGNO.</t>
  </si>
  <si>
    <t>CABALLITO 89</t>
  </si>
  <si>
    <t>SE TOMA CONOCIMIENTO MEDIANTE CARTA SAE N°48375937 1206A SOLICITA QUE CMU VERIFIQUE SI SE LOGRA OBSERVAR INCIDENCIA ENTRE DOS MASCULINOS EN LA CUAL UNO LE ARROJA AL OTRO UN ELEMENTO HECHO OCURRIDO FRENTE AL HOSPITAL DURAND. SIENDO LAS 00:30HS. SE POSEE CÁMARA CABALLITO89 EMPLAZADA EN AMBROSETTI 751 Y VALLESE VISUALIZANDO A PERSONAL POLICIAL CON UN MASCULINO DEMORADO EN EL LUGAR. SE PROCEDE A REALIZAR LÍNEA DE TIEMPO POR CÁMARA CABALLITO89 CAM03 SIENDO LAS 23:43HS. SE VISUALIZA MASCULINO REALIZAR FOCO ÍGNEO PARA LUEGO ARROJAR EL MISMO A UN SEGUNDO MASCULINO QUE DORMIA EN VÍA PUBLICA LA NOVEDAD FUE APORTADA AL PERSONAL POLICIAL LO CUAL PROCEDE A HACER CONSULTA JUDUCIAL. 02:25HS SE RETIRA PERSONAL POLICIAL DEL LUGAR CON TRASLADO DEL MASCULINO DANDO ASÍ POR FINALIZADO ESTE EVENTO. POSTERIORMENTE SE TOMA CONOCIMIENTO MEDIANTE AMPLIACIÓN SAE MÓVIL 1205 SE REALIZA CONSULTA CON EL JUZGADO NÚMERO 60 A CARGO DOCTOR ANTELO SECRETARIA NÚMERO 71 ACTUACIONES TENTATIVA DE HOMICIDIO.</t>
  </si>
  <si>
    <t>ALMAGRO 55</t>
  </si>
  <si>
    <t>SE TOMA CONOCIMIENTO MEDIANTE CARTA SAE N° 48376004 LLAMANTE MASCULINO REFIERE QUE HABRÍA UN MASCULINO MANIPULANDO UNA MOTO REFIERE ESTARÍA SONANDO LA ALARMA Y PODRÍA ESTAR ROBÁNDOLA. SIENDO LAS 00:46HS. SE POSEE CÁMARA ALMAGRO 55 EMPLAZADA EN DIAZ VELEZ 4301 Y PRINGLES DONDE SE VISUALIZA A MASCULINO CON EL MOTOVEHICULO Y PERSONAL POLICIAL. 00:52HS. SE RETIRA PERSONAL POLICIAL DANDO POR FINALIZADO ESTE EVENTO. POSTERIORMENTE SE AMPLÍA MEDIANTE CARTA SAE HT 5A INFORMA QUE SE TRATA DEL PROPIETARIO DE LA MOTO PANORAMA NORMAL.</t>
  </si>
  <si>
    <t>PARQUE CHACABUCO 27</t>
  </si>
  <si>
    <t>SE TOMA CONOCIMIENTO MEDIANTE CARTA SAE N°48376117 LLAMANTE FEMENINO REFIERE QUE EN EL GRUPO DE WHATSAPP HABRÍAN AVISADO QUE HABRÍA UNA PAREJA DANDO VUELTAS POR EL LUGAR REFIERE QUE ADEMÁS HABRIAN MÁS MASCULINOS. SIENDO LAS 01:16HS SE TOMA CÁMARA CHACABUCO27 SE VISUALIZA MASCULINOS SIMILARES CARACTERÍSTICAS EN EL LUGAR. 01:19 HS ARRIBA PERSONAL POLICIAL DANDO CON LOS MISMOS. 01:40 HS SE RETIRA PERSONAL DEL LUGAR Y LAS PERSONAS POR SUS PROPIOS MEDIOS DANDO POR FINALIZADO EL EVENTO. POSTERIORMENTE SE TOMA CONOCIMIENTO MEDIANTE LA AMPLIACIÓN SAE QUE MÓVIL 607 EN EL LUGAR SE VERIFICO EL QTH Y SE IDENTIFICÓ A MASCULINO QUIEN NO POSEE ELEMENTOS CONSTITUTIVO DE DELITO NEGATIVO PERSONAS EXTRAÑAS.</t>
  </si>
  <si>
    <t>SANTA RITA 39</t>
  </si>
  <si>
    <t>Santa Rita</t>
  </si>
  <si>
    <t>SIENDO LAS 01:04HS. SE TOMA CONOCIMIENTO MEDIANTE CARTA SAE N°48376054 DENUNCIANTE REFIERE QUE UN MASCULINO HABRÍA TREPADO A UNA FINCA Y SACO ALGO. EL MISMO CAMINA POR CONCORDIA SENTIDO A GAONA. VISTE GORRA BLANCA CAMPERA BOLSA Y PANTALÓN. SE TOMA CÁMARA SANTA RITA39 EMPLAZADA EN GAONA 3901 Y CONCORDIA SE VISUALIZA A PERSONAL POLICIAL ENTREVISTANDO A MASCULINO CON SIMILARES CARACTERÍSTICAS DE LO DENUNCIADO.01:11HS SE RETIRA MASCULINO POR SUS PROPIOS MEDIOS Y PERSONAL POLICIAL DANDO POR FINALIZADO EL EVENTO. POSTERIORMENTE SE AMPLÍA MEDIANTE SAE MASCULINO SIN ELEMENTO CONSTITUTIVO DE DELITO SE IDENTIFICA SIN IMPEDIMENTO.</t>
  </si>
  <si>
    <t>11A</t>
  </si>
  <si>
    <t>VILLA RIACHUELO 19</t>
  </si>
  <si>
    <t>Villa Riachuelo</t>
  </si>
  <si>
    <t>BARRIO 31 31</t>
  </si>
  <si>
    <t>SE TOMA CONOCIMIENTO MEDIANTE CARTA SOBRE MASCULINOS INTENTANDO SUSTRAER UNA BICICLETA, SE VISUALIZA PERSONAL POLICIAL ENTREVISTANDO A 4 MASCULINOS, SE INDICA LINEA DE TIEMPO SOBRE EL SENTIDO DE FUGA DE LOS MASCULINOS APARENTE AUTORES, POSTERIORMENTE SE LABRAN ACTS POR TTVA DE ROBO.-</t>
  </si>
  <si>
    <t>03 DETENIDOS.-</t>
  </si>
  <si>
    <t>CONSTITUCION O122</t>
  </si>
  <si>
    <t>SE VISUALIZA PERSONAL POLICIAL IDENTIFICANDO EN VIA PUBLICA, SE BRINDA APOYO OPTICO, VERIFICADA LINEA DE TIEMPO SE VISUALIZA APARENTE COMERCIALIZACION DE ESTUPEFACIENTES ENTRE TRES PERSONAS DE ROPAS OSCURAS, LAS CUALES AL NOTAR LA PRESENCIA DEL PERSONAL POLICIAL INTENTAN FUGAR DEL LUGAR, POSTERIORMENTE PERSONAL POLICIAL INDICA SE LABRAN ACTS POR LEY 23737, DOS DETENIDOS Y MASCULINO COMPRADOR NOTIFICADO DE 29/30.-</t>
  </si>
  <si>
    <t>02 DETENIDOS Y 01 IMPUTADOS.-</t>
  </si>
  <si>
    <t>ALMAGRO 79</t>
  </si>
  <si>
    <t>SE TOMA CONOCIMIENTO MEDIANTE CARTA SAE N°48376172 FEMENINO REFIERE QUE HABRÍAN PERSONAS TOCANDO LOS TIMBRES DE LA ZONA. SIENDO LAS 01:46 HS. SE TOMA CÁMARA ALMAGRO79 EMPLAZADA EN VENEZUELA 3373 Y VIRREY LINIERS DONDE SE VISUALIZA A PERSONAL POLICIAL EN EL LUGAR ENTREVISTANDO A MASCULINO EN EL LUGAR. 01:51 HS. SE RETIRA PERSONAL POLICIAL DEL LUGAR DANDO ASÍ POR FINALIZADO ESTE EVENTO. POSTERIORMENTE SE TOMA CONOCIMIENTO MEDIANTE AMPLIACIÓN SAE MÓVIL 605 INDICA QUE SE TRATARÍA DE UN MENOR QUE SE DOMICILIA EN PLANTA BAJA DEPARTAMENTO 11 EL CUAL REFIERE QUE SE HABRÍA OLVIDADO LAS LLAVES.</t>
  </si>
  <si>
    <t>CABALLITO O207</t>
  </si>
  <si>
    <t>SE TOMA CONOCIMIENTO MEDIANTE CARTA SAE N°48376230. DENUNCIANTE REFIERE QUE FRENTE A LA ESTACIÓN AXION INDICA QUE HAY CUATRO MASCULINOS Y UN FEMENINO EN SITUACIÓN SOSPECHOSA AL MOMENTO DE LA LLAMADA ARRIBA MÓVIL POLICIAL. 01:58 HS. SE TOMA CÁMARA CABALLITOO207 EMPLAZADA EN AVENIDA SAN MARTIN 1500 Y LUIS VIALE DONDE SE VISUALIZA A MASCULINOS DE SIMILARES CARACTERÍSTICAS EN EL LUGAR. 01:59 HS. ARRIBA PERSONAL POLICIAL DANDO CON LOS MASCULINOS. 02:12 HS. SE RETIRAN MASCULINOS POR SUS PROPIOS MEDIOS ASÍ MISMO PERSONAL POLICIAL DANDO POR FINALIZADO ESTE EVENTO. SE TOMA CONOCIMIENTO MEDIANTE AMPLIACIÓN SAE SECTOR 1 EN EL LUGAR EL MASCULINO INDICO QUE NO LLAMO AL 911.</t>
  </si>
  <si>
    <t>PALERMO 28</t>
  </si>
  <si>
    <t>SE TOMA CONOCIMIENTO MEDIANTE CARTA SAE N°48376355 FEMENINO REFIERE QUE HABRÍA 3 MASCULINOS QUE GOLPEARÍAN PAREDES Y GRITAN REFIERE QUE PODRÍAN SER PERSONAS EN ESTADO DE EBRIEDAD. MENCIONA QUE UNO DE REMERA BEIGE Y PANTALÓN NEGRO OTRO DE REMERA BLANCA Y OTRO DE VERDE OSCURA CON PANTALÓN CLARO. SIENDO LAS 02:48 HS. SE TOMA CÁMARA PALERMO28 EMPLAZADA EN NICETO VEGA 5915 Y RAVIGNANI DONDE SE VISUALIZA A PERSONAL POLICIAL IDENTIFICANDO A MASCULINOS. 02:57 HS. SE RETIRAN MASCULINOS JUNTO A PERSONAL POLICIAL DEL LUGAR DANDO ASÍ POR FINALIZADO ESTE EVENTO. POSTERIORMENTE SE TOMA CONOCIMIENTO MEDIANTE AMPLIACIÓN DE CARTA SAE QUE 614 B INFORMA NEGATIVO LOS MASCULINOS EN MENCIÓN SE RECORRE INMEDIACIONES PRESENCIA NOTORIA DEL PERSONAL POLICIAL.</t>
  </si>
  <si>
    <t>FLORES 79</t>
  </si>
  <si>
    <t>SE TOMA CONOCIMIENTO MEDIANTE CARTA SAE N° 48376113. DENUNCIANTE REFIERE QUE SU PAREJA LA GOLPEO. 01:34HS. SE POSEE FLORES79 EMPLAZADA EN YERBAL 2394 Y FRAY CAYETANO DONDE SE VISUALIZA A PERSONAL POLICIAL. SE REALIZA LÍNEA DE TIEMPO MEDIANTE FLORES79CAM02 DONDE SIENDO LAS 01:11:11HS. SE VISUALIZA A UN MASCULINO DE BUZO GRIS PANTALÓN NEGRO Y CALZADO OSCURO A LA VELOZ CARREA POR RIESTRA DOBLANDO EN TORRES Y TENORIO SENTIDO MIRAFLORES MOMENTOS DESPUÉS UNA FEMENINO DE CAMPERA OSCURA PANTALÓN BLANCO Y CALZADO BLANCO SIGUIÉNDOLO POR DETRÁS 01:16:18HS. SE LO VISUALIZA AL MASCULINO VOLVIENDO SOBRE SUS PASOS. 02:43HS. SE RETIRA PERSONAL POLICIAL CON TRASLADO DANDO POR FINALIZADO ESTE EVENTO. SE AMPLÍA MEDIANTE SAE MÓVIL 907 EN EL LUGAR SE REALIZÓ CONSULTA CON FISCALÍA CRIMINAL CORRECCIONAL N°35 A CARGO DEL DOCTOR DANIEL RAPA SECRETARIA ÚNICA A CARGO DEL DOCTOR GUILLERMO FARRA QUIEN DISPUSO SE LABRAN ACTUACIONES POR AMENAZAS COACTIVAS Y SE INDICÓ LA DETENCIÓN DEL MASCULINO</t>
  </si>
  <si>
    <t>VILLA ORTUZAR 31</t>
  </si>
  <si>
    <t>Villa Ortuzar</t>
  </si>
  <si>
    <t>SE TOMA CONOCIMIENTO MEDIANTE CARTA SAE N° 48376410 DENUNCIANTE REFIERE VERÍA UN AUTO ESTACIONADO QUE PARECE CHOCADO SERIA LA 3RA NOCHE EN QUE LO VE COMO DOS MASCULINO SE PONEN A DESARMARLO COMO QUE TAMBIÉN INTENTAN ARRANCARLO REFIERE QUE LE ES RARO EL HORARIO Y QUE SOLO OCURRA DE NOCHE ADEMÁS DE QUE ESE AUTO NO LE PARECE DE LA ZONA. SIENDO LAS 03.12HS SE TOMA CÁMARA VILLA ORTUZAR 31 EMPLAZADA EN ROSETI 1895 Y HOLMBERG A UN MASCULINO DE BUFANDA VERDE SOBRE TODO NEGRO PANTALÓN GRIS SUBIÉNDOSE A UN AUTO COLOR GRIS MARCA CITROËN SE ACCIONAN LAS BALIZAS ABRE EL CAPOTE. 03.12 HS ARRIBA MÓVIL POLICIAL. 03.34HS SE RETIRA PERSONAL POLICIAL. DANDO POR FINALIZADO ESTE EVENTO. POSTERIORMENTE MÓVIL 615 INFORMA QUE SE TRATA DEL PROPIETARIO DEL VEHÍCULO EN LA PUERTA DEL DOMICILIO.</t>
  </si>
  <si>
    <t>BALVANERA O123</t>
  </si>
  <si>
    <t>SE TOMA CONOCIMIENTO MEDIANTE CARTA SAE N.° 48376356 DE UN MASCULINO SOBRE LA VÍA PÚBLICA QUE ESTABA SOLICITANDO AYUDA. A LAS 02:45 HORAS, MEDIANTE CÁMARA BALVANERA 0123 EMPLAZADA EN PASTEUR 197 Y JUAN DOMINGO PERÓN, SE VISUALIZA A UN MASCULINO EXALTADO EN LA VEREDA, DESPLAZÁNDOSE LUEGO A GRAN VELOCIDAD POR JUAN DOMINGO PERÓN. A LAS 03:06 HORAS SE CONFIRMA LA PRESENCIA DE PERSONAL POLICIAL EN EL LUGAR. A LAS 03:26 HORAS ARRIBA SAME Y A LAS 03:31 HORAS SE RETIRAN TANTO PERSONAL POLICIAL COMO SAME, SIN VISUALIZAR TRASLADO, DANDO POR FINALIZADO EL EVENTO. POSTERIORMENTE, MEDIANTE AMPLIACIÓN DE LA CARTA SAE HT, SE INFORMA QUE SAME INTERNO 407, A CARGO DE LA DRA. HERRERA, MN 158850, ASISTIÓ AL MASCULINO Y LO DERIVÓ AL HOSPITAL RAMOS MEJÍA, DIAGNOSTICANDO SITUACIÓN PSICOMOTRIZ.</t>
  </si>
  <si>
    <t>BALVANERA O128</t>
  </si>
  <si>
    <t>SE TOMA CONOCIMIENTO MEDIANTE CARTA SAE N°48376436. LLAMANTE FEMENINO REFIERE QUE LE ESTARÍAN GOLPEANDO LA PUERTA DE SU DEPARTAMENTO Y NO RESPONDE AL PREGUNTAR QUIÉN ES. 03:18HS. SE TOMA CÁMARA BALVANERAO128 EMPLAZADA EN MORENO 2199 Y PASCO DONDE SE VISUALIZA MASCULINO EN QTH. 03:24HS. ARRIBA PERSONAL POLICIAL DANDO CON MASCULINO. 03:37HS. SE RETIRA PERSONAL POLICIAL DANDO ASÍ POR FINALIZADO ESTE EVENTO. POSTERIORMENTE SE NOTIFICA AMPLIACIÓN MEDIANTE CARTA SAE 1003 ENTREVISTA A LA FEMENINO. INDICA QUE EL MASCULINO SERÍA EL ENCARGADO DEL CONSORCIO QUE ACUDIÓ A SU LLAMADO POR UN ROEDOR EN INTERIOR DE LA FINCA. NEGATIVO PERSONAS EXTRAÑAS</t>
  </si>
  <si>
    <t>BALVANERA 20</t>
  </si>
  <si>
    <t>SE TOMA CONOCIMIENTO MEDIANTE CARTA SAE N°48376470. MASCULINO REFIERE SER SERENO DE ESTACIÓN DE SERVICIO CERRADA Y HABRÍA UNA FEMENINO EN ESTADO DE EBRIEDAD. ESTE PIDE QUE SE RETIRE Y LA FEMENINO SE ACOSTARÍA Y GRITARÍA AMENAZANDO AL DENUNCIANTE. 03:27HS. SE TOMA CÁMARA BALVANERA20 EMPLAZADA EN RIVADAVIA 3098 Y GENERAL URQUIZA DONDE SE VISUALIZA PERSONAL POLICIAL EN EL LUGAR. 03:33HS. SE RETIRA FEMENINO ACOMPAÑADA DE PERSONAL POLICIAL. 03:35HS. SE RETIRA PERSONAL POLICIAL DEL LUGAR DANDO ASÍ POR FINALIZADO ESTE EVENTO. POSTERIORMENTE SE NOTIFICAS MEDIANTE AMPLIACIÓN SAE HT ENTREVISTA A LLAMANTE. INDICA INCIDENCIA CON FEMENINO EN SITUACIÓN DE CALLE. AL ARRIBO DEL MÓVIL SE HABRÍA RETIRADO</t>
  </si>
  <si>
    <t xml:space="preserve">PALERMO O210 </t>
  </si>
  <si>
    <t>SE TOMA CONOCIMIENTO MEDIANTE CARTA SAE N° 48376476 QUE PERSONAL DE TRANSITO DE LA CIUDAD SOLICITA MÓVIL POLICIAL AL PUESTO DE ALCOHOLEMIA POR UN MASCULINO AGRESIVO VERBAL Y FÍSICAMENTE CON LOS AGENTES. SIENDO LAS 03:34HS. SE TOMA CÁMARA PALERMOO210 EMPLAZADA EN PARAGUAY 4888 Y GODOY CRUZ DONDE SE VISUALIZA A PERSONAL DE TRANSITO JUNTO A VEHÍCULO CON MASCULINO EN SU INTERIOR. 03:38HS. ARRIBA PERSONAL POLICIAL. 03:52HS. SE RETIRA PERSONAL POLICIAL Y MASCULINO POR SUS PROPIOS MEDIOS DANDO ASÍ POR FINALIZADO ESTE EVENTO. POSTERIORMENTE SE AMPLÍA MEDIANTE CARTA SAE QUE MÓVIL 614 INFORMA SE COOPERA CON AGENTE DE TRÁNSITO DAINA CAT 033388 BASE COCHABAMBA. PERSONAL DE TRANSITO REALIZO MASCULINO 1.36 EN ALCOHOL EN SANGRE EL CUAL SE RETIRA.</t>
  </si>
  <si>
    <t>CHACARITA 43</t>
  </si>
  <si>
    <t>SE TOMA CONOCIMIENTO MEDIANTE CARTA SAE N°48376122 DENUNCIANTE INDICA QUE HABRÍA UN MASCULINO CREE QUE SERÍA UN VECINO QUE LO ESTARÍA AMENAZADO DE MUERTE. 01:18HS. SE TOMA CÁMARA CHACARITA43 EMPLAZADA EN GIRIBONE 905 Y CESPEDES SE VISUALIZA UN MASCULINO EN LA ESQUINA DE VIA PUBLICA CON UN PERRO Y ARRIBO DE MÓVIL POLICIAL LA MISMA REALIZA ENTREVISTA CON DOS MASCULINOS. 02:01HS. SE RETIRAN POR SUS PROPIOS MEDIOS LOS MASCULINOS Y SE RETIRA MÓVIL POLICIAL DANDO POR FINALIZADO ESTE EVENTO. POSTERIORMENTE MEDIANTE LA AMPLIACIÓN DE LA CARTA SAE MOVIL615 INFORMA QUE AL ARRIBO SE ENTREVISTO AL SR. GUTIERREZ QUIEN REFIERE QUE FUE AMENAZADO POR SU VECINO EL SR. CARBONETTO SE EVACUO CONSULTA CON UNIDAD DE FLAGRANCIA NORTE DRA. PAGLIANITI DISPUSO ACTUACIONES POR AMENAZAS SIMPLES NOTIFICADO EL SR. CARBONETTO.</t>
  </si>
  <si>
    <t>VILLA SOLDATI O115</t>
  </si>
  <si>
    <t>SE VISUALIZA MEDIANTE LA CAMARA VILLA SOLDATIO115 A UN VEHICULO EL CUAL NO TIENE LA CHAPA PATENTE COLOCADA, SE SOLICITA LA IDENTIFICACION DEL MISMO. SEGUIDAMENTE SE DA AVISO A COMANDO GENERANDO CARTA SAE, SEGUIDAMENTE ARRIBA EL PERSONAL POLICIAL DANDO CON EL VEHICULO Y SUS OCUPANTES, EL MISMO NO CONSTITUYE INPEDIMETOS POR LO QUE SE RETIRAN LAS PARTES Y PERSONAL POLICIAL POR SUS MEDIOS, DANDO POR FINALIZADO ESTE EVENTO.</t>
  </si>
  <si>
    <t>CHACARITA 14</t>
  </si>
  <si>
    <t>SE TOMA CONOCIMIENTO MEDIANTE CARTA SAE N°48376575 QUE DENUNCIANTE FEMENINO REFIERE QUE HABRÍA UN HOMBRE ALCOHOLIZADO QUE LE TIRO UN MANOTAZO AL CHOFER DE LA LÍNEA 78. EL MISMO QUIERE SUBIR AL MÓVIL AL COLECTIVO. REFIERE QUE TENDRÍA UNA CAMPERA AZUL PANTALÓN LARGO NEGRO MOCHILA NEGRA EDAD 45 APROXIMADAMENTE. 04:24HS SE TOMA LA CÁMARA CHACARITA10 EMPLAZADA EN CORRIENTES 6195 Y DORREGO DONDE SE VISUALIZA LA PARTE DE ATRÁS DE UN COLECTIVO DE LA LÍNEA 78. 04:29HS ARRIBA PERSONAL POLICIAL AL LUGAR. 04:25HS. SE TOMA LA CÁMARA CHACARITA14 EMPLAZADA EN DORREGO 731 Y GUZMÁN DONDE SE VISUALIZA MEJOR LA SITUACIÓN. MEDIANTE LÍNEA DE TIEMPO POR LA CÁMARA CHACARITA14CAM03 SIENDO LAS 04:20 HS SE VISUALIZA A UN MASCULINO APROXIMARSE A LA VENTANILLA DEL CONDUCTOR Y DAR UN MANOTAZO.04:27HS SE RETIRA COLECTIVO DE LA LÍNEA 78. 04:33HS SE RETIRA PERSONAL POLICIAL DANDO POR FINALIZADO EL EVENTO. POSTERIORMENTE SE AMPLÍA MEDIANTE CARTA SAE HT ENTREVISTA AL LLAMANTE QUIEN REFIERE QUE MANTUVO UNA INCIDENCIA CON UN PASAJERO SOLUCIONADA PANORAMA NORMAL.</t>
  </si>
  <si>
    <t>SANTA RITA 43</t>
  </si>
  <si>
    <t xml:space="preserve">SE TOMA CONOCIMIENTO MEDIANTE CARTA SAE N°48376615 LLAMANTE MASCULINO REFIERE LE ESTÁN ROBANDO. SE TOMA CÁMARA SANTA RITA43 EMPLAZADA EN GAONA 4101 Y SAN NICOLÁS VISUALIZANDO A UN MASCULINO ACERCARSE A ESTABLECIMIENTO BAILABLE. SE REALIZA LÍNEA DE TIEMPO EN DICHA CÁMARA SIN PODER VISUALIZAR IMAGEN DE RELEVANCIA. 04:50HS. ARRIBA PERSONAL POLICIAL AL LUGAR QTH LAMARCA Y RIVADAVIA. 04:57HS. SE RETIRA MÓVIL POLICIAL DANDO POR FINALIZADO ESTE EVENTO. SE TOMA CONOCIMIENTO MEDIANTE AMPLIACIÓN SAE S2 EN EMILIO LAMARCA Y RIVADAVIA PRESENCIA NOTORIA NO SE ACERCA LLAMANTE O DAMNIFICADO. PANORAMA EN LA VÍA PUBLICA NORMAL. </t>
  </si>
  <si>
    <t>BELGRANO O117</t>
  </si>
  <si>
    <t>SE TOMA CONOCIMIENTO MEDIANTE SAE REF ESTAR EN COMERCIO BAILABLE DE COSTA 7070. INFM613 INDICA QUE LA DENUNCIANTE SE RETIRO DEL LUGAR, SAME ASISTION EN EL LUGAR A LA FEM, SE RETIRO CON CUSTODIA Y AMIGOS. EN RELACION AL IMPUTADOM LA DENUNCIANTE DIO DATOS DE SU PAREJA APARENTE AGRESOR, FUE BUSCADO EN INTERIOR DE LOCAL BAILABLE CON RESULTADO NEGATIVO. PERSONAL DE SEGURIDAD DEL LOCAL BAILABLE OBSERVO UNA DISCUSION ENTRE ELLOS ASI MISMO NO OBSERVO AGRESION, EL MASC SE HABIA RETIRADO POR OTRA DE LAS SALIDAS DEL LOCAL BAILABLE SE AGUARDA CONSULTA JUDICIAL</t>
  </si>
  <si>
    <t>FLORESTA 41</t>
  </si>
  <si>
    <t>SE TOMA CONOCIMIENTO POR CARTA SAE N°48376592 LLAMANTE REFIERE QUE HABRÍA ESCUCHADO A DOS MASCULINOS ROMPIENDO UN AUTO PRIMER MASCULINO DE CAMPERA BLANCA CON CAPUCHA SEGUNDO MASCULINO DE REMERA CLARA. 04:38 HS. SE TOMA CÁMARA FLORES41 EMPLAZADA EN CASTAÑARES 2302 Y BONORINO DONDE SE VISUALIZA A DOS MASCULINOS DE SIMILARES CARACTERÍSTICAS. PRIMER MASCULINO REMERA GRIS PANTALÓN LARGO SEGUNDO MASCULINO DE BUZO BLANCO PANTALÓN OSCURO CALZADO CLARO LOS MISMOS ESTARÍAN ACOMPAÑADOS POR FEMENINO CAMPERA NEGRA CALZA OSCURA ZAPATILLAS ROJAS. 04:33 HS. SE REALIZA LÍNEA DE TIEMPO POR CÁMARA FLORES96CAM01 EMPLAZADA EN BONORINO 1508 Y BALBASTRO DONDE SE OBSERVA A ESTOS DOS MASCULINOS APROXIMÁNDOSE A UN VEHÍCULO RENAULT GRIS RETIRÁNDOSE DEL LUGAR CON LO QUE SERÍA UNA RUEDA DEL MISMO PERMANECIENDO ASÍ AL MOMENTO DE APORTAR EN BONORINO ENTRE CASTAÑARES Y SARAZA. 04:42 HS. ARRIBA PERSONAL POLICIAL DANDO CON LAS PERSONAS DESCRIPTAS ANTERIORMENTE. 05:02 HS. SE RETIRA PERSONAL POLICIAL CON TRASLADO DE LOS DOS MASCULINOS DANDO POR FINALIZADO ESTE EVENTO. POSTERIORMENTE SE TOMA CONOCIMIENTO POR AMPLIACIÓN DE SAE QUE FALTA AMPLIACION</t>
  </si>
  <si>
    <t>RECOLETA 51 CAM 01</t>
  </si>
  <si>
    <t>SE VISUALIZA MEDIANTE CAMARA RECOLTA51 CAM01 PERSONA EN SITUACION DE VULNERABILIDAD DURMIENDO EN ENTRADA DE EDIFICIO 108:HT 2121 INF EN EL LUGAR SE RETIRO A UNA PERSONA EN ESTADO DE CALLE EL MISMO SE RETIRA OFUZCADO SIN APORTAR DATOS FILIATORIOS, NO REQUIERE BAP</t>
  </si>
  <si>
    <t>ALMAGRO 10</t>
  </si>
  <si>
    <t xml:space="preserve">SE VISUALIZA AMARA ALMAGRO10 VISUALIZANDO A PERSONAS HACIENDO USO INDEBIDO DEL ESPACIO PUBLICO, LOS MISMOS DORMITANDO CERCANOS A LA ENTRADA DE UNA FINCA </t>
  </si>
  <si>
    <t>PALERMO 09 CAM 02</t>
  </si>
  <si>
    <t>SE MEDIANTE CAMARA PALERMO09 CAM02 PERSONA EN SITUACION DE VULNERABILIDAD DURMIENDO SOBRE LA VIA PUBLICA EN LA VEREDA DE COMERCIO.-  108:HT INF SE ENTREVISTA AL MASCULINO REFIERE LLAMARSE PABLO LO UNICO APORTADO , NO REQUIERE BAP, ESTA A LA ESPERA DE QUE HABRA LA IGLESIA</t>
  </si>
  <si>
    <t>COLEGIALES 29</t>
  </si>
  <si>
    <t>SE TOMA CONOCIMIENTO MEDIANTE CARTA SAE N°48376419 SECTOR 4 SOLICITA SAME Y MÓVIL EN COOPERACIÓN INDICA UN MASCULINO SE QUISO ARROJAR DEL PUENTE POC 1133717874. 03:18HS. SE TOMA CÁMARA COLEGIALES29 EMPLAZADA EN LACROZE 2496 Y CIUDAD DE LA PAZ DONDE SE VISUALIZA A PERSONAL POLICIAL EN EL LUGAR. 03:25HS. ARRIBA SAME. 03:32HS. SE RETIRA SAME SIN LOGRAR VISUALIZAR SI FUE CON TRASLADO. 03:37HS. SE RETIRA PERSONAL POLICIAL DANDO ASI POR FINALIZADO ESTE EVENTO. POSTERIORMENTE SE TOMA CONOCIMIENTO MEDIANTE AMPLIACIÓN SAE QUE 613C INFORMA QUE ARRIBO 382 DE JUAN B JUSTO A CARGO DOCTOR MARTÍNEZ MN 206808 TRASLADO DURAN DIAGNOSTICO CAÍDO DE ALTURA POLITRAUMATISMO SIN RIESGO DE VIDA. 613C INFORMA QUE SE REALIZÓ CONSULTA CON LA FISCALÍA CRIMINAL Y CORRECCIONAL N°38 SECRETARIA ÚNICA A CARGO DOCTOR SONY SECRETARIA ÚNICA A CARGO DOCTOR PICO QUIEN INDICO ACTUACIONES POR TENTATIVA DE SUICIDIO Y SERVICIO DE UCM POC 1141750707</t>
  </si>
  <si>
    <t>PALERMO 39</t>
  </si>
  <si>
    <t>SE TOMA CONOCIMIENTO MEDIANTE CARTA SAE N°:48376768 OF. ARIAS EMANUEL LP 36159 PERTENECIENTE A CV 14C CUMPLIMENTANDO SERVICIO DE 20:00 HS. A 08:00 HS. INDICA MASC. AGRESIVO CON PERSONAL POLICIAL. SOLICITA SAME PARA EL MASCULINO. AL TOMAR LA CÁMARA PALERMO 39 SE VISUALIZA PERSONAL POLICIAL CON MASC. REDUCIDO. SE BRINDA APOYO ÓPTICO.HT INF SE REALIZO CONSULTA CON LA UFLA NORTE AC DRA PACLIANITI QUIEN DISPUSO ACT POR ART 238 ATENTADO Y RESISTENCIA A LA AUTORIDAD, AVALA LA DETENCION DEL MASCULINO. ARRIBO SAME INT 380 BASE CORDOBA AC DRA CANO MN 153061 DIAG CONTROL CLINICO PARA PERSONAL POLICIAL, COMO EL MASCULINO DEMORADO</t>
  </si>
  <si>
    <t>SE TOMA CONOCIMIENTO MEDIANTE CARTA SAE N°:48376779 CUERPO DE TRÁNSITO REFIERE QUE DETIENE VEHÍCULO POR CIRCULAR EN SENTIDO CONTRARIO. EL CONDUCTOR ESTARÍA VIOLENTO. AL TOMAR LA CÁMARA SANTA RITA 43 SE VISUALIZA PERSONAL DE TRÁNSITO EN EL LUGAR. SE APORTA LÍNEA DE TIEMPO SIENDO LAS 05:51 HS. POR CÁMARA SANTA RITA 43 CAM 01 SE VISUALIZA UN VEHICULO COLOR OSCURO CIRCULAR POR CALLE SAN NICOLAS EL MISMO DOBLA HACIA LA DERECHA EN AV GAONA CIRCULANDO EN CONTRAMANO POR LA MISMA Y DOBLANDO EN EMILIO LAMARCA. ACTO SEGUIDO SE PIERDE DE LA VISUAL. LUEGO ARRIBA PERSONAL POLICIAL. SE AMPLÍA POR SAE MÓVIL 911A INF. AGENTE DE TRANSITO ILESO. LA INCIDENCIA FUE SOLUCIONADA. SE ENCUENTRA COOPERANDO CON AGENTE DE TRÁNSITO PARA IDENTIFICAR A UN MASC. MÓVIL 610A INFORMA CORRESPONDE Y NO POSEE EL MASCULINO Y VEHÍCULO. SE LABRO CORRESPONDIENTE INFRACCIÓN. PERSONAL DE TRÁNSITO PROCEDE A LA REMISIÓN DEL VEHÍCULO.</t>
  </si>
  <si>
    <t>VILLA DEL PARQUE 41</t>
  </si>
  <si>
    <t>SE VISUALIZA MEDIANTE CÁMARA VILLA DEL PARQUE 41 A UNA PERSONA EN APARENTE ESTADO DE VULNERABILIDAD HACIENDO USO INDEBIDO DEL ESPACIO PÚBLICO. NO SE LOGRA VISUALIZAR ARRIBO DEL PERSONAL POLICIAL. SE AMPLÍA POR SAE: SECTOR 2 INF. AL ARRIBO ES AFIRMATIVO LAS PERSONAS EN SITUACION DE CALLE, LAS CUALES NO APORTAN DATOS, MISMAS SE LAS INVITO A RETIRARSE DEL LUGAR ACCEDIENDO SIN NOVEDAD. SE DEJA CONSTANCIA QUE CONSULTADO A LAS MISMAS NO REQUIEREN ASISTENCIA DEL BAP ASI COMO NO SE REQUIERE 103.</t>
  </si>
  <si>
    <t>MONSERRAT80</t>
  </si>
  <si>
    <t>SE TOMA CONOCIMIENTO MEDIANTE CARTA SAE N°: 48376852 SECTOR 1 INFORMA 2 MASCULINOS VIOLENTAN INGRESO DE COMERCIO. AL TOMAR LA CÁMARA MONSERRAT 80 SE VISUALIZA PERSONAL POLICIAL EN EL LUGAR. SE APORTA LINEA DE TIEMPO SIENDO LAS 05:56 HS. POR CAMARA DOMO MONSERRAT 80 EN UNO DE LOS GIROS DEL MISMO SE VISUALIZA A UN APARENTE MASCULINO DE PRENDA SUPERIOR VERDE AGUA. ASI MISMO LAS FIJAS NO APUNTAN AL QTH Y UNA DE ELLAS SE ENCUENTRA SIN VIDEO. SE DEJA CONSTANCIA QUE NO SE LOGRA VISUALIZAR EL HECHO ILICITO.S1 CONSULTA CON EL JUZGADO 45 A/C DRA TROVITOLA MARIA SECRETARIA 122 A/C DR CORONEL NICOLAS DISPONE ACT ETIGRAFE  CARATURA ROBO Y DEMAS MEDIDAS ,  NO SE REQUIERE SERVICIOS SECUESTRO DE 25 DOLARES Y 50 BOLIBARIANOS , Y UN RELOJ METALICO INCRIPCION (EDIFFICE)</t>
  </si>
  <si>
    <t>FLORES 38</t>
  </si>
  <si>
    <t>SE VISUALIZA INCIDENCIA EN EL LUGAR. SE AMPLIA: HT INF SE TRATO DE UNA INCIDENCIA SOLUCIONADA EN EL LUGAR , ILESOS, AMBOS CORRESPONDEN Y NO POSEEN , SE RETIRAN DEL LUGAR</t>
  </si>
  <si>
    <t>PALERMO O216</t>
  </si>
  <si>
    <t>SE TOMA CONOCIMIENTO MEDIANTE CARTA SAE DTE REFIERE QUE HARIA UN MASCLNO ENSIT DE CALLE AGRESIVO. SE AMPLIA: MOVIL CIUDAD INF SE IDENTIFICA AL MASCULINO, EL MISMO CORRESPONDE Y NO POSEE, NO REQUIERE BAP, SE RETIRA DEL LUGAR</t>
  </si>
  <si>
    <t xml:space="preserve">P. CHACABUCO 58 CAM02 </t>
  </si>
  <si>
    <t>SE VISUALIZA A PERSONA EN SITUACION DE VULNERABILIDAD. SE AMPLIA: 108:607B INF SE IDENTIFCO 2 PERSONAS AMBOS CORRESPONDEN Y NO POSEEN , SE RETIRAN DEL LUGAR</t>
  </si>
  <si>
    <t>CONSTITUCIONO135/38</t>
  </si>
  <si>
    <t>SE TOMA CONOCIMIENTO MEDIANTE CARTA SAE HT 1667 MASCULINO REDUCIDO ACUSADO DE ILICITO. SE AMPLIA: M  601  ARRIBANDO A LIMA Y CIUDADELA   MODALIDAD ARREBATO LE SUSTRAE EL CELULAR , DE LAS MANOS NEGATIVO LESIONES , TELEFONO EN EL LUGAR , AL MOMENTO DE LA DETENCION LO ARROJO DEBAJO DE UN VEHICULO , CONSULTA CON  FISCALIA NACIONAL Nº 27 A/C DR MARCELO DE LA CASA SECRETAIA UNICA A/C DR LUCIANO DISPONE  ACT  ROBO  MASC DETENIDO</t>
  </si>
  <si>
    <t>SE VISUALIZA A PERSONA EN SITUACION DE VULNERABILIDAD. SE AMPLIA108:HT INF SE RETIRA EL MASCULINO EN SITUACION DE CALLE OFUSCADO NO REQUERIA BAP. OF PEÑA KAREN</t>
  </si>
  <si>
    <t>COLEGIALES 49</t>
  </si>
  <si>
    <t>SE VISUALIZA A PERSONA EN SITUACION DE VULNERABILIDAD. SE AMPLIA108: INF  1013C SE RETIRA MASC SIN NOVEDAD NO APORTA DATOS NO REQUIERE BAP</t>
  </si>
  <si>
    <t>RECOLETA 25</t>
  </si>
  <si>
    <t>SE VISUALIZA A PERSONA EN SITUACION DE VULNERABILIDAD. SE AMPLIA108:HT IFN SE IDENTIFICO AL MASC SIN NOVEDAD QUIEN INF SE ENCUENTRA AGUARDANDO EN LA PEURTA DE LA IGLESIA PARA SU RACIONAMIENTO, AL RELIZAR ENTREGA SE RETIRA, NO REQUIERE BAP</t>
  </si>
  <si>
    <t>PALERMO 27</t>
  </si>
  <si>
    <t>SE TOMA CONOCIMIENTO MEDIANTE CARTA SAE MASC REFIERE QUE HABRIA UN MASC EBRIO AGRESIVO EN LA VIA PUBLICA, PIDE MOVIL EN EL LUGAR. SE AMPLIA: M-614A  INF SE ENTREVISTO AL  LLAMANTE  QUIEN    REFIEERE QUE  SE  TRATO DE UNA INCIDENCIA  LA CUAL   HABIA SIDO SOLUCIOANADA .</t>
  </si>
  <si>
    <t>ALMAGRO 85</t>
  </si>
  <si>
    <t>SE VISUALIZA A PERSONA EN SITUACION DE VULNERABILIDAD. SE AMPLIA 108:1105B IDENTIFICO A DOS PERSONAS EN SITUACION DE CALLE CORRESPONDEN Y NO POSEEN SE RETIRAN SIN NOVEDAD NO REQUIEREN BAP</t>
  </si>
  <si>
    <t>CONSTITUCION32</t>
  </si>
  <si>
    <t>SE VISUALIZA APARENTE VENTA DE SUSTANCIAS. SE AMPLIA: que se realizo consulta con Este a cargo Dr Aleman quien dispone actuaciones por averiguacion ley 23737 articulo 5 inciso C Una de las femeninos poseia 46200 pesos argentinos por lo cual el magistrado ordena secuestro y notificacion de articulo 29 y 30 con respecto a la otra femenino la cual es menor de edad se ordena soltura en el lugar ninguna de las femeninos posee sustancias ilicitas negativo elemento constitutivo de delito 08:41 hs se da por finalizado el evento</t>
  </si>
  <si>
    <t>P. MADERO 51/CONSTITUCION O131/ P. PATRICIOS 61</t>
  </si>
  <si>
    <t>SE TOMA CONOCIMIENTO MEDIANTE CARTA SAE SE COMUNICA AL TELEF POC DE ESTA SALA EL SR OTERO.- COORDINADOR MEDICO DEL HTAL GARAHAM SOLICITA COOPERACION PARA TRASLADO DE ORDANO DESTE EL AEROPARQUE J. NEWBWRY AL HTAL.- SE AMPLIA: ARRIBA AL HOSPITA S/N.-</t>
  </si>
  <si>
    <t>BELGRANO O104</t>
  </si>
  <si>
    <t>SE VISUALIZA A PERSONA EN SITUACION DE VULNERABILIDAD. SE AMPLIA 108:103 INF QUE SE RETIRA MASC EN SITUACION DE CALLE SIN NOVEDAD PANORAMA NORMAL EN VP</t>
  </si>
  <si>
    <t>V. CRESPO 37</t>
  </si>
  <si>
    <t>SE VISUALIZA A PERSONA EN SITUACION DE VULNERABILIDAD. SE AMPLIA 108:HT INF. NEGATIVO LO APORTADO NEGATIVO DENUNCIANTE. EL PANORAMA ES NORMAL PRESENCIA DEL PERSONAL NOTORIA SE AGUARDO TIEMPO PRUDENCIAL PIE A TIERRA OBTENIENDO EL MISMO RESULTADO.-</t>
  </si>
  <si>
    <t>FLORES 52</t>
  </si>
  <si>
    <t>SE TOMA CONOCIMIENTO MEDIANTE CARTA SAE LLAMANTE REF QUE HABRIA UN PASAJERO QUE ESTARIA CONVULCIONADO EN EL COLECTIVO 8 INTERNO 712. SE AMPLIA:  393 del Piñero a cargo Doctor MN 168844 quien asiste en el lugar con diagnostico control clínico.</t>
  </si>
  <si>
    <t>FLORES 32 CAM02</t>
  </si>
  <si>
    <t>SE VISUALIZA A MASCULINO VENDER PAÑUELOS. SE AMPLIA: SEC 3 INF SE REALIZA  CONSULTA FISC GRAL CON EL PROSECRETARIO DR GIMENES SE LABRAN ACT ART 99 USO INDEBIDO DEL ESPACIO PUBLICO , SECUESTRO DE LA MERCADERIA  , NOTIFICACON Y SOLTURA</t>
  </si>
  <si>
    <t xml:space="preserve">1 CONTRAVENTOR </t>
  </si>
  <si>
    <t>PALERMO O158</t>
  </si>
  <si>
    <t>SE VISUALIZA A PERSONA EN SITUACION DE VULNERABILIDAD. SE AMPLIA</t>
  </si>
  <si>
    <t>V. LUGANO 70</t>
  </si>
  <si>
    <t>SE TOMA CONOCIMIENTO MEDIANTE FRECUENCIA HT SOLICITA SAME POR MACULINO CON ATAQUE.- SE TOMA CAMARA VISUALIZANDO LO APORTADO.- ARRIBA AMBULANCIA PRIVADA .- SE RETIRA. SE AMPLIA MEDIANTE CARTA  HT INFORMA ARRIBO SAME INT 203 A CARGO DRA CANASTA 124106  DIAG Y NO DERIVA DIAG ANSIEDA ,DERIVADA AL BOEDO</t>
  </si>
  <si>
    <t>BALVANERA 30</t>
  </si>
  <si>
    <t>SE TOMA CONOCIMIENTO MEDIANTE CARTA SAE DTE MASC REFIERE QUE UN MOTOVEHICULO HABRIA CHOCADO CONTRA UNA CAMIONETA. SE AMPLIA: móvil 603 arribo SAME INT 426 base Moreno Dr Fenendez Victor mn 206875 asiste y deriva al Hospital Ramos Mejia diagnostico politrauma sin riesgo de vida. Movil 603 consulta con la unidad de flagrancia este Dr Pablo Aleman actuaciones por lesiones 94. notifica 29 y 30 al conductor y entrega de rodado. notifico por art 133 por incumplimiento no se solicita ningún servicio negativo persona relevancia . negativo medios.</t>
  </si>
  <si>
    <t>1 IMPUTADO /1 TRASLADO SAME</t>
  </si>
  <si>
    <t>V. SOLDATI O113</t>
  </si>
  <si>
    <t>SE TOMA CONOCIMIENTO MEDIANTE CARTA  ROBO DENTRO DE UNA ESCUELA. SE TOMA CAMARA VISUALIZANDO A MOVIL POLICIAL EN EL LUGAR .- SE AMPLIA MEDIANTE CARTA MOVIL  608B INFORMA SE REALIZO CONSULTA CON LA FISCALIA NUM 9 A CARGO DR HERRERA,UNICA DRA KELLY SE LABRAN ACTUACIONES POR ROBO,SE SOLICITA RASTROS AGUARDA EL SERVICIO EL   OF YESICA POC  1128984770__</t>
  </si>
  <si>
    <t>FLORESTA 35</t>
  </si>
  <si>
    <t>SE VISUALIZA A MASCULINO CUIDACOCHES. SE AMPLIA: HT INF EN EL LUGAR NEGATIVO MASC EN MENSION SE VERIFICO INMEDIACIONES CON RESULTADO NEGATIVO</t>
  </si>
  <si>
    <t>V. CRESPO 60</t>
  </si>
  <si>
    <t>SE VISUALIZA A PERSONA EN SITUACION DE VULNERABILIDAD. SE AMPLIA: 108:HT ARRIBADO AL LUGAR INDICA EL MASC. EN SITUACION DE CALLE  ACCEDE A RETIRARSE AMABLEMENTE.-.__NO BRINDA DATOS.</t>
  </si>
  <si>
    <t>FLORES O255</t>
  </si>
  <si>
    <t>SE VISUALIZA A PERSONAL POLICIAL Y BOMBEROS, SE BRINDA APOYO OPTICO. SE AMPLIA: 607A INF SE TRATA DE UNA  ORDEN  DE SERV NRO 4910 COOPERACION CON LA GUARDA DE SERVICIO DE CIUDAD A CARGO GERONIMOO PERQUERES Y EL MOVIL 1007A A CARGO DEL OFICIAL GOMEZ DAIANA LP 56309, ASI MISMO MANIFIESTA QUE SE MODULO POR METRO 1 .-</t>
  </si>
  <si>
    <t>MATADEROS 02</t>
  </si>
  <si>
    <t>Mataderos</t>
  </si>
  <si>
    <t>SE TOMA CONOCIMIENTO MEDIANTE CARTA PERSONAL CON UN VEHICULO DETENIDO IDENTIFICANO.- SE TOMA CAMARA VISUALIZANDO LO APORTAOD.- SE RETIRAN LAS PARTES- SE AMPLIA POR TAL MOTIVO EL PERSONAL INTERVENTOR EN EL LUGAR LABRA ACTA  CIRCUNSTANCIADA EN PRESENCIA DE TESTIGOS HABILES, NO SE ADOPTA TEMPERAMENTO CON EL VEHICULO COMO ASI TAMPOCO CON EL MASCULINO, SE DEJA CONTINUAR CON SU MARCHA.__</t>
  </si>
  <si>
    <t>BALVANERA 58</t>
  </si>
  <si>
    <t>SE TOMA CONOCIMIENTO MEDIANTE CARTA SAE HT 2003096    SE SOLICITA PERSONAL DE SAME   POR  FEM   COLISIONADA POR VEHICULO   POC 11419057755. SE AMPLIA:  M  603  SE REALIZA LA CONSULTACON EL MAGISTRADO ,.  UFLA ESTE DR  PABLO VIDAL ALEMAN  ACTUACIONES  LESIONE 94 LEVES -  CONDUCTOR  NOTIFICADO POR ART  29  Y  30</t>
  </si>
  <si>
    <t>PALERMO O106</t>
  </si>
  <si>
    <t>SE TOMA CONOCIMIENTO MEDIANTE CARTA SAE LLAMANTE REFIERE QUE UN FEMENINO CONVULSIONANDO.. SE MANTIENE AL DENUNCIANTE EN LINEA A LOS FINES DE APORTAR MAYORES DATOS DEL HECHO. NO ASOCIAR ESTA CARTA HASTA FINALIZAR LA COMUNICACION CON EL LLAMANTE. SE AMPLIA. M SECTOR   4   INF ARRIBO SAME INT   421 EL  HTAL DDURAAND  A/C DR     NACIMENTO   MN   199531  ASISTE Y DERIVA  AL  HTAL   DURAND  CON  DIAGNOSTICO    TRAUMATISMO  EN  HOMBRO   DERECHO A  RAIZ DE CAIDA DE  SU  PROPIA  ALTURA.</t>
  </si>
  <si>
    <t xml:space="preserve">ALMAGRO 14 </t>
  </si>
  <si>
    <t>SE VISUALIZA A PERSONA EN SITUACION DE VULNERABILIDAD. SE AMPLIA: 108:HT INF QUE SE RETIRO A MASCULINO EN SITUACION DE CALLE A RETIRARSE SIN NOVEDAD, NO REQUIERE 108. NO POSEE DNI FISICO NI LO RECUERDA</t>
  </si>
  <si>
    <t>FLORES O130</t>
  </si>
  <si>
    <t>SE TOMA CONOCIMIENTO MEDIANTE MODULACION SOBRE UN ROBO. AL TOMAR LA CAMARA FLORES O130 SE VISUALIZA PERSONAL POLICIAL ENTREVISTANDO A UN MASCULINO. LUEGO PERSONAL POLICIAL SE RETIRA Y EL MASCULIO PERMANECE EN EL LUGAR. SE POR SAE MOVIL 607A INFORMA AFIRMATIVO FALTANTE DE LOS TAPONES DEL MEDIDOR DE LUZ DE LA FINCA SE REALIZA CONSULTA CON LA FISCALIA N° 17 A CARGO DEL DR. HIUSFA SE LABRAN ACTUACIONES POR ROBO NEGATIVO SERVICOS SE SOLICITA PERSONAL IDONEO.</t>
  </si>
  <si>
    <t>SE VISUALIZA A MASCULINO REALIZANDO PASAMANOS DE APARENTE SUSTANCIA. SE AMPLIA: que se realiza consulta con UFLA ESTE a cargo Dr Vidal Aleman quien ordena que se realice expediente de constancia dado que ambos masculinos corresponden y no poseen impedimento no poseen elemento constitutivo de delito dando por finalizado el evento</t>
  </si>
  <si>
    <t>LINIERS 42</t>
  </si>
  <si>
    <t>SE TOMA CONOCIMIENTO MEDIANTE CARTA PERSONAL POLICIAL CON UN MASCULINOI DEMORADO .- SE AMPLIA SE HACE CARGO PERSONAL POLICIAL FEDERAL .-</t>
  </si>
  <si>
    <t>CONSTITUCION 89</t>
  </si>
  <si>
    <t>SE TOMA CONOCIMIENTO MEDIANTE CARTA SAE N°48376989 DENUNCIANTE REFIERE QUE LLAMÓ 5 VECES. INDICA QUE HABRÍA UN MASCULINO  DE CAMPERA NEGRA CON NARANJA AMENAZANDO CON UN CUCHILLO EN EL LUGAR. EL MISMO SE ENCUENTRA A MITAD DE CUADRA DE LA MANO IZQUIERDA SENTIDO A CONSTITUCION. AL TOMAR LA CÁMARA CONSTITUCION 89 SE VISUALIZA VARIOS MASCULINOS EN EL LUGAR. UNO DE ELLLOS CON CARACTERÍSTICAS SIMILARES A LAS APORTADAS POR CARTA. NO SE OBSERVA QUE TENGA EN SU PODER UN ARMA BLANCA. SE AMPLIA POR SAE: M 901 INF. EN EL LUGAR SE IDENTIDICARON LAS PARTES EL SR  MORENO  TENDRIA UN ARMA BLANCA  OBEJETO TIJERA SE PROCEDE A REALIZAR ACT 103 EL MISMO TENDRIA UN OEDIDO DE REBELDIA . 901C INF REALIZO CONSULTA CON JUSGADO NAC DE EJECUCION PENAL N°5 A/C DRA MONSALVEZ QUIEN DISPONE DETENCION DEL MASCULINO SR MORENO  POSEE PEDIDO DE CAPTURA POR REVELDIA Y POSEIA EL ELEMENTO CORTOPUNSANTE N° DE CAUSA 9434/2023 CARATULA HURTO AGRABADO EN GRADO DE TENTATIVA. 901C AMPLIA JUZGADO ORDENA SECUESTRO DE ARMA BLANCA. 901C INF REALIZO CONSULTA CON JUSGADO NAC DE EJECUCION PENAL N°5 A/C DRA MONSALVEZ QUIEN DISPONE DETENCION DEL MASCULINO SR MORENO  POSEE PEDIDO DE CAPTURA POR REVELDIA Y POSEIA EL ELEMENTO CORTOPUNSANTE N° DE CAUSA 9434/2023 CARATULA HURTO AGRABADO EN GRADO DE TENTATIVA</t>
  </si>
  <si>
    <t>CONSTITUCION 16</t>
  </si>
  <si>
    <t>SE VISUALIZA MEDIANTE CAMARA CONSTITUCION 16 PERSONAL POLICIAL IDENTIFICANDO A UN MASCULINO EN EL LUGAR. SE BRINDA APOYO ÓPTICO. SE AMPLIA POR CARTA SAE: M PREVENCION INF SE IDENTIFICA SIN NOVEDAD CORRESPONDE Y NO POSEE IMPEDIMENTO SE RETIRA DEL LUGAR.</t>
  </si>
  <si>
    <t>S. CRISTOBAL 18</t>
  </si>
  <si>
    <t>SE VISUALIZA MEDIANTE CÁMARA SAN CRISTOBAL 18 A UNA PERSONA EN APARENTE ESTADO DE VULNERABILIDAD. ARRIBA PERSONAL POLICIAL. SE AMPLIA POR SAE: 108:S1 EL MASCULINO IDENTIFICADO, CORRESPONDE SIN IMPEDIMENTO, NO QUIERE LA PRESENCIA DEL BAP, NI ESPACIOS PUBLICOS.</t>
  </si>
  <si>
    <t>RECOLETA O121</t>
  </si>
  <si>
    <t>SE TOMA CONOCIMIENTO POR CARTA POR UN CHOQUE DE UN VEHICULO A UN MOTOVEHICULO. SIENDO LAS 9:40 SE VISUALIZA A UN VEHICULO PARADO EN SAU PROPIOA MACHARCON VALISAS . CMU AMPLIA MEDIANTE LINEA DE TIEMPO SIENDO LAS 9:35 POR CMAARA RECOELTA O121 CAM 02 SE VISUALIZA AL MOTOVEHICULO POR LIBERTADOR SENTIDO PUEYRREDON AL LLEGAR A LA INTERSECCION DE LA CALLE AUSTRIA ES ENVESTIDO POR UN VEHICULO QUE CIRCULABA POR AUSTRIA .. SE DEJA CONSTANCIA QUE EL MOTOVEHICULO CIRCULABA CON EL SEMAFORO VERDE. SIEDNO LAS 9:43 SE VISUALIZA EL ARRIBO DE SAME . SIENDO LAS 9:52 SE VISUALIZA EL RETIRO DE SAME CON TRASLADO DEL MASCULINO</t>
  </si>
  <si>
    <t>CONSTITUCION16</t>
  </si>
  <si>
    <t xml:space="preserve">SE VISUALIZA A MASCULINO SIENDO IDENTIFICADO POR PERSONAL. SE AMPLIA: ue se entablo consulta con el op de 1 a el mismo refiere que el masculino esta acusado de sustraer una bolsa a un masculino en via publica no se posee damnificado por ende se realiza consulta con el juzgado 40 a cargo Dra Gonzalez secretaria unica numero 139 a cargo Dr Simone quien dispone notificacion 29 y 30 caratula robo dando por finalizado el evento </t>
  </si>
  <si>
    <t>BARRACAS 74 CAM03</t>
  </si>
  <si>
    <t>SE VISUALIZA A PERSONA EN SITUACION DE VULNERABILIDAD. SE AMPLIA: HT Arribado al lugar negativo lo aportado como denunciante panorama normal</t>
  </si>
  <si>
    <t>BALVANERA O 112</t>
  </si>
  <si>
    <t>SE TOMA CONOCIMIENTO MEDIANTE CARTA SAE FEM REFIERE QUE HABRIA UN MENOR QUE ESTARIA SOLA EN LA ESTACION. SE AMPLIA: HT INFORMA QUE ARRIBO AL LUGAR LA PROGENITORA DEL FEMENINO MENOR DE EDAD DONDE ACREDITA EL VINCULO CON LAS MISMA CORRESPONDE Y SE RETIRAN DEL LUGAR SIN NOVEDAD</t>
  </si>
  <si>
    <t>PALERMO O208</t>
  </si>
  <si>
    <t>SE TOMA CONOCIMIENTO MEDIANTE CARTA SAE DTE FEM REFIERE ROBO DE UN CELULAR POR MOTOCHORRO. SE AMPLIA: M-  614A INF    INTERVIENE   FISCALIA CRIMINAL  CORRECCIONAL  NRO   28  A /C DR LUGONES SECRETARA UNICA A/C DRA   SCARCELA- SE  LABRAN  ACTUACIONES  POR  ROBO  ARREBATO  .</t>
  </si>
  <si>
    <t>PALERMO 45 CAM03</t>
  </si>
  <si>
    <t>SE TOMA CONOCIMIENTO MEDIANTE CARTA SAE REFIERE MOTOCHORROS. SE AMPLIA: Se realizo consulta fiscalía nacional criminal N° 41 A cargo Dra. Riffi. Secretaria única a cargo Dra. Julieta Lima act Averiguación de ilícito.</t>
  </si>
  <si>
    <t>SAN NICOLAS 81</t>
  </si>
  <si>
    <t>SE VISUALIZA MASCULINO SUSTRAER ALGUN ELEMENTO DE LOCAL FARMACITY.  PERSONAL POLICIAL DA CON EL MASCULINO Y ENTREVISTA EN LOCAL. DIR 24 SE TOMO CONTACTO CON EL JUZGADO 69 AC DR ANTELLO JOSE LUIS SECRETARIA 61 AC CUBRIA QUIEN DISOUSO ACTUACIONES TENTATIVA DE HURTYO Y SECUETRO DEL PERFUME MARCA CHER 18 ELIXIR DE 100 ML CON UN VALOR DE 52900 PESO, SE PROCEDE A LA DETENCION DEL MASC</t>
  </si>
  <si>
    <t>1DETENIDO</t>
  </si>
  <si>
    <t>LINIERS 82</t>
  </si>
  <si>
    <t>SE TOMA CONOCIMIENTO LSOBRE FEMENINO HABRIA GOLPEADO AL PADRE.- SE TOMA CAMARA VISUALIZANDO A FEMENINO OFUSCADA, ARRIBA PERSONAL POLICIAL. SE RETIRAN LAS PARTES. SE AMPLIA HT INFORMA SE ENTREVISTO A PERSONAL DE LA IGLESIA SIN NOVEDAD,SE TRATABA DE FEMENINO EN SITUACION DE CALLE LA CUAL SE RETIRO OFUSCADA DEL LUGAR SIN APORTAR DATOS</t>
  </si>
  <si>
    <t>CONSTITUCION65</t>
  </si>
  <si>
    <t>SE TOMA CONOCIMIENTO MEDIANTE CARTA SAE M 601  C  INF EN EL LUGAR SE PROXIMARON POR ORDEN DE SUPERIOR A COLABORAR POR UN SENSO  ORDEN DEL MINISTERIO  AL ENTREVISTARSE  EN EL  PRIMER DEPARTAMENTO POSEE VARIAS  CULTIVOS PLANTAS  FRASCOS  Y  BALDES CON SEMILLAS   DE  (MARIGUANA . SE AMPLIA:  que Móvil 601 atendido por Unidad de Flagrancia este a cargo pro secretario Mateos Juan quien dispone actuaciones por artículo inciso A atenuado Ley 23737. Con secuestro de credencial y plantas. Notificación de artículos 29 y 30.</t>
  </si>
  <si>
    <t>SAN NICOLAS64</t>
  </si>
  <si>
    <t>SE TOMA CONOCIMIENTO MEDIANTE CARTA SAE LLAMABTE REF QUE HABRIA ESTARIA EXPLOTANDO  UN TRAFORMADOR  EN LA PUERTA DE UN BANCO HABRIA VERHICULOS CERCA. SE AMPLIA:  HT INF BOMBEROS INT 3625  A/C TT BENITES DIEGO  LP 26901    DETACAMENTO MISERRERE DOT 6X1 , REFIEREN SALIDA DE VAPOR , SE ENCUENTRA DEFENSA CIVIL A LA ESPERA DE SERVICIO ELECTRICO ,  A/C SR CACERES JUAN  DE DEFENSA CIVIL .-</t>
  </si>
  <si>
    <t xml:space="preserve">SE VISUALIZA OPERSONA EN SITUACION DE VULNERABILIDAD. SE AMPLIA: HT Arribado al lugar negativo lo aportado como denunciante panorama normal. </t>
  </si>
  <si>
    <t>PATERNAL 22</t>
  </si>
  <si>
    <t>La Paternal</t>
  </si>
  <si>
    <t>PALERMO O145</t>
  </si>
  <si>
    <t>SE VISUALIZA MOTOVEHICULO SIN DOMINIO COLOCADO. SE AMPLIA: MOTO ID 0327 INF SE ENCUENTRA RECORRIENDO INMEDIAICONES SIN DAR CON MOTOVEHICULO PAORTADO POR CMUSE TOMA CONTACTO CON EL  INT   1143  AL  POC DEL   PERSONAL POLICIAL     ES ATENDIDO POR   EL   OFICIAL L.P. 22643 RODRIGUEZ. CRISTIAN .    A/C    MOTO   INT  797,.  INF SE  IDENTIFICO  AL  CONDUCTOR  Y  EL  MOTOVEHICULO CON     DOMINIO  A278VBP.-   CONSULTADO POR  SISTEMA  CORRESPONDE   Y  NO  POSEE.    SE REMITE EL  MOTOVEHICULO    POR    CARENCIA  PLACA DE  DOMICIO -SE LABRA     ACTA  NRTO   14274724</t>
  </si>
  <si>
    <t>VILLA LURO 60</t>
  </si>
  <si>
    <t>Villa Luro</t>
  </si>
  <si>
    <t>SE VISUALIZA MOTOVEHICULO SIN DOMINIO COLOCADO. SE AMPLIA: MOTO ID 0327 INF SE ENCUENTRA RECORRIENDO INMEDIAICONES SIN DAR CON MOTOVEHICULO PAORTADO POR CMU</t>
  </si>
  <si>
    <t>PARQUE CHACABUCO 82</t>
  </si>
  <si>
    <t>SE TOMA CONOCIMIENTO MEDIANTE CARTA SAE LLAMANTE REF QUE HABRIA UN CHOQUE   CONTRA LA VARANDA DE UN POSTE-. SE AMPLIA: 607B INF SE ENTREVISTA CON EL SR APAZA INDUCA QUE SE TRATO DE UNA MALA MANIOBRA , AGUARDA EN EL LUGAR LA GRUA DE SU SEGURO</t>
  </si>
  <si>
    <t>PALERMO 11</t>
  </si>
  <si>
    <t>SE VISUALIZA A MOTOVEHICULO SIN ODMINIO COLOCADO. SE AMPLIA: MOTO  INF SE ENTREVISTO  E  IDENTFICO  AL  PROPIETARIO  DEL   MOVEHICULO EL  CUAL  .EXHIBE  EL PERMISO  PARA  CIRCULAR  CON EL  MOTOVEHICULO  SIN  DOMINIO COLOCADO .    CONSULTADO  NO POSEE IMPEDIMENTO</t>
  </si>
  <si>
    <t>VILLA REAL 81</t>
  </si>
  <si>
    <t>Villa Real</t>
  </si>
  <si>
    <t>SE TOMA CONOCIMIENTO MEDIANTE CARTA SAE  denunciante refiere que le arrebataron a bordo de un colectivo. SE AMPLIA: M 610 informa en el lugar que se entrevistó a la femenina quien refiere que se encontraba a bordo del colectivo línea 21 al llegar a Beiro un masculino no recuerda vestimenta el cual salta y por la ventanilla le sustrae celular iPhone 14 pro color gris con funda blanca momento en el cual la femenina desciende comienza a seguirlo perdiéndolo de vista dando conocimiento al destino de la situación. Donde esta solicita un móvil por consulta. Se labran actas por robo Int. Fiscalía Nacional Criminal y Correccional N° 18 a cargo de Dr. Ruiz López sección única a cargo de Dr. Sotopon.</t>
  </si>
  <si>
    <t>10B</t>
  </si>
  <si>
    <t>ALMAGRO 19</t>
  </si>
  <si>
    <t>SE TOMA CONOCIMIENTO MEDIANTE CARTA SAE LLAMANTE INDICA QUE HACE SEMANAS ESTARIAN HACIENDO RUIDO EN EL DPTO, REFIERE QUE ESTARIAN CON MARTILLAZOS TODO EL DIA. SE AMPLIA: HT INF QUE LOS RUIDOS FUERON CONSTATADOS, MASCULINO SE ENCONTRABA REALIZANDO REFACCIONES EN EL BAÑO FINALIZO SIN NOVEDAD. NEGATIVO DENUNCIANTE</t>
  </si>
  <si>
    <t>PALERMO O167</t>
  </si>
  <si>
    <t>SE VISUALIZA A CUIDACOCHES. SE AMPLIA: 914C INF SE DA CON LAS DOS PERSONAS, SE TRATO DE UN MAL ENTENDIDO, AMBAS PERSONAS SE ENCONTRABAN JUSTOS, Y EL SR MARTINI LE HABRIA CORRIDO EL CONO, NEGATIVO CUIDACOCHES.</t>
  </si>
  <si>
    <t>V. LUGANO 35</t>
  </si>
  <si>
    <t xml:space="preserve">SE TOMA CONOCIMIENTO MEDIANTE CARTA SAE SOBRE UN ROBO DENTRO DE UNA FINCA .- SE TOMA CAMARA VISUALIZANDO A PERSONAL IDENTIFICANDO A UN MASCULI. SE RETIRAN DEL LUGAR. SE AMPLIA </t>
  </si>
  <si>
    <t>SE TOMA CAMARA VISUALIZA A UN MASCULINO EN MOTOVEHICULO SIN DOMINIO COLOCADO .- SE AMPLIA MEDIANTE CARTA CMU MODULA QUE EL MASC, SE RETIRO DEL LUGAR DEJA SIN EFECTOS EL MOVIL</t>
  </si>
  <si>
    <t>ALMAGRO 06</t>
  </si>
  <si>
    <t>SE TOMA CONOCIMIENTO MEDIANTE CARTA SAE N° 48378031 FEMENINO REFIERE QUE SU MARIDO ESTARÍA ALCOHOLIZADO Y LE HABRÍA PEGADO. EL MASC. SE HABRÍA CORTADO LOS BRAZOS AL ROMPER LA MESA. AL TOMAR LA CÁMARA ALMAGRO 06 SE VISUALIZA PERSONAL POLICIAL ENTREVISTANDO. ARRIBA AMBULANCIA PRIVADA. SE AMPLIA POR SAE: 905A INDICA TRATARSE DE UNA PERSONA DESCOMPENZADA PSIQUIATRICAMENTE CON ALCOHOL EN SANGRE Y LA PAREJA QUIEN NO VIVE ALLI ASISTIO A VISITARLO. EL MASCULINO SE TRATA DE UN MILITAR RETIRADO. DISCUTIO CON LA FEMENINO Y PROPICIA UN GOLPE DE PUÑO A LA MESA DE MADERA CON COBERTURA DE CRISTAL VITAL 905A INF ARRIBO AMB VITAL INT 1222 AC DR BERRIN MN 199969 ASIST Y NO TRASL DIAG EXITACION PSICOMOTRIZ. FEMENINO ILESA NEGATIVO VIOLENCIA DE GENERO</t>
  </si>
  <si>
    <t xml:space="preserve">PALERMO 26 CAM01 </t>
  </si>
  <si>
    <t>SE TOMA CONOCIMIENTO MEDIANTE CARTA SAE N°: 48377959 DENUNCIANTE REFIERE QUE UN COLECTIVO DE LA LINEA 64 ATROPELLÓ A UN FEMENINO. LA MISMA SE ENCUENTRA CONSCIENTE. AL TOMAR LA CÁMARA PALERMO 26 SE VISUALIZA UN COLECTIVO DE LA LINEA 64 DETENIDO EN EL LUGAR. SE APORTA LÍNEA DE TIEMPO SIENDO LAS 10:38 HS. POR CÁMARA FIJA PALERMO 26 CAM01 SE VISUALIZA COLECTIVO DE LA LINEA 64 CIRCULAR POR AV. SANTA FE ES ALLI CUANDO EN LA INTERSECCION DE JERONIMO SALGUERO UNA FEMENINA CRUZA POR LA SENDA PEATONAL SIENDO EMBESTIDA POR DICHO COLETIVO. ARRIBA PERSONAL POLICIAL Y SAME.614A INF ARRIBO SAME INT 520 BASE CORDOBA AC DR MAZONDO MN 91977 ASISTE Y NO TRASLADA DIAG CONTUSION EN PIERNA IZQUIERDA A LA SRA LEDESMA. LA FEMENINA REFIRIO QUE TENIA PASO DE SEMAFORO, CIRCULABA POR LA SENDA PEATONAL, Y COLECTIVO DE LA LINA 64, CIRCULANDO POR SANTA FE NO LOGRA VISUALIZAR A LA FEMENINA Y LA COLISIONA. SE REALIZO CONSULTA CON LA UFLA NORTE AC DRA PLA QUIEN DISPUSO ACT POR LESIONES 94 NOTIFICACION 29 Y 30 AL CONDUCTOR DEL COLECTIVO, FEMENINA NO INSTA A LA ACCION PENAL.</t>
  </si>
  <si>
    <t>FLORES 87</t>
  </si>
  <si>
    <t>SE TOMA CONOCIMIENTO MEDIANTE CARTA SAE N° 48378000 FEMENINO SOLICITA MÓVIL POLICIAL. REFIERE QUE ESTARÍA FUERA DE UNA AGENCIA DE VENTA E AUTOMOVILES Y NO LE QUIEREN DEVOLVER EL VEHICULO. AL TOMAR LA CÁMARA FLORES 87 SE VISUALIZA A UN FEMENINO EN DICHA INTERSECCION. ARRIBA PERSONAL POLICIAL. SE AMPLIA POR SAE: SECTOR 2 INF SE TRATO DE UN MAL ENTENDIDO POR LA VENTA DE UN VEHICULO SOLUCIOANA EN EL LUGAR, SE ENTREVISTO CON LA EMPLEADA DEL COMERCIO.</t>
  </si>
  <si>
    <t>PALERMO O172 CAM01</t>
  </si>
  <si>
    <t>SE TOMA CONOCIMIENTO MEDIANTE CARTA SAE N° 48378115 IGLESIA NUESTRA SEÑORA DEL LORETTO LLAMANTE INDICA QUE HABRÍA UN MASC. EN SITUACIÓN DE CALLE QUE ESTARÍA AGRESIVO CON EL PERSONAL Y TRANSEÚNTES. AL TOMAR LA CÁMARA PALERMO O172 CAM01 SE VISUALIZA PERSONAL POLICIAL JUNTO A UN MASCULINO.BINOMIO  INF SE ENTREVISTO AL  LLAAMNTE  SE TRATO DE UNA  INCIDENCIA CON  UNA  PERSONA EN   SITUACION  DE CALLE . EL  CUAL  SE ENCONTRABA EN LA  ENTRADAA  DE LA  IGLESIA . LA INCIENCIA  FUE SOLUCIONAD.  NEGATIVO  DAÑOS EN EL INTERIRO DE LA  IGLESIA</t>
  </si>
  <si>
    <t>ALMAGRO 71</t>
  </si>
  <si>
    <t>SE VISUALIZA MEDIANTE CÁMARA ALMAGRO 71 A UN FEMENINO CON MOCHILA NEGRA COLOCADA CAMPERA NEGRA Y PANTALÓN AZUL VENDIENDO PALTAS EN LA VÍA PÚBLICA. EL MISMO SE ENCUENTRA SOBRE AV. CORRIENTES DEL LADO PAR. PRÓXIMO AL LOCAL DE GOLDSTEIN Y AL INGRESO DE LA ESTACIÓN DE SUBTE ANGEL GALLARDO. EL FEMENINO SE DESPLAZA CON UN CARRITO POR PANAMA SENTIDO CONTRARIO AL TRÁNSITO.1205A REALIZO CONSULTA CON FISC GRAL AC DRA FUENTES SEC AC DRA GIMENEZ DISP ACT ART 99 USO INDEBIDO SE SECUESTRA 4 CAJAS DE PALTAS</t>
  </si>
  <si>
    <t>BARRACAS 17</t>
  </si>
  <si>
    <t>SE TOMA CONOCIMIENTO MEDIANTE CARTA POR REF QUE DESDE LA VIA PUBLICA PIDEN POLICIA. SE MANTIENE AL DENUNCIANTE EN LINEA A LOS FINES DE APORTAR MAYORES DATOS DEL HECHO. NO ASOCIAR ESTA CARTA HASTA FINALIZAR LA COMUNICACION CON EL LLAMANTE.. SIENDO LAS 11:04 SE VISUALIZA EL QRH APORTADO MEDIANTE CAMARA BARRACAS 17 VISUALIZANDO A PERSONAL DE TRANSITO EN EL QTH. SIENDO LAS 11:05 SE VISUALIZA A PERSONAL POLICIAL EN INCIDENCIA CON UNA FEMENINA APARENTEMENTE OFUSCADA EN EL QTH.</t>
  </si>
  <si>
    <t>V. LUGANO O198</t>
  </si>
  <si>
    <t>SE TOMA CONOCIMIENTO MEDIANTE CARTA MASCULINO INTENTARNDO ROBAR LAS BICICLETAS DE LA CIUDAD .-</t>
  </si>
  <si>
    <t>FLORESTA 28</t>
  </si>
  <si>
    <t>SE VISUALIZA CUIDACOCHES. SE AMPLIA: SERV AVELLANEDA  INF EN EL LUGAR NEGATIVO MASC  EN MENSION COMO DENUNCIANTE EN VIA PUBLICA EL PMA ES NORMAL __</t>
  </si>
  <si>
    <t>CABALLITO O138</t>
  </si>
  <si>
    <t>10.36</t>
  </si>
  <si>
    <t>SE TOMA CONOCIMIENTO MEDIANTE CARTA SAE MASUCLINO CON GORRA BLANCA Y PANTALON  ENGRO, S EVA APIE POR  FORMOSA, LUEGO DE HABER ROBADI UNA AMOLADORA.AL LALAMNATE UQE ESTAB  TRABAJANDO EN LA VIA PUBLICA. SE AMPLIA:606 B INF QUE REALIZA CONSULTA ANTE EL  JUZGADO CRIMINAL Y CORRECCIONAL  nª 60 DR BRIGNONE SECRETARIA UNICA DRA ANTELLO. SE LABRAN ACTS POR TTVA DE HURTO.  DETENCION DEL MASCULINO</t>
  </si>
  <si>
    <t>CABALLITO 90</t>
  </si>
  <si>
    <t>SE TOMA CONOCIMIENTO MEDIANTE CARTA SAE HT ID 2006132 REFIERE QUE SE ENCUNTRA UN FEMENINO DESVANECIDA EN VIA PUBLICA POC 1139309180. SE AMPLIA: HT informa que arribó Same interno 393 del Hospital Pineyro Doctor Moya Matricula N° 89183 asiste y deriva hacia el Hospital Pineyro diagnóstico traumatismo facial a raiz de caída desde su propia altura.</t>
  </si>
  <si>
    <t>CONSTITUCIONO142</t>
  </si>
  <si>
    <t>SE TOMA CONOCIMIENTO MEDIANTE CARTA SAE FEMENINO REFIERE QUE EN VIA PUBLICA HAY UN MASCULINO CON UN ARMA BLANCA EN CADAA MANO EN SIRT SOSPECHOSA. SE AMPLIA:M  601 INF   EN EL LUGAR SE CLARIFICA EL SR  ZALAZAR SITUACION DE CALLE SE ENCONTRABA DURMIENDO EN EL LUGAR CUANDO PASA EL SR ARANDA TENDRIA UNA INCIDENCIA DE VIEJA DATA Y LE PEGA EN L ACARA CON UN CUADRO , EL SR ARANDA ENTRE SUS `PRENDAS  TRANDIA UN FIERRO DE 20  CMTS ,  SE REALIZO CONSULTA CON LA UFLA   ESTE A/C DR PABLO DISPONE  REFERENTE A QUE LE ARROJO UN CUADRO  AVERIGUACION ILICITO ,   NOTIFICACIN DE ART 29 Y 30 ,  REFERENTE AÑ FIERRP DISPONE ART 103 NOTOFICACION</t>
  </si>
  <si>
    <t>SAAVEDRA 66</t>
  </si>
  <si>
    <t>SE VISUALIZA A FEMENINO SENTADO EN LA VEREDA. SE AMPLIA: M SEC 2 INDICA SE TRATO DE UN CHOQUE SIMPLE, LAS PARTES SE INTERCAMBIAN LOS DATOS Y SE RETIRAN SIN NOVEDAD. LAS PARTES CORRESPONDEN Y NO POSEEN</t>
  </si>
  <si>
    <t>FLORES O119</t>
  </si>
  <si>
    <t>SE TOMA CONOCIMIENTO MEDIANTE CARTA SAE SE SOLICITA COOPERACION DE PERSONAL POLICIAL.- AUTOMOVILISTA AGRESIVO CON PERSONAL DE TRANSITO. SE AMPLIA: 607A INF SE COLABORO CON PEROSNAL DE TRANSITO SIN NOVEDAD .-</t>
  </si>
  <si>
    <t>CONSTITUCION80</t>
  </si>
  <si>
    <t>SE TOMA CONOCIMIENTO MEDIANTE CARTA SAE POR SERVICIOS PUBLICOS. SE AMPLIA: 1001 INF CMU NO LOGRA VISUALIZAR  DOMINIO DE CAMION SE REALIZA CONSTANCIA ENE PARTE EN EL LUGAR COOPERA PERSONAL DE TRANSITO NO REPRESENTA PELIGRO PARA TERCEROS</t>
  </si>
  <si>
    <t>N.POMPEYA 06</t>
  </si>
  <si>
    <t>SIENDO LAS 12:40 CMU INF QUE SE POSEE CAMARA NUEVA POMPEYA 06  VISUALIZANDO A UN MASCULINO OFICIANDO DE LIMPIA VIDRIOS RECIBIENDO DADIVAS , EL MISMO VISTE DE GORRA NEGRA CAMPERA JEAN , JEAN AZUL.</t>
  </si>
  <si>
    <t>4B</t>
  </si>
  <si>
    <t>CONSTITUCIONO137</t>
  </si>
  <si>
    <t>SE TOMA CONOCIMIENTO MEDIANTE CARTA SAE LLAMANTE REFIERE QUE HABRIA DOS MASCULINOS CONSUMIENDO ESTUPEFACIENTES EN LA VIA PUBLICA. SE AMPLIA: MOTO  SAME INT 359 CASE CONSTITUCION A/C DRA LIZAGA MN 154476 QUIEN NO ASISTE EL MASCULINO SE NIEGA A LA ASISTENCIA Y SE RETIRA DEL LUGAR</t>
  </si>
  <si>
    <t>FLORES63</t>
  </si>
  <si>
    <t>10.57</t>
  </si>
  <si>
    <t>SIENDO LAS 10:34HS SE TOMA CÁMARA FLORESTA63 EMPLAZADA EN CAMPANA 499 Y ARANGUREN SE VISUALIZA MASCULINO CABELLO BLANCO DE VESTIMENTA BLANCA DEPORTIVO CON RAYAS NEGRAS CON ROJO POR DEBAJO BUZO GRIS ZAPATILLAS NEGRAS CON MODALIDAD DE CUIDA COCHE ARITO EN PÓMULO LADO IZQUIERDO PERDIENDO LA VISUAL DEL MASCULINO EMPLAZÁNDOSE POR ARANGUREN SENTIDO AVELLANEDA. 10:50HS SE VISUALIZA AL MASCULINO NUEVAMENTE SOBRE CAMPANA Y ARANGUREN. DANDO AVISO A COMANDO GENERANDO CARTA SAE N°48378025. 10:57HS ARRIBA PERSONAL POLICIAL. 11:17HS MASCULINO SE RETIRA POR SUS PROPIOS MEDIOS. 11:21HS SE RETIRA PERSONAL POLICIAL DEL LUGAR DANDO ASÍ POR FINALIZADO ESTE EVENTO. SE AMPLÍA MEDIANTE CARTA SAE HT INFORMA ES AFIRMATIVO MASCULINO EN MENCIÓN CONSULTA CORRESPONDE Y NO POSEE IMPEDIMENTO SE LABRA ACTA ART 288I NT FISCAL GENERAL A CARGO DR. GIMÉNEZ LIBERADO SIN NOVEDAD.</t>
  </si>
  <si>
    <t>FLORESTA 23</t>
  </si>
  <si>
    <t>SE TOMA CONOCIMIENTO MEDIANTE CARTA SAE LLAMANTE REF QUE HABRIA UNA FEM EJERCIENDO LA PROSTITUCION EN LA VIA PUBLICA. SE AMPLIA: HT informa se identificó 2 femeninos ambas corresponden y no poseen. Se realiza consulta Fiscalía General prosecretario Dr Giménez se labran contravención art 97 oferta y demanda de sexo en vía pública. Cese de actividad. Notificación y soltura</t>
  </si>
  <si>
    <t>V. CRESPO 71</t>
  </si>
  <si>
    <t>SE TOMA CONOCIMIENTO MEDIANTE CARTA SAE LTE REFI QUE ALQUILA DPTO S TEPORARIOS Y EN EL LUGAR HAY UN MASUCLINO  AGREISVO Y BAJO EFECTOS DE DORGA S POSIBLEMNTE, FALTARIAN  PERTENEICAS  Y EL DPTO ESTA REVUELTO. SE AMPLIA: M SECTOR 314-A INF SE  ENTREVISTO  A LA  COORDINADORA  Y ADMINISTRATIVA DEL ALQUILER     Y   QUIEN REFIRIO QUE  EL     DEPARTAMENTO  FUE  ALQUILADO DESDE EL   DIA  09/06/2026 HASTA   LA FECHA EN  HORAS DE LA MAÑANA POR EL SR    RIVERA    GERMAN.  EL INQUILINO PROCEDIO  A LLAMAR  A LA  SRA BELLIDO  SANCHEZ  INDICANDO QUE ÉL  SE   IBA  A RETIRAR Y  PERMANECIA EL SR  QUIÑONEZ  FACUNDO .   AL ARRIBO DEL  DESPARTAMENTO. LA  SRA   BELLIDO   SANCHEZ   ARRIBA   JUNT O AL  SR    DURAND   JOAQUIN   ANTONIO (AMIGO  DEL  PROPIETARIO DE  LA  UNIDAD .  ENCONTRANDO AL SR  QUIÑONEZ  FACUNDO  DORMITANDO   Y AMPLIA  QUE EL  MASCULINO LO  HABUIA INVITADO A  DORMIR Y PERMANECER EN EL LUGAR .    MOMENTO  DESPUES  ARRIBO  EL  PROPIETARIO DE LA   UNIDAD  EL SR  RODRIGUEZ    ACTIS  FEDERICO. QUIEN  INDICA EL  FALTANTE DE UN TELEVISOR , UNA ESTUFA Y  UN SECADOR DE CABELLO.</t>
  </si>
  <si>
    <t>PALERMO O106 CAM 02</t>
  </si>
  <si>
    <t xml:space="preserve">SE TOMA CONOCIMIENTO MEDIANTE CARTA SAE LLAMANTE REFIERE QUE SU PADRE NO RESPONDE LOS LLAMADOS HACE TRES DIAS. SE AMPLIA: </t>
  </si>
  <si>
    <t>CONSTITUCION35</t>
  </si>
  <si>
    <t>SE TOMA CONOCIMIENTO MEDIANTE CARTA SAE LLAMANTE DA AVISO DE MASCULINO ATROPELLADO POR COLECTIVO LINEA 39, DAARSENA METROBUS , ENFRENTE PLAZA CONSTITUCION, DOBLANDO POR CALLE LIMA , ESTARIA CONSCIENTE .- SE AMPLIA: M  901 INF UFLA ESTE A/C DR ALEMAN BIDAL  DISPONE ACT LESIONES 94  , NOTIFICACION 29 Y 30 . AL CHOFER</t>
  </si>
  <si>
    <t>1 IMPUTADO/1 TRASLADO SAME</t>
  </si>
  <si>
    <t>BALVANERA 18</t>
  </si>
  <si>
    <t>SE TOMA CONOCIMIENTO MEDIANTE CARTA SAE  HT DE  URBANO  EN LUGAR SE  DIO CON  IMPUTADO DE ILICITO  Y DAMIFICADA ILESA . SE AMPLIA: ACTUACIONES POR  TENTIVA DE  HURTO</t>
  </si>
  <si>
    <t>CONSTITUCIONO140</t>
  </si>
  <si>
    <t>SE TOMA CONOCIMIENTO MEDIANTE CARTA POR PERSONAS EXTRAÑAS. SE AMPLIA: que Moto 1176 informa en el lugar se identifica personas los cuales corresponden y no poseen impedimento. No poseen objeto constitutivo de delito. Se trata de personas en situación de calle. No requieren servicios.</t>
  </si>
  <si>
    <t>PALERMO 24</t>
  </si>
  <si>
    <t>SE TOMA CONOCIMIENTO MEDIANTE CARTA SAE DENUNCIANTE REFIERE QUE HAY UNA FEMENINO QUE SE CAYO AL PISO, ESTA MUY HERIDA EN EL ROSTRO, SANGRA MUCHO. TENDRIA 85 AÑOS. SE AMPLIA SE ENTREVISTO AL LLAMANTE EL MISMO SE ENCUENTRA EN LA VIA PUBLICA. SOLO REQUIERE LA PRESENCIA DE SAME. NO REQUIERE LA PRESENCIA POLICIAL. EL MISMO SE HABR{IA CAIDO DE SU PROPIA ALTURA.</t>
  </si>
  <si>
    <t>VILLA DEVOTO 15 CAM 02</t>
  </si>
  <si>
    <t xml:space="preserve">SE TOMA CONOCIMIENTO MEDIANTE CARTA SAE DENUNCIANTE REFIERE QUE UN MASCULINO PRESENTA COMO PERSONAL POLICIAL DE LA CIUDAD VESTIDO DE CIVIL INDICA QUE ESTE SACA CONO DE RESERVADO DE DENUNCIANTE Y ESTACIONA SU VEHICULO. ADEMAS HABR{IA SIDO AGRESIVO CON LAS EMPLEADAS DE CAFETERIA. SE AMPLIA 911 INFORMA NEGATIVO INCIDENCIA CON PERSONAL POLICIAL, SE TRATO DE UNA INCIDENCIA ENTRE PARTICULARES POR UN ESTACIONAMIENTO, LA MISMA FUE RESULTA UNICAMENTE INCIDENCIA VERBAL. </t>
  </si>
  <si>
    <t xml:space="preserve">RECOLETA 33 </t>
  </si>
  <si>
    <t>SE TOMA CONOCIMIENTO MEDIANTE CARTA POR CHOQUE DE UN TAXI A UN PEATON</t>
  </si>
  <si>
    <t xml:space="preserve">PUERTO MADERO 11 </t>
  </si>
  <si>
    <t xml:space="preserve">SE TOMA CONOCIMIENTO POR CHOQUE ENTRE DOS MOTOVEHICULOS </t>
  </si>
  <si>
    <t>PUERTO MADERO 51</t>
  </si>
  <si>
    <t>SE TOMA CONOCIMIENTO MEDIANTE CARTA SAE FEMENINA SOLICITA CORDON POLICIAL PARA TRASLADO DE ORGANOS DE VUELO INCUCAI. TRASLADO DESDFE AEROPARQUE HASTA FUNDACION FAVALORO. SE AMPLIA MOTO 203 EN EL NOSOCOMIO SIN NOVEDAD.</t>
  </si>
  <si>
    <t>PARQUE CHACABUCO O146</t>
  </si>
  <si>
    <t xml:space="preserve">SE TOMA CONOCIMIENTO MEDIANTE CARTA SAE EN SUPERMERCADO CHINO LLAMANTE INDICA QUE HABR{IA DISTURBIOS CON UN MASCULINO QUE QUISIERA ARROJAR PIEDRAS AL MISMO. SE AMPLIA </t>
  </si>
  <si>
    <t>BELGRANO 96</t>
  </si>
  <si>
    <t>SE TOMA CONOCIMIENTO MEDIANTE CARTA SAE FEMENINA REFIERE QUE EN LA PLAZA, EN SECTOR MONUMENTO, HABRIAN 2 MASCULINOS EN SITUACION DE CALLE, EN RIÑA. EN EL LUGAR HABRIAN MENORES ALUMNOS DE 6 AÑOS SE AMPLIA: VHT INF QUE SE TRATO DE UNA INCIDENCIA SOLUCIONADA EN EL LUGAR PANORAMA NORMAL</t>
  </si>
  <si>
    <t>FLORES O125</t>
  </si>
  <si>
    <t>SE TOMA CONOCIMIENTO MEDIANTE CARTA SAE HT MANTEROS INF SE ENCUENTRA 20 MANISFESTANTES EN LA VEREDA DE MANERA PACIFICA Y YA SE ENCUENTRA EL OP EN EL LUGAR. SE AMPLIA: YA SE TIENE CONOCIMIENTO SE ENCUENTRA EL OP MODULANDO LAS NOVEDADES POR METRO 1</t>
  </si>
  <si>
    <t>V. DEVOTO 98</t>
  </si>
  <si>
    <t>SE TOMA CONOCIMIENTO MEDIANTE CARTA SAE POR AMENAZA. SE AMPLIA: M 611 informa que se hizo consulta con la unidad de flagrancia Penal Oeste a cargo del Dr. Coral Galvan. Se labran actuaciones acorde amenazas. Se implanta al Oficial Primero LP 11101 Aguirre.</t>
  </si>
  <si>
    <t>V. LUGANO 46</t>
  </si>
  <si>
    <t>SE TOMA CONOCIMIENTO MEDIANTE FRECUENCIA PERSONAL SOLICITANDO SAME POR FEMENINO ATROPELLADA .- SE TOMA CAMARA VISUALIZANDO LO APORTADO Y PERSONAL POLICIAL EN EL LUGAR , ARRIBAN AL LUGAR 2 SAME .- SE AMPLIA 1008A INFORMA SE REALIZO CONSULTA CON LA UFLA SUR A LA VOZ DRA DOLERES,SOLICITA VIALES  Y ALCOTEST AL LUGAR OF 1RO CONTRERAS 1134175495,DISPUSO ACTUACIIONES POR LESIONES 94</t>
  </si>
  <si>
    <t>2 TRASLADO SAME / 1 IMPUTADO</t>
  </si>
  <si>
    <t>RECOLETA 82</t>
  </si>
  <si>
    <t xml:space="preserve">SE TOMA CONOCIMIENTO MEDIANTE CARTA SAE POR AMENAZA DE BOMBA  EN LA FAC DE MEDICINA . SIENDO LAS 14:47 SE TOMA CAMARA RECOLETA 82 VISUALIZANDO A PERSONAL POLICIAL EN EL QTH Y A LAS PERSONAS DESALOJAR EL QTH . SIENDO LAS 15:00 SE VISUALIZA EL ARRIBO DE SAME </t>
  </si>
  <si>
    <t>V. URQUIZA 58 CAM02</t>
  </si>
  <si>
    <t>SE TOMA CONOCIMIENTO MEDIANTE CARTA SAE FEM REFIERE QUE HABRIA UN CHOQUE ENTRE UN VEHICULO Y UNA MOTO EL MASC DE LA MOTO ESTARIA TENDIDO EN EL PISO. SE AMPLIA:  arriba SAME interno 427 a cargo Dra. Vulberguer MN 92781 asistió y derivo a Hospital Tornu a damnificado con diagnostico policontuso. Unidad de Flagrancia Norte a cargo Dr. Broto secretaria a cargo Dra. Plaa. actuaciones por lesiones 94 imputado notificado de 29 y 30</t>
  </si>
  <si>
    <t>P. CHACABUCO O142</t>
  </si>
  <si>
    <t>SE TOMA CONOCIMIENTO MEDIANTE CARTA SAE DTE REFIERE QUE HAY UNA CAMIONETA FIORINO BLANCA  Y VARIAS PERSONAS POR LA VEREDA OCACIONANDO DISTURBIOS CONSTANTEMENTE. SE AMPLIA: JEFE 1 DEL GAM INF LAS PERSONAS CORR Y NO POSEEN JUSTIFICAN PRESEVCIA NEGATIVO ELEMENTOS CONSTITUTIVOS DE DELITO LOS MISMO SE RETIRAN DEL LUGAR</t>
  </si>
  <si>
    <t>BOEDO 17</t>
  </si>
  <si>
    <t>SE TOMA CONOCIMIENTO MEDIANTE CARTA SAE MASCULINO REIFERE QUE HABRIAN 2 LIMPIAVIDRIOS, UNO VISTE REMERA AZUL JEANS BOTELLA VERDE Y EL OTRO REMERA BLANCA.HT realiza consulta ante la Fiscalía N° 44 a cargo del Dr. Arcilla Prosecretaría a cargo del Dr. Espada dispuso labrar Acta Contravencional por Art 91. Este evento fue monitoreado por Rojas Paula DNI 21764781</t>
  </si>
  <si>
    <t>SE VISUALIZA MASCULINO OFICIANDO DE CUIDACOCHES. MOTO INF SE REALIZO CONSULTA CON FISCALIA GRAL A/C DR REMAIRONE QUIEN TOMO CONOCIMIENTO LABRAR ACT CONTRAVENCION AR T 91 Y NOTIFICACION ART 239 CODIGO PENAL</t>
  </si>
  <si>
    <t>LINIERS  13</t>
  </si>
  <si>
    <t>SE TOMA CONOCIMIENTO MEDIANTE FRECUENCIA HT PERSONAL POLICIAL SOLICITANDO APOYO POR MASCULINOS OFUSCADOS.- ARRIBA MOVIL POLICIAL.- SE RETIRA MOVIL CON TRASLADO DE MASCULINOS DEMORADOS.- SE AMPLIA HT INFORMA SE REALIZO CONSULTA CON EL JUZGADO NUM  36  A CARGO DR FERRO,SECRETARIA  123 ,A CARGO DRA FELIA.QUIEN DISPUSO ACTUACIONES POR AVERIGUACION - ENCUBRIMIENTO,REFERENTE A  LOS  OTROS 2 MASCULINO POSEE ELEMENTO DE DELITO ALGUNO CORRESPONDEN Y NO POSEE NO SE ADOPTA TEMPERAMENTO</t>
  </si>
  <si>
    <t>CONSTITUCION 19</t>
  </si>
  <si>
    <t>CONSTITUCION</t>
  </si>
  <si>
    <t>SE TOMA CONOCIMIENTO MEDIANTE CARTA SAE POR PERSONAL CON MASCULINO DEMORADO. SE AMPLIA: Que Personal Policial interventor informa que arribo SAME interno 359 a cargo de la Dra. Silvia MN 154476 quien asiste en el lugar con diagnostico traumatismo nasal. De forma preventiva al detenido diagnostico contusión marial izquierda en la zona de la boca. En el lugar se realizó consulta con la Unidad de Flagrancia Este a cargo Dr. Vidal quien dispone actuaciones por atentado y resistencia. Articulo 239 y detención del masculino.</t>
  </si>
  <si>
    <t>1 C</t>
  </si>
  <si>
    <t>V. LUGANOO 113</t>
  </si>
  <si>
    <t>SE TOMA CONOCIMIENTO MEDIANTE FRECUENCIA PERSONAL POLICIAL CON DOS DEMORADOS.- SE TOMA CAMARA VISUALIZANDO A MOVIL EN EL LUGAR.- SE AMPLIA MOVIL INFORMA NO SE LOGRO DAR CON DAMNIFICADO,ASI MISMO MASCULINOS NO POSEE ELEMENTO ALGUNO DE DELITO,PERSONAL CON LO APORTADO REALIZO CONSULTA CON EL JUZGADO NUM 62  A CARGO DR BONANO,SECRETARIA A CARGO DR PETRAKO,QUIEN DISPUSO ACTUACIONES POR ROBO POBLADO EN BANDA DISPUSO LA DETENCION DEL MASCULINO</t>
  </si>
  <si>
    <t xml:space="preserve">SAN NICOLAS 27 </t>
  </si>
  <si>
    <t xml:space="preserve">SE TOMA CONOCIMIENTO MEDIANTE CARTA SAE LLAMANTE REFIERE QUE UN MASCULINO SE METIO DENTRO DE UN VEHICULO E INTENTO ROBARLO. SE AMPLIA: </t>
  </si>
  <si>
    <t>V. LUGANO O228</t>
  </si>
  <si>
    <t xml:space="preserve">SE TOMA CONOCIMIENTO MEDIANTE CARTA SOBRE UNA INCIDENCIA FAMILIAR .- SE TOMA CAMARA VISUALIZANDO A PERSONAL ENTREVISTANDO .- SE AMPLIA MOV, 608 INF,Q UE SE ENTREVISTA CON LA LLAMANTE LA MISMA SOLICITO EL MOVIL PARA REALIZAR UNA CONSULTA LA CUAL FUE EVACUADA SIN NOVEDAD </t>
  </si>
  <si>
    <t>PALERMO 12</t>
  </si>
  <si>
    <t>SE TOMA CONOCIMIENTO MEDIANTE CARTA SAE DENUCNIANTE REFIERE QUE HABRIA UN CHOQUE ENTRE UN MOTOVEHICULO Y UN AUTO. SE AMPLIA: SECTOR 1 INF SE REALIZO CONSULTA CON UFLA NORTE AC DRA CARELLI DISPUSO ACT POR AV LESIONES 94.</t>
  </si>
  <si>
    <t>V. DEL PARQUE 33</t>
  </si>
  <si>
    <t xml:space="preserve">SE TOMA CONOCIMIENTO MEDIANTE CARTA SAE HT 2012327 SOLICITA AMB DE SAME POR MOTOCICLISTA QUE PIERDE EL CONTROL Y SE CAE NRO DE POC 1150972329. SE AMPLIA: </t>
  </si>
  <si>
    <t>ALMAGRO 97</t>
  </si>
  <si>
    <t>SE TOMA CONOCIMIENTO MEDIANTE CARTA SAE DTE MASC SOLICITA POR MASC QUE INTENTA  LESIONARSE CON ARMA BCA. SE AMPLIA:</t>
  </si>
  <si>
    <t>PATERNAL 58</t>
  </si>
  <si>
    <t>SE VISUALIZA A MASCULINO CUIDACOCHES. SE AMPLIA: HT INF SE RECORRIO INMEDIACIONES NO SE DIO CON EL MASCULINO. APORTADO POR CMU.</t>
  </si>
  <si>
    <t>V. SARSFIELD 10</t>
  </si>
  <si>
    <t>Velez Sarsfield</t>
  </si>
  <si>
    <t xml:space="preserve">SE VISUALIZA A PERSONAL POLICIAL SE BRINDA APOYO, SE AMPLIA: </t>
  </si>
  <si>
    <t>10C</t>
  </si>
  <si>
    <t>P. CHAS 03 CAM01</t>
  </si>
  <si>
    <t>SE TOMA CONOCIMIENTO MEDIANTE CARTA SAE VITTAL- REQUIERE MOVIL DE APOYO  , EN EL LUGAR HABRIA POSIBLE OBITO, NO REQUIERE DE SAME. SOLO REQUIERE PERSONAL POLICIAL. SE AMPLIA: en el lugar se entrevista con ambulancia de Vital interno1225 a cargo de Dra. Gutierrez MN 173549 y femenino en cuestion. Negativo obito. La femenina desvaria de sus dichos. Se verifico finca con panorama normal</t>
  </si>
  <si>
    <t>P.PATRICIOS 36</t>
  </si>
  <si>
    <t>Parque Patricios</t>
  </si>
  <si>
    <t xml:space="preserve">SE TOMA CONOCIMINENTO MEDIENTA CARTA POR CHOQUE SIMPLE . SIENDO LAS 17:11 SE TOMA CAMARA PARQUE PATRICIOS 36 VISUALIZANDO A DOS VEHICULOS PARADOS EN SU MARCHA . MEDIANTE LINEA DE TIEMPO SIENDO LAS 17.06 MEDIANTE CAMARA PARQUE PATRICIOS 36 SE VISUALIZA AL VEHICULO NEGRO PARADO EN SU MARCHHA EN EL SEMAFORO DE CASEROS Y LA RIOJA CUANDO LA CAMIONETA CIRCULABA POR AV CASEROS Y AL LLEGAR A DICHA INTERSEECCION NO LOGRA FRENAR Y LO COLISIONA AL VEHICULO EN LA PARTE TRASERA DEL MISMO. SIENDO LAS 17:16 SE VISUALIZA EL ARRIBO DE PP . SIENDO LAS 17:19 SE VISUALIZA EL ARRIBO DE SAME . SIENDO LAS 17:22 SE VISUALIZA EL RETIRO DE SAME </t>
  </si>
  <si>
    <t>4A</t>
  </si>
  <si>
    <t>V. SOLDATI 80</t>
  </si>
  <si>
    <t xml:space="preserve">SE TOMA CONOCIMIENTO MEDIANTE CARTA SAE SOBRE UN CHOQUE DE PERSONAL DEL DOEM CON UN VEHIUCLO PARTICULAR.- SE TOMA CMARA VISUALIZANDO LO APORTADO . Y PERSONAL POLICIAL DE ESTA FUERZA .- ARRIBA SAME </t>
  </si>
  <si>
    <t>S. TELMO 32</t>
  </si>
  <si>
    <t xml:space="preserve">SE VISUALIZA A PERSONA EN SITUACION DE VULNERABILIDAD. SE AMPLIA: </t>
  </si>
  <si>
    <t xml:space="preserve">SE TOMA CONOCIMIENTO MEDIANTE CARTA SAE DTE FEM REF QUE VE DESDE SU  EDIFICIO EN UN PISO 8  DIAGONAL A HTAL MILITAR QUE VE  LLAMA DE FUEGO  DENTRO DE HABITAC  EN PISO 10 DEL MISMO HTAL. SE AMPLIA: </t>
  </si>
  <si>
    <t>V. SARSFIELD 01</t>
  </si>
  <si>
    <t xml:space="preserve">SE TOMA CONOCIMIENTO MEDIANTE CARTA SAE MASC REF CHOQUE ENTRE DOS AUTOS. SE AMPLIA: </t>
  </si>
  <si>
    <t xml:space="preserve">RECOLETA 52 </t>
  </si>
  <si>
    <t>SE VISUALIZA EL PASO DE 3 FEMENINOS A LA VELOZ CARRERA SIENDO PERSEGUIDAS POR UN FEMENINO APARENTE DAMNIFICADA. ARRIBA PERSONAL POLCIIAL Y DA CON 2 DE LAS CAUSANTES Y SE APROXIMA DAMNIFICADA. SE REALIZA CONSULTA CON JUZGADO DE MENORES NUMERO 4 DR BONS LEERSD SEC NUMERO 12 DRA GABRIELA MENIR. DISP ACT ROBO EN POBLANDO Y EN BANDA. AVALO LA DTENCION DE LAS 2 MENORES -----AMBAS AL INSTITUTO INCHAUSTI</t>
  </si>
  <si>
    <t xml:space="preserve">2 DETENIDOS </t>
  </si>
  <si>
    <t>PALERMO 29</t>
  </si>
  <si>
    <t xml:space="preserve">SE TOMA CONOCIMIENTO MEDIANTE CARTA </t>
  </si>
  <si>
    <t xml:space="preserve">NVA POMPEYA33 CAM01 </t>
  </si>
  <si>
    <t>SE TOMA CONOCIMUENTO MEDIANTE CARTA SOBRE DENUNCIANTE REFIERE QUE UN MASCULINO ROBO EL CELULAR DE UN NEGOCIO Y SE DIO A LA FUGA, MEDIANTE LINEA DE TIEMPO DSE VISUALIZA AL MASC INGRESAR AL COMERCIO Y LUEGO DARSE A LA FUGA. SE AMPLIA SEC 3 SE ENTREVISTA A DAMIFICDA QUIEN MANIFESTO QUE INGRESO UN MASCULINOAL COMERCIO EL CUAL LE PREGUNTO POR UNOS PRODUCTOS AL DESCUIDARSE LE AREBATA EL CELULAR Y SE DA A LA FUIGA HACIA LA VILLA.TELEFONO SAMSUN S24 PLUS VIOLETA  FNCC RNO 60 DRA CARDONA DR DIDSANTO ROBO ARREBATO</t>
  </si>
  <si>
    <t>SAN NICOLAS07</t>
  </si>
  <si>
    <t>SE VISUALIZA POR CAMARA A DOS PERSONAS EN SITUACION DE CALLE. SE GENERA CONSTANCIA. SE AMPLIA QUE NO SE REQUIERE PERSONAL DE BAP.-</t>
  </si>
  <si>
    <t>RECOLETA49</t>
  </si>
  <si>
    <t>SE TOMA CONOCIMIENTO MEDIANTE CARTA SAE LLAMANTE REFIERE QUE HABRIAN 5 MASCULINOS PELEANDOSE EN LA VIA PUBLICA CON ARMAS BLANCAS Y HABRIA UN PERSONAL POLICIAL INTENTANDO PARAR LAS AGRESIONES .SE POSEE CAMARA RECOLETA 49 SE VISUALIZA PERSONAL POLICIAL ENTREVISTANDO MASCULINO CONJUNTO DEPORTIVO.SE RETIRA MASCULINO POR SUS PROPIOS MEDIOS . GHT Y MSEC EN EL LUGAR NEG RIÑAS , SE TRATO DE UN MASC EN SITUACION DE CALLE QUE AL QUERER IDENTIFICARLO SE PUSO HOSTIL PARA CON EL PERS POLICIAL , SR DNI APORTADO , PASADO POR POC CORRESP Y NO POSEE IMPED -----SE ENTREV A PERS POLICIAL QUE ESTABA CON ESPACIOS PUBLICOS OF I LP 37093 AULERA HERNANDEZ MATIAS ------COOPERANDO CON ESPACUIOS PUBLICOS .PANORAMA NORMAL-</t>
  </si>
  <si>
    <t>SAAVEDRA75</t>
  </si>
  <si>
    <t>SE TOMA CONOCIMIENTO MEDIANTE CARTA SAE POR DENUNCIANTE REFIERE QUE HAY MASCULINOS INTENTANDO ABRIR UN LOCAL. SE VISUALIZA A MASCULINO EN EL LUGAR Y ARRIBO DE PERSONAL POLICIAL. SE AMPLIA QUE M 612   INFORMA  SE ENTREV A MASC QUIEN SE ENCUENTRA REALIZANDO REPARACION EN CERRADURA DE LOCAL ,  PMA NORMAL , NEGATIVO HECHO ILICITO CONSTANCIA EN PARTE</t>
  </si>
  <si>
    <t>BALVANERA89</t>
  </si>
  <si>
    <t>SE TOMA CONOCIMIENTO MEDIANTE CARTA SAE POR DENUNCIANTE REFIERE QUE SALE HUMO Y FEUGO DE CONTENEDOR. SE VISUALIZA LOAPORTADO. ARRIBAN PERSONAL Y BOMBEROS AL LUGAR. SE AMPLIA QUE HT ARRIBO BOMBEROS INT 2635 DESTAC  MISERERE TTE BENITEZ LP  36901 , SOFOCA IGNEO DE RESIDUOS SIN NOVEDAD</t>
  </si>
  <si>
    <t>CONSTITUCION27/74</t>
  </si>
  <si>
    <t xml:space="preserve">SE VISUALIZA POR CAMARA CONSTITUCION 74 A FEMENINO LESIONADO EN EL ROSTRO.ARRIBO DE PERSONAL POLICIAL DA CON EL FEMENINO DAMNIFICADA. ARRIBO DE SAME. SE VISUALIZA PERSONAL POLICIAL DAR CON EL MASCULINO AGRESOR. SE RETIRA SAME CON TRASLADO DEL FEMENINO.  SE RETIRA MOVIL CON TRASLADO DEL MASCULINO EN CALIDAD DETENIDO. 601 -  INFORMA QUE ENTABLO CONSULTA  UFLA ESTE AC DR  VIDAL , ACT  POR ART 89 LESIONES ,  DETENCION DEL MASCULINO  </t>
  </si>
  <si>
    <t>1 DETENIDO/1 TRASLADO DE SAME</t>
  </si>
  <si>
    <t>RECOLETAO138/CAM03</t>
  </si>
  <si>
    <t>SE TOMA CONOCIMIENTO MEDIANTE CARTA SOBRE FEMENINO REFIERE QUE UN MASCULINO LE HABRIA ROBADO A UNA FEMENINO, AL TOMARA LA CAMARA SE VISUALIZA PERSONAL POLICIAL REDUCIENDO A UN MASC. SE PORTA LINEA DE TIEMNPO DEL MOMENTO QUE LA DAMNIFICADA REDUCE A UNO DE LOS AUTORES Y EL SEGUNDO SE DA A LA FUGA. SE AMPLIA MOTO REFIERE QUE SE HACE CONSULTA CON JUZGADO NUMERO 46 A CARGO DOCTORO SANTOS, SECRETARIA NUMERO 74 A CARGO DE DOCTORA GUISTI, ACTUACIONES ROBO, AVALA DETENCION.</t>
  </si>
  <si>
    <t>MATADEROS05</t>
  </si>
  <si>
    <t>SE TOMA CONOCIMIENT MEDIANTE CARTA SAE LLAMANTE INFORMA QUE VEHICULO Y MOTOVEHICULO COLISIONARON Y VEHICULO SE DIO A LA FUGA, SE TOMA CAMARA VISUALIZANDO PERSONAL POLICIAL JUNTO A DAMNIFICADO. SE PLASMA LINEA DE TIEMPO CMU REALIZA LINEA DE TIEMPO POR CAMARA MATADEROS05 EMPLAZADA EN J. B ALBERDI Y COSQUIN SIENDO LAS 18:27HS SE VISUALIZA VEHICULO APARENTEMENTE GOLF COLOR GRIS EL MISMO CIRCULABA POR ALBERDI SENTIDO ANDALGALA POR DELANTE EN EL MISMO SENTIDO MOTOVEHICULO,AL LLEGAR A LA INTERSECCION DE ALBERDI Y ANDALGALA EL VEHICULO INTENTA SOBREPASAR EL MOTOVEHICULO COLISIONANDOLO Y CALLENDO TRIPULANTE A LA CINTA ASFALTICA, EL VEHICULO NO FRENA Y SE RETIRA POR ALBERDI SENTIDO CARHUE, DOBLANDO EN CARHUE SENTIDO A SEQUEIRA PERDIENDOSE DE LA VISUAL DE LAS CAMARAS. ARRIBA SAME, SE RETIRA SAME CON TRASLADO. SE RETIRA PERSONAL POLICIAL. M 909 INF ARRIBO SAME INT 419 BASE EMILIO CASTRO A/C DR LOPEZ MN 175131 QUIEN ASISTE Y TRASLADA AL HTAL SANTOJANNI AL MOTOCICLISTA CON DIAGNOSTICO POLITRAUMATISMOS SIN RIESGO DE VIDA. MOTOVOEHICULO EN RESGUARDO. SE REALIZO CONSULTA CON LA FISCALIA PENAL CONTRAVENCIONAL Y DE FALTAS N 39 A/C DR VIGLINO SECRETARIA UNICA A/C DR CROSITA QUIEN DISPUSO LABRAR ACTS POR AVERIGUACION LESIONES 94</t>
  </si>
  <si>
    <t>BALVANERA13</t>
  </si>
  <si>
    <t>SE TOMA CONOCIMIENTO MEDIANTE CARTA SAE POR MOTO SE ENCUENTRA CON PREVENIDO. SE VISUALIZA POR CAMARA A PERSONAL POLICIAL EN EL LUGAR. SE AMPLIA QUE</t>
  </si>
  <si>
    <t>V. LUGANO82</t>
  </si>
  <si>
    <t xml:space="preserve">SE TOMA CONOCIMIENTO MEDIANTE CARTA SAE LLAMANTE INDICA CHOQUE ENTRE VEHICULO Y MOTOVEHICULO, SE TOMA CAMARA VISUALIZANDO COLISION JUNTO A MASCULINO HERIDO Y CHOQUE EN EL LUGAR. SE PLASMA LINEA DE TIEMPO CMU AMPLIA VERIFICA LINEA DE TIEMPO MEDIANTE CAM V.LUGANO82CAM01 A LAS 18:41HS SE VISUALIZA EL MOMENTO EN EL QUE UN MASCULINO A BORDO DE MOTOVEHICULO CIRCULABA MEDIANTE CASTAÑARES SENTIDO HACIA CAÑADA DE GOMEZ CUANDO AL LLEGAR A INTERSECCION DE CASTAÑARES Y COSQUIN IMPACTA CONTRA UN VEHICULO TIPO SURAN GRIS EL CUAL SE ENCONTRABA CIRCULANDO MEDIANTE CASTAÑARES DOBLANDO EN COSQUIN SENTIDO A ZELARRAYAN. ARRIBA SAME, SE RETIRA SAME CON TRASLADO. HT INF ARRIBO SAME INT 397 HTAL GRIERSON A/C DRA ESPOSITO MN 173019 QUIEN ASISTE Y TRASLADA AL MOTOCICLISTA CON DIAGNOSTICO POLITRAUMATISMOS SIN RIESGO DE VIDA. HT INF QUE EL VW SURAN AL DOBLAR EN PIEDRA BUENA COLISIONA CONTRA EL MOTOVEHICULO. M SEC 4 SE REALIZO CONSULTA CON LA UFLA SUR A/C DRA HERNANDEZ, SE LABRNA ACTS POR LESIONES 94 </t>
  </si>
  <si>
    <t>1 IMPUTADO - 1 TRASLADO</t>
  </si>
  <si>
    <t>BELGRANOO107</t>
  </si>
  <si>
    <t xml:space="preserve">SE TOMA CONOCIMIENTO MEDIANTE CARTA SAE Nª48381298 LLAMANTE REFIERE QUE UN VEHICULO HABRIA ATROPELLADO A FEMENINO. SE VISUALIZA A PERSONA TENDIDA SIENDO ASISTIDA POR TRANSEUNTES. ARRIBA PERSONAL POLICIAL Y SAME. SE AMPLIA: M613 INF ARRIBO SAME INT 425 HTAL PIROVANO AC DRA MN 158790 QUIEN ASISTE Y DERIVA DIAG POLITRAUMATISMO SIN RIESGO DE VIDA. CONDUCTOR COMO VEHICULO SIN IMPEDIMENTOS. SE REALIZA CONSULTA UFLA NORTE AC DRA CARELLI QUIEN DISPONE ACTS AV LESIONES, IMPUTADO NOTIFICADO. NEG RELEVANCIA. </t>
  </si>
  <si>
    <t>1 IMPUTADO - 1 TRASLADO SAME.-</t>
  </si>
  <si>
    <t>PATERNAL 33</t>
  </si>
  <si>
    <t>SE TOMA CONOCIMIENTO MEDIANTE CARTA SAE Nª48381411 LLAMANTE REFIERE QUE HABRIA COLISIONADO COLECTIVO LINEA 112 CON MOTOVEHICULO. SE VISUALIZA MOTOVEHICULO TIRADO EN MEDIO DE LA AVENIDA Y UNA PERSONA SENTADA EN LA VEREDA SIENDO ASISTIDA POR TRANSEUNTES. MEDIANTE LINEA DE TIEMPO SE VISUALIZA EL MOMENTO DE LA COLISION. ARRIBA SAME Y PERSONAL POLICIAL. SE AMPLIA: SAME ASISTE Y TRASLADA CON DIAGNOSTICO TRAUMATISMO EN CODO IZQUIERDO. ACTUACIONES LESIONES 94.-</t>
  </si>
  <si>
    <t>1 IMPUTADO - 1 TRASLADO SAME.</t>
  </si>
  <si>
    <t>S. NICOLAS 48</t>
  </si>
  <si>
    <t xml:space="preserve">SE VISUALIZA MEDIANTE CAMARA A PERSONA EN SITUACION DE VULNERABILIDAD. SE AMPLIA: SE RETIRA SIN NOVEDAD. </t>
  </si>
  <si>
    <t>SAN NICOLAS96</t>
  </si>
  <si>
    <t xml:space="preserve">SE TOMA CONOCIMIENTO MEDIANTE CARTA FEMENINO INDICA QUE SU HIJA SE HABRIA DESCOMPENSADO Y LE HABRIA LLAMADO DICIENDO QUE APARECIO EN LA CALLE APORTADA Y  NO SABE COMO LLEGO A ESA DIRECCION .SE VISUALIZA POR CAMARA SAN NICOLAS96 PERSONAL POLICIAL ENTREVISTANDO A UN FEMENINO.ARRIBO DE SAME. SE RETIRA SAME CON TRASLADO.M901 D AMPLIA QUE LA HIJA LO LKLAMO REFIRIENDOLE QUE ESTABA PERDIDA EN CAPITAL EN ESTAS CALLES , EL PADRE Y MADRE SE VINIERON RAPIDAMENTE AL LUGAR Y ESTE MASC DIO CON LA HIJA Y JUSTOMVIO AL PERS POLICIAL Y LO PARO Y LE MANIFESTO LO SUCEDIDO
</t>
  </si>
  <si>
    <t>FLORES69CAM01</t>
  </si>
  <si>
    <t>SE TOMA CONOCIMIENTO MEDIANTE CARTA SAE Nª48381428 LLAMANTE REFIERE QUE HABRIA UN MASCULINO EL CUAL SE HABRIA CAIDO Y FUE ATROPELLADO POR UN COLECTIVO. SE VISUALIZA A PERSONAL POLICIAL Y SAME EN EL LUGAR. CMU AMPLIA SE VERIFICO LINEA DE TIEMPO CAMARA FLORES69CAM01 SIENDO LAS 18:56HS SE VISUALIZO A MASCULINO APARENTEMENTE CORRIENDO COLECTIVO QUERIENDO ABORDAR EL MISMO EL CUAL TENIA LAS PUERTAS CERRADAS ES CUANDO ESTE SE CAE Y EL COLECTIVO LO PISA CON LA RUEDA TRASERA, ASIMISMO SE VISUALIZA AL COLECTIVO CRUZAR TORRES Y TENORIO CON EL SEMAFORO HABILITANTE EN COLOR ROJO. SE AMPLIA: M 607B INF QUE ARRIBO AMB DE SAME INT 360 DEL HPTAL PIÑERO AC DRA SILVERA MN 193333 ASISTE Y TRASLADA AL MISMO NOSOCOMIO CON DIAG POLITRAUMATISMOS. M 707B INF QUE SE REALIZO CONSULTA CON UFLA OESTE AC DR CORRAL GALVANO QUE IND LABRAR ACT POR LESIONES ART 94. SOLICITA VIALES Y ALCOTEST - POC 1128368186. M707 NOVIL INTER 9008 INVESTIGACIONES CIENTIFICAS VIALES A/C ALCOTEST OF. MAYOR LP.9071 ROCA RAUL EL MISMO DIO 0/0 A/C VIALES AUXILIAR LP.76958 MARTINEZ SEBASTIAN .- PERITADO Y LIBERADO.-</t>
  </si>
  <si>
    <t>SE TOMA CONOCIMIENTO MEDIANTE CARTA SAE Nª48381435 GUARDIA PEDIATRICA LLAMANTE REFIERE QUE PACIENTE DE 17 AÑOS SE HABRIA DADO A LA FUGA. SE VISUALIZA A PERSONAL POLICIAL EN EL LUGAR. CMU AMPLIA SE VERIFICO LINEA DE TIEMPO EN CAMARA FLORES76 SIENDO LAS 18:47HS SE VISUALIZA UN EL PASO DE UNA PAREJA MASCULINO Y FEMENINO DE ROPAS OSCURAS JUNTO A UN FEMENINO DE APROX 17 AÑOS VISTE CAMPERON ROSA JEAN AZUL ZAPATILLAS BLANCAS SALIR DEL HOSPITAL CIRCULAR POR ARANGUREN SENTIDO ESTADO PLURINACIONAL DE BOLIVIA. SE AMPLIA: MOVIL 607 INDICA QUE TOMO CONTACTO CON LA MADRE, LA MISMA REFIERE QUE LA MENOR SE RETIRO CON EL PADRE. LOS MIMOS ESTAN SEPARADOS. SE INTENTA TOMAR CONTACTO CON EL PADRE. M607  SE TOMA CONTACTO CON EL PADRE DE LA MENRO, LA MISMA SE ENCUENTRA  CON SU PADRE  EL LA DIRECCION FELIPE VALLESE 3114 PISO 2 DEPARTAMENTO 2.</t>
  </si>
  <si>
    <t>NVA POMPEYA05</t>
  </si>
  <si>
    <t>SE TOMA CONOCIMIENTO MEDIANTE CARTA SOBRE PERSONAL POLICIAL SOLICITA COOPERACION, AL TOMAR LA CAMARA SE VISUALIA PERSONAL POLICIAL IDENTIFICANDO UN MOTOVEHICULO. SE AMPLIA MOTO REFIERE PROCEDE A LA IDENTIFICACION YA QUE LA MISMA CIRCULABA SIN CASCO Y FALTANTE DE DOCUMENTACION POR LO CUAL SE PROCEDE A LA REMISION DEL MOTOVEHICULO</t>
  </si>
  <si>
    <t>S. CRISTOBAL 48</t>
  </si>
  <si>
    <t>SE VISUALIZA MEDIANTE CAMARA A PERSONA EN SITUACION DE VULNERABILIDAD. SE AMPLIA: HT INF SE RETIRA A PERSONA EN SITUACION DE CALLE SIN NOVEDAD, NO REQUIEREN BAP.-__</t>
  </si>
  <si>
    <t>BALVANERA 27</t>
  </si>
  <si>
    <t>SE TOMA CONOCIMIENTO MEDIANTE CARTA SAE Nª48381656 LLAMANTE REFIERE QUE UN MASCULINO EN MOTOVEHICULO LE HABRIA ROBADO EL TELEFONO CELULAR. CMU AMPLIA SE VISUALIZO HORAS 19:22 UN MOTOVEHICULO DE GRAN CILINDRADA BLANCO CIRCULNDO POR LA VEREDA SENTIDO CONTRARIO AL TRANSITO CASCO NEGRO CAMPERA AZUL MOCHILA DE RAPI ASIMISMO SE VISUALIZO PARCIALMENTE REALIZAR UN ADEMAN HACIA UN FEMENINO DE CAMPERA BLANCA LA MISMA LO PERSIGUE UNOS METROS. EL MOTOVEHICULO SE HABRIA RETIRADO POR JUJUY SENTIDO BELGRANO. CMU AMPLIA SE VISUALIZA POR BALVANERA 27 APARENTE DAMNIFICADA PROXIMA A LOCAL COMERCIAL ORIENTAL. SE AMPLIA: 1003 INF ARRIBADO AL LUGAR SE ENTREVISTA CON EL FEMENINO DAMNIFICADO LA CUAL INDICA QUE MIENTRAS ESPERABA UN UBER FUE SORPRENDIDA POR UN OCUPANTE DEL CUAL NO RECUERDA SI ES FEMENINO O MASCULINO Y LE SUSTRAE SU TELEFONO CELULAR IPHONE 13 DE COLOR BLANCO CON FUNDA TRANSPARANETE, NO RECUERDA MAS DATOS POR SU ESTADO DE NERVIOSISMO, SE TOMO CONSULTA CON FISCLAIA 34 A CARGO DEL DR SONI , SE DISPUSO ACT POR ROBO ARREBATO.-</t>
  </si>
  <si>
    <t xml:space="preserve">CONSTITUCION13 </t>
  </si>
  <si>
    <t>SE TOMA CONOCIMIENTO MEDIANTE CARTA SAE DENUNCIANTE INFORMA QUE HABRIA UN MASCULINO EBRIO O BAJO EFECTOS DE ESTUPEFACIENTES INTENTANDO VENDER DOS CUCHILLAS DE GRAN TAMAÑO Y MANGO COLOR BLANCO EN LA PARADA DE COLECTIVO LINEA 96 .NO CUENTA CON VEHICULO. CAMPERA BLANCA, JOGIN GRIS. MASCULINO .SE VISUALIZA POR CAMARA CONSTITUCION76 MASCULINO DE SIMILARES CARACTERISTICAS CAMPERA COLOR BLANCO PANTALON CLARO CALZADO BLANCO. SE VISUALIZA ARRIBO DE PERSONAL POLICIAL SE RETIRA MASCULINO POR SUS PROPIOS MEDIOS. 501 , INFORMA CONSULTA CON LA FISCALIA GENRAL LOPEZ  , ACTA CONTRAVENCIONAL  POR 103 -  SECUESTRO DE ELEMNTO</t>
  </si>
  <si>
    <t>1 CONTRAVENTOR.-</t>
  </si>
  <si>
    <t>V. URQUIZAO107</t>
  </si>
  <si>
    <t>SE TOMA CONOCIMIENTO MEDIANTE CARTA SAE POR DENUNCIANTE INDICA QUE SU VECINO ESTA AGREDIENDO A LA MADRE. SE VISUALIZA POR CAMARA A PERSONAL POLICIAL ENTREVISTANDO. SE AMPLIA QUE SECT 3    INFORMA   SE ENTREV A FEMENINO LA MISMA ILESA ,   SE TRATO DE UNA INCIDENCIA ENTRE MADRE E HIJO SOLUCIONADO EN EL LUGAR SIN NOVEDAD POR MOTIVOS DE CONVIVENCIA ,   PMA NORMAL CONSTANCIA  EN PARTE</t>
  </si>
  <si>
    <t>PALERMO O114</t>
  </si>
  <si>
    <t>SE TOMA CONOCIMIENTO MEDIANTE CARTA SAE Nª48382078 VEHICULO INCENDIANDOSE. PERSONAL POLICIAL Y BOMBEROS EN EL LUGAR. SE AMPLIA: ARRIBO BOMBEROS INT 2647 TT LP73703. ASIMISMO AL ARRIBO SOFOCADO POR PROPIETARIO.</t>
  </si>
  <si>
    <t>PALERMO05</t>
  </si>
  <si>
    <t>SE TOMA CONOCIMIENTO MEDIANTE CARTA SAE POR DENUNCIANTE REFIERE QUE SU EXPAREJA NO LE QUIERE DEVOLVER LAS LLAVES DE SU DOMICILIO. SE VISUALIZA POR CAMARA A PERSONAL POLICIAL EN EL LUGAR. SE AMPLIA QUE MOVIL INF SE ENTREVISTA  CON EL FEMENINO LA MISMA ILESA NEGATIVO VIOLECIA DE GENERO, AL ARRIBO EL PERSONAL EL MASCULINO NO SE ENCONTRABA , LE HABIA DEJADO LA LLAVE PARA QUE ELLA INGRESE PANM NORMAL</t>
  </si>
  <si>
    <t>NVA POMPEYA101</t>
  </si>
  <si>
    <t>21.29</t>
  </si>
  <si>
    <t>SE TOMA CONOCIMIENTO MEDIANTE CARTA SOBRE UN PASAJERO SE ENCONTRARIA SEMI INCONCIENTE EN EL INTERIOR DE LA LINEA 70, AL TOMAR LA CAMARA SE VISUALIZA EL COLECTIVO MENCIONADO DETENIDO EN EL LUGAR, PERSONAL POLICIAL SE ENCONTRABA DENTRO DEL TRANSPORTE, A POSTERIOR ARRIBA SAME, ASISTE EN EL LUGAR. SE AMPLIA CICLISTA INDICA ARRIBO SAME INT 370 DE BASE PENNA DR TORRES MN 152918 ASISTE SIN TRASLADO DIAG LIPOTIMIA RECUPERADA</t>
  </si>
  <si>
    <t>RECOLETA 96</t>
  </si>
  <si>
    <t>SE TOMA CONOCIMIENTO MEDIANTE CARTA SAE POR MOTOVEHICULO LE HABRIA ROBADO A UN MASCULINO. SE VISUALIZA POR CAMARA A PERSONAL POLICIAL CON DEMORADO. SE REALIZADA LINEA DE TIEMPO POR CÁMARA VISUALIZANDO AL RODADO CIRCULANDO POR LA VEREDA EN CONTRAMANO POSTERIOR SIENDO DEMORADO POR PERSONAL POLICIAL. SE AMPLIA QUE MOVIL SE ENTREVESTA  CON EL DAMNIFICACO , INDICO QUE HABIA DEJADO ESTACIONADO SU RODADO  SOBRE COSTA RICA , SE LE APROXIMO LA MOTO  LE RMPE EL  VIDRIO DELANTERO DEL LADO ACOMPAÑANYE Y LE SUSTRAE  UN TELEFONO  SAMSUNG MODELO S26 COLOR PLATEADO FUNDA AZUL, SE EFECTU CONSULTA CON LA  FISCALIA NAC EN LO CRIM Y CORRE NRO 28  AC DR LUGONES SEC UNICA DR BANUZZO, DISPUSO ACT ROBO, NEGATIVO SERVICIOS</t>
  </si>
  <si>
    <t>FLORES78</t>
  </si>
  <si>
    <t>SE TOMA CONOCIMIENTO MEDIANTE CARTA SAE POR DENUNCANTE INDICA UN NUMERO DE LINEA DE COLECTIVO Y CORTA. SE VISUALIZA POR CAMARA A COLECTIVO Y ARRIBO DE PERSONAL POLICIAL Y SAME. SE AMPLIA QUE SAME ASISTE Y TRASLADO DIAGNOSTICO INFARTO AGUDO DE MIOCARDIO.-</t>
  </si>
  <si>
    <t>1 TRASLADO SAME.-</t>
  </si>
  <si>
    <t>RECOLETA51</t>
  </si>
  <si>
    <t>SE TOMA CONOCIMIENTO MEDIANTE CARTA SOBRE LLAMANTE VISUALIZA A DOS MASCULINOS QUE INTENTAN ENTRAR AL CLUB DEL COMIC, AL TOMAR LA CAMARA SE VISUALIZA PERSONAL POLICIAL EN EL QTH. SE AMPLIA SECTOR 2 REFIERE QUE SE HACE CONSULTA CON JUZGADO NUMERO 46 A CARGO DE DOCTOR SANTO, SECRETARIA NUMERO 145 A CARGO DE DOCTORA GIUSTI, ACTUACIONES AVERIGUACION DE ILISITO, NOTIFICADOS Y SOLTURA EN EL LUGAR A RAIZ DE FALTA DE ELEMENTOS ILISITOS.</t>
  </si>
  <si>
    <t>BARRACAS82</t>
  </si>
  <si>
    <t>SE TOMA CONOCIMEINTO MEDIANTE CARTA SAE LLAMANTE INDICA QUE SU TIO ESTARIA GENERANDO DISTURBIOS INDICA QUE ESTARIA JUNTO A MENORES EN EL INTERIOR 
EL MISMO ESTARIA EN EL LUGAR ACUSANDO A LA DENUNCIANTE DE QUE LE HABRIAN ROBADO PERTENENCIAS .SE POSEE CAMARA BARRACAS82 SE VISUALIZA PARCIALMENTE MOVIL EN EL LUGAR DEBIDO A OBSTRUCCION DE ARBOLEDA.  MOVIL INFORMA QUE EL SR   SILVA FRANQUEO ACCESO    SE VERIFICO EL PISO 3DEP B DONDE SE ENCUENTRA EL SR ELIAS INDICANDO QUE SE ENCUENTRA TODOS BIEN Y QUE SU HERMANDO SERGIO SE ENCUENTRA EN ESTADO DE EBRIEDAD NO SE DOMICILIA EN EL LUGAR INDICANDO QUE  QUIERE RETIRAR PERTENENCIAS - POR ESTE MOTIVO LE RETIRARON LA LLAVE Y E  INGRESO EN COMPAÑIA DEL PERSONAL Y RETIRO  UNO AURICULARES ( NO POSEIA MAS PERTENENCIAS EN EL LUGAR
|</t>
  </si>
  <si>
    <t>V. SOLDATIO113</t>
  </si>
  <si>
    <t>SE TOMA CONOCIMIENTO MEDIANTE CARTA SAE LLAMANTE INDICA QUE HABRIA UN MASCULINO INCONCIENTE EN LA APRADA. SE TOMA CAMARA VISUALIZANDO PERSONAL POLICIAL CON MASCULINO. SE REALIZA LINEA DE TIEMPO NO LOGRANDO VISUALIZAR LO APORTADO DEBIDO A QUE LA CAMARA SE ENCUENTRA EN MODO PATRON. ARRIBA SAME, SE RETIRA SAME CON TRASLADO. SE RETIRA PERSONAL POLICIAL. M 708 INF ARRIBO SAME INT 414 CESAC 3 A/C DRA SCALANTE MN 173.704 QUIEN ASISTE Y TRASLADA AL HTAL GRIERSON AL MASCULINO CON DIAGNOSTICO TEC LEVE Y ALIENTO ETILICO, MASCULINO CAE DE PROPIA ALTURA. CONSTANCIA EN PARTE</t>
  </si>
  <si>
    <t>MONSERRAT55</t>
  </si>
  <si>
    <t>SE TOMA CONOCIMIENTO MEDIANTE CARTA SAE DTE REFIERE QUE HABRIA UN MASC SOSPECHOSO EN INMEDIACIONES . VISTE CON BUZO AZUL CON RAYAS BLANCAS , SE RETIRA SENTIDO SAN JOSE . TENDRIA MOCHILAS . SE POSEE CAMARA MONSERRAT55 PERSONAL POLICIAL EN EL LUGAR, SE BRINDA APOYO OPTICO</t>
  </si>
  <si>
    <t>RECOLETA17 CAM01/RECOLETA42</t>
  </si>
  <si>
    <t>SE TOMA CONOCIMIENTO MEDIANTE CARTA SAE, SOBRE DENUNCIANTE REFIERE QUE VISUALIZA UN MASC ARRASTRAR UN MOTOVEHICULO, SE APORTA LINEA DE TIEMPO DEL MOMENTO QUE ESTE SUSTRAE EL RODADO Y SE DA A LA FUGA. LUEGO PERSONAL POLICIAL DA CON EL MASC Y SE LO IDENTIFICA. SE AMPLIA HT 2180 REFIERE QUE SE HACE CONSULTA CON JUZGADO NUMERO 46 A CARGO DE DOCTOR ANSELMO, SECRETARIA A CARGO DE DOCTORA GIUTI, ACTUACIONES POR ROBO.</t>
  </si>
  <si>
    <t>SE VISUALIZA A PERSONA EN SITUACION DE VULNERABILIDAD. SE GENERA CARTA SAE. SE AMPLIA QUE HT EN EL LUGAR LAS PERSONAS SE RETIRAN OFUSCADOS SIN APORTAR DATOS</t>
  </si>
  <si>
    <t>SE VISUALIZA MEDIANTE CAMARA A OPERSONAL POLICIAL. SE AMPLIA: SE IDENTIFICO EN EL LUGAR, SIN IMPEDIMENTO NI ELEMENTO CONSTITUTIVO DE DELITO. CONSTANCIA EN PARTE.</t>
  </si>
  <si>
    <t>S. CRISTOBAL20</t>
  </si>
  <si>
    <t>SE TOMA CONOCIMIENTO MEDIANTE CARTA SAE POR DENUNCIANTE INDICA CHOQUE ENTRE VEHICULO Y MOTOVEHICULO. SE VISUALIZA POR CAMARA LO APORTADO Y PERSONAL POLICIAL Y SAME EN EL LUGAR. REALIZADA LINEA DE TIEMPO SE OBSERVA A VEHICULO REALIZAR ,ALA MALIOBRA CHOCANDO AL MOTOVEHICULO. SE AMPLIA QUE 903 INF ARRIBO SAME INT 411 A CARGO DEL DR BELDIBIETO MN 191553 QUIEN ASISTE Y TRASLADA AL HTAL PENNA CON DIAG POLITRAUMA. ACTUACIONES LESIONES 94.-</t>
  </si>
  <si>
    <t>P. PATRICIOS34</t>
  </si>
  <si>
    <t>SE TOMA CONOCIMIENTO MEDIANTE CARTA SOBRE UN MASC QUE SE HABRIA ARRIBAJO DEBAJDO DE CAMION, MEDIANTE LINEA DE TIEMPO SE VISULIZA A ESTS PROXIMO AL CAMION Y LUEGO CUANDOEL COMO DA UN GIRO, SE LO VISUALIZA DELANTE DE UNA DE LAS RUEDAS. A POSTERIOS ARRIBA DE SAME ASISTE Y TRASALDO, LUEGO ARRIBA PERSOANL POLICIAL ENTREVISTA AL CONDUCTOR DEL CAMNION. SE AMPLIA 604 INF ARRIBO SAME INT 358 DE BASE MONASTERIO A/C DR RODRIGUEZ MN10078 TARSLADA AL HOSP PENNA CON DIAGNOSTICO TRAUMATISMO ABDOMINAL LEVE, PACIENTE DEL HOSP MUÑIZ QUEIN SALIO A RECREARSE TROPIEZA Y CAE DELANTE DEL CAMION SIN SER ATROPELLADO. SE AMPLIA 604 SE COMUNICO UFLA SUR DR PALOPOLIS INNDICO LESIONES ART 94.</t>
  </si>
  <si>
    <t>S. CRISTOBAL 01 CAM01</t>
  </si>
  <si>
    <t>SE TOMA CONOCIMIENTO MEDIANTE CARTA SAE POR DENUNCIANTE REFIERE QUE HAY UN CHOQUE ENTRE VEHICULO Y MOTOVEHICULO. SE VISUALIZA POR CAMARA A VEHICULOS DETENIDOS EN EL LUGAR. REALIZADA LINEA DE TIEMPO SE OBSERVA A CAMIONETA DOBLAR Y SER COLISIONADO POR UN MOTOVEHICULO. SE AMPLIA QUE MOVIL 605 A INF EL VEHICULO NO POSEE SIGNOS DE VIOLENCIA , APARENTEMENTE HABRIAN INGRESADO A VEHICULO CON INHIBIDOR.-</t>
  </si>
  <si>
    <t>RETIRO53</t>
  </si>
  <si>
    <t>SE TOMA CONOCIMIENTO MEDIANTE CARTA SAE GHT 1 A SOLICITA BOMBEROS AL LUGAR POR UN CONTENEDOR INCENDIANDOSE .SE POSEE CAMARA RETIRO53 PERSONAL POLICIAL Y BOMBEROS EN EL LUGAR. SE RETIRA BOMBEROS Y MOVIL DEL LUGAR . HT 2807 REFIERE QUE ARRIBO BOMBERO INTERNO 269 A CARGO DE TENIENTE LP 75589 LOPEZ, DOTACION CUATRO CINCO MAS UNO, EN EL LUGAR COOPERAN SIN NOVEDAES, SOFOCAN FOCO IGNIO SIN NOVEDADES.</t>
  </si>
  <si>
    <t>PALERMO 66 CAM02</t>
  </si>
  <si>
    <t xml:space="preserve">SE TOMA CONOCIMIENTO MEDIANTE CARTA SAE POR DENUNCIANTE REFIERE QUE HAY UN CHOQUE ENTRE VEHICULO Y MOTOVEHICULO. SE VISUALIZA POR CAMARA A VEHICULOS DETENIDOS EN EL LUGAR. REALIZADA LINEA DE TIEMPO SE OBSERVA A CAMIONETA DOBLAR Y SER COLISIONADO POR UN MOTOVEHICULO. SE AMPLIA QUE </t>
  </si>
  <si>
    <t>BALVANERA 09</t>
  </si>
  <si>
    <t>SE VISUALIZA A PERSONA EN SITUACION DE VULNERABILIDAD. SE GENERA CARTA SAE. SE AMPLIA QUE __HT INF ARRIBADO AL LUGAR SE RETIRA A UN MASCULINO EN SITUACION DE CALLE SN NOVEDAD.-__</t>
  </si>
  <si>
    <t>BALVANERA 25</t>
  </si>
  <si>
    <t>SE VISUALIZA A PERSONA EN SITUACION DE VULNERABILIDAD. SE GENERA CARTA SAE. SE AMPLIA QUE 108:703 RIVADAVIA 2568 SOLICITA PERSONAL DEL BAP PARA EL MASCULINO</t>
  </si>
  <si>
    <t>SE VISUALIZA MEDIANTE CAMARA A MASCULINO OFCIANDO DE LIMPIAVDIRIOS. ARRIBA PERSONAL POLICIAL. SE AMPLIA:  M 905 REALIZA  CONSULTA  FISCALIA GRAL PROSECRETARIO BARRAGAN  ACT  ART 91 CONTRAVENCION . SECUESTRA  LIMPIADOR ESCOBILLA , BOTELLITA DE 500 CM CON AGUA Y JABON , CESE D E LA ACTIVIDAD Y QUE SE RETIRE DEL LUGAR.-</t>
  </si>
  <si>
    <t>NUÑEZ 54</t>
  </si>
  <si>
    <t>Nuñez</t>
  </si>
  <si>
    <t>SE TOMA CONOCIMIENTO MEDIANTE CARTA SAE POR DENUNCIANTE REFIERE QUE VIO SALIR A CUATRO MASCULINOS DE UNA CASA Y LA DUERÑA NO CONTESTA. SE VISUALIZA POR CAMARA A PERSONAL POLICIAL ENTREVISTANDO. SE AMPLIA QUE M 612   INFORMA  NEGATIVO PERSONA  DAMNIFICADA   EN EL LUGAR SE ENCUENTRA EN NEUQUEN,   SE   ENTREVISTO A VECINA LA MISMA POSEE LLAVE DE LA FINCA Y CONTACTO TELEFONICO CON LA PROPIETARIA.    SOLO SE VISUALIZA INTERIOR REVUELTO  NO SE PUEDE DETERMINAR FALTANTES  SE  REALIZO CONSULTA CON  FISCALIA SAAVEDRA NUÑEZ A/C DR CAMPAGNOLI SEC UNICA A/C DRA DIAZ  QUIEN INDICA ACT POR ROBO EN AUSENCIA DE MORADORES   SE IMPLANTA  CONSIGNA  OF LP 36485 MAZZEA  JUAN   NO SE SOLICITAN RASTROS HASTA EL ARRIBO DEL PROPIETARIO  QUE SE ENCUENTRA EN LA PCIA DE NEUQUEN __</t>
  </si>
  <si>
    <t>SAN NICOLAS88</t>
  </si>
  <si>
    <t>SE TOMA CONOCIMIENTO MEDIANTE CARTA SAE FEMENINO REFIERE QUE HABRIA EN LA PARADA DE COLECTIVO 159, UN AUTO CON UNA PERDIDA DE GAS, INDICA QUE ESCUCHA EL SILVIDO, SERIA UN AUTO CHEVROLET GRIS DOMINIO AA066KV. SE VISUALIZA VEHICULO POR CAMARA SAN NICOLAS88. SE VISUALIZA ARRIBO DE BOMBEROS.</t>
  </si>
  <si>
    <t>NVA POMPEYAO104/CAM03</t>
  </si>
  <si>
    <t>SE TOMA CONOCIMIENTO MEDIANTE CARTA SOBRE LLAMANTE REFIERE QUE SU HIJO SE ENCONTRARIA AGRESIVO EN EL INTERIOR DE FINCA, EL MISMO ABRIA LESIONADO A SU HNO CON UN ARMA BLANCA, MEDIANTE LINEA DE TIEMPO SE VISUALIZA AL MENCIOANDO AGRESAR DE L FINCA Y DARSE A LA FUGA A LA VELOZ CARRERA. SE AMPLIA CB SE COMUNCIOO A LAJU NCCC NR 53 DR ORLAN SEC 66 DR PEDROZO ACT TVA HOMICIDIO SOLICITA UCM A EL LUGAR POC 1165462371 CONSIGNA NO REQUIERE BRIGADA DE HOMICIDIOS</t>
  </si>
  <si>
    <t>SAN NICOLAS54</t>
  </si>
  <si>
    <t xml:space="preserve">SE TOMA CONOCIMIENTO MEDIANTE CARTA SAE LLAMANTE REFIERE QUE HABRIA UNA FEMENINO QUE TENDRIA UNA DENUNCIA PERIMETRAL.  SE POSEE CAMARA SAN NICOLAS54 SE VISUALIZA MOVIL EN EL LUGAR.ARRIBO DE SAME 
</t>
  </si>
  <si>
    <t>FLORESTA 09 CAM01</t>
  </si>
  <si>
    <t xml:space="preserve">SE TOMA CONOCIMIENTO MEDIANTE CARTA SAE Nª48383024 LLAMANTE REFIERE CHOCO SU VEHICULO CONTRA OTRO. CMU AMPLIA, SE VERIFICA LINEA DE TIEMPO DE LA CAMARA FLORESTA 09 CAM01 VISUALIZANDO EN HORAS 22:45 A UN RODADO ESTACIONADO SOBRE LA MANO DERECHA DE LA AV. GAONA CUANDO ES COLISIONADO EN LA PARTE TRASERA LADO IZQUIERDO POR UN RODADO QUE CIRCULABA POR LA MISMA AVENIDA. SE DEJA CONSTANCIA QUE EL RODADO QUE COLISIONA CRUZA CON EL SEMAFORO EN VERDE. SE AMPLIA: M 910 C INF QUE SE ENCUENTRA  EN EL LLUGAR Y ES NEGATIVO EL MASCULINO EN ESTADO DE EBRIEDAD, REFIERE QUE EL MASCULINO VENIA ABORDO DEL UN VEHICULO RENAULT Y EL MISMO REALIZO UNA MALA MANIOBRA ES POR ESO QUE COLISIONA CON UN VEHICULO ESTACIONADO. NEGATIVO PERSONAS HERIDAS. </t>
  </si>
  <si>
    <t>BALVANERA 39</t>
  </si>
  <si>
    <t>SE TOMA CONOCIMIENTO MEDIANTE CARTA SAE POR DENUNCIANTE INFORMA QUE HAY UN FEMENINO ROMPIENDO EL VIDRIO DE UN VEHICULO Y SUSTRAYENDO PERTENENCIAS. SE VISUALIZA MEDIANTE LINEA DE TIEMPO A FEMENINO APROXIMARSE A VEHICULO PARA INGRESAR AL MISMO Y RETIRARSE CON PERTENENCIAS. SE AMPLIA QUE 603 SE HIZO CONSULTA CON EL JUZG CRIM CORREC N°  3 DR FERNANDEZ SEC N° 110 DRA PERSAN ACT POR ROBO, DETENCION DEL FEMENINO , SE LE ENCONTRO LA SUMA DE PESOS  SUSTRAIDOS DEL INTERIOR DEL  VEHICULO</t>
  </si>
  <si>
    <t>SAN NICOLAS50</t>
  </si>
  <si>
    <t xml:space="preserve">SE TOMA CONOCIMIENTO MEDIANTE CARTA SAE HT SOLICITA BOMBEROS POR CAMION DE BASURA POR PARTE DE CONTENEDOR INCENDIANDOSE. SE VISUALIZA MOVIL EN EL LUGAR, ARRIBO DE BOMBEROS </t>
  </si>
  <si>
    <t>FLORES O155</t>
  </si>
  <si>
    <t>SE TOMA CONOCIMIENTO MEDIANTE CARTA SAE Nª48383099 LLAMANTE REFIERE MASCULINO EN SITIACION DE VULNERABILIDAD HABRIA ROBADO EL CASCO DE UN MOTOVEHICULO. SE VISUALIZA A MASCUINO DE SIMILARES CARACTERISTICAS CON UN CARRO DE COMPRAS. ARRIBA PERSONAL POLICIAL DANDO CON EL MISMO. CMU AMPLIA SE REALIZO LINEA DE TIEMPO POR CAMARA FLORES O155 CAM 03 SIENDO LAS 23:05 HS SE VISUALIZA LLEGAR AL MASCULINO Y APROXIMASE AL MOTOVEHICULO ESTACIONADO EN EL LUGAR MANIPULARLO POR VARIOS MINUTOS LEVANTANDO EL ASIENTO Y MOVIENDO DE LUGAR EL MOTOVEHICULO TOMADO EL CASCO YA LAS 23:13 HS EGRESA UN MASCULINO DE CAMPERA ROJA DE UN LOCAL COMERCIAL FOSEJEA CON EL 1ER MASCULINO SACANDOLE EL CASCO Y ESTE SE RETIRA POR  NAZCA HACIA NEUQUEN. SE AMPLIA: M 607C INF QUE SE IDENTIFICA A MASCULINO INDICADO COMO SUPUESTO AUTOR, EL MISMO REFIERE QUE SE TRATO DE UNA BROMA DE MAL GUSTO. EL MISMO NO POSEE ELEMENTO CONSTITUTIVO DE DELITO, SE CURSAN DATOS POR SISTEMA, EL MISMO CORRESPONDE Y NO POSEE IMPEDIMENTOS. ASIMISMO, SE ENTREVISTA CON EL PROPIETARIO DE LA MOTO QUIEN TAMBIEN REFIERE QUE ES CONOCIDO DEL MASC IDENTIFICADO Y CONSTATA QUE SE TRATO DE UNA BROMA. EL LLAMANTE HABRIA SIDO UN AMIGO QUE DESCONOCIA DE LA SITUACION Y SE ASUSTO.</t>
  </si>
  <si>
    <t>CONSTITUCION12</t>
  </si>
  <si>
    <t>SE TOMA CONOCIMIENTO MEDIANTE CARTA SAE Nª48383106 LLAMANTE REFIERE QUE HABRIA DOS  MASCULINOS QUE ESTABAN CON DOS CLIENTES QUE LES HABRIAN DADO PASTILLAS Y ESTARIAN DOPADOS. SE VISUALIZA ARRIBO DE PERSONAL POLICIAL. ARRIBA SAME. SE AMPLIA: SAME DIAGNOSTICO INTOXICACION ETILICA.-</t>
  </si>
  <si>
    <t>V. SARSFIELD 18</t>
  </si>
  <si>
    <t xml:space="preserve">SE TOMA CONOCIMIENTO MEDIANTE CARTTA SAE Nª48383156 LLAMANTE REFIERE CONTENEDOR INCENDIANDOSE. SE VISUALIZA LO APORTADO. SE VISUALIZA PERSONAL POLICIAL Y ARRIBO DE BOMBEROS. SE AMPLIA: BOMBEROS SOFOCO SIN NOVEDAD. </t>
  </si>
  <si>
    <t>BELGRANO O102</t>
  </si>
  <si>
    <t>SE TOMA CONOCIMIENTO MEDIANTE CARTA SAE Nª48382978 LLAMANTE REFIERE MASCULINO ROMPIENDO CONTENDOR EN VIA PUBLICA. SE VISUALIZA A PERSONAL POLICIAL CON MASCULINO DE SIMILARES CARCATERICTICAS. SE AMPLIA: MOV CIUDAD INF SE IDENTIFICA AL MASC SIN NOVEDAD. SE REALIZA CONSULTA UFLA NORTE AC DR BASABILBASO QUIEN NO ADOPTA TEMPERAMENTO, POR LO QUE SE REALIZA CONSULTA FISC GRAL AC PROSECRETARIO DE BENEDETTO ACTS ART 94 ENSUCIAR BIENES, NOTIFICADO.</t>
  </si>
  <si>
    <t>13B</t>
  </si>
  <si>
    <t>CONSTITUCIONO137/74</t>
  </si>
  <si>
    <t>SE VISUALIZA POR CAMARA CONSTITUCIONO137 MASCULINO PARA IDENTIFICAR POSEE UN ELEMENTO CONTUNDENTE. SE AMPLIA:  HT , INFORMA QUE SE IDENTIFICO AL MASCULINO EL MISMO  POSEIA A LA ALTURA DE LA CINTURA UN ARMA BLANCA ,  MANGO DE MADERA DE UNA HOJA DE 30 CM. HT FISC GRAL A/C PROSECRETARIO DR CORTEAUX ACTS ART 103 NOTIFICACION Y SECUESTRO DEL ELEMENTO.</t>
  </si>
  <si>
    <t>CABALLITO O226</t>
  </si>
  <si>
    <t>SE TOMA CONOCIMIENTO MEDIANTE CARTA SAE POR DFENUNCIANTE INFORMA QUE SU VECINO SE ENCUENTRA PATEANDO LA PUERTA DEL DEPARTAMENTO DE SU VECINA. SE VISUALIZA POR CAMARA A PERSONAL POLICIAL EN EL LUGAR. SE AMPLIA QUE  COSULTA   UFLA OESTE AC DR CORRAL GALVANO  ACT POR 183 DAÑOS M EN CONTEXTO DE VIOLECNIA DE GENERO AVALA LA DETENCION DEL MASCULINO</t>
  </si>
  <si>
    <t>BALVANERA O106</t>
  </si>
  <si>
    <t>SE VISUALIZA POR CAMARA A MASCULINO OFICIANDO DE LIMPIAVIDRIOS. SE GENERA CONSTANCIA SAE. SE OBSERVA QUE EN LA REQUISA EL MISMO POSEE ELEMENTO ARMA DE FUEGO. SE AMPLIA QUE OP VIA PUBLICA , SE HIZO CONSULTA CON LA  UFLA ESTE DRA SANCHEZ ACTA CONTRAV ART 91 Y 103  NOTIFICACION DEL ART  DEL 239. SE SECUESTRA EL ARMA EN MENCION , UNA REJILLA LIMPIAVIDRIO Y UN RECIBO DE COMPRA DEL ARMA .-</t>
  </si>
  <si>
    <t>*NO CARGA IMPUTADO- *</t>
  </si>
  <si>
    <t>*CIERRA COLABORACION CON INTERVENCION DIRECTA Y TIPIFICA COMO INCIDENCIA SIENDO QUE EL PERSONAL POLICIAL DESDE EL LUGAR SOLICITA LINEA DE TIEMPO</t>
  </si>
  <si>
    <t>COLABORACION CON INTERVENCION DIRECTA</t>
  </si>
  <si>
    <t>*NO CARGA DETENIDOS</t>
  </si>
  <si>
    <t>*NO CARGA HORARIOS</t>
  </si>
  <si>
    <t>*NO CARGA COMUNA</t>
  </si>
  <si>
    <t>*NO CARGA HORARIOS* - *NO GAP</t>
  </si>
  <si>
    <t>*NO APORTAMOS LINEA DEL HECHO, APORTAMOS EL PASO UNICAMENTE PERO NO CONSTATAMOS SI SE TRATA DE LAS MISMAS PERSONAS VISUALIZADAS QUIENES SON DETENIDAS</t>
  </si>
  <si>
    <t>INTEGRADO</t>
  </si>
  <si>
    <t xml:space="preserve">*MOVIL SOLICITA LINEA DE TIEMPO, NO SE APORTA LINEA DE TIEMPO UNICAMENTE SE VISUALIZA AL MASCULINO EN EL LUGAR. </t>
  </si>
  <si>
    <t>NO CARGA IMPUTADO- * NO CARGA HORARIOS</t>
  </si>
  <si>
    <t>*CARGA IMPUTADO NO HABIENDO</t>
  </si>
  <si>
    <t>ART 103</t>
  </si>
  <si>
    <t>SE TOMA CONOCIMIENTO MEDIANTE CARTA SAE N° 48375961 QUE DENUNCIANTE REFIERE QUE HABRÍAN ROBADO EN UN LOCAL DE ACCESORIOS PARA CELULARES CON UN CORTA CADENAS SOBRE CALLE JUAN DE GARAY Y LLAMANTE ESTÁ SIGUIENDO AL QUE ROBÓ. SIENDO LAS 00:34 HS. SE TOMA CÁMARA CONSTITUCIÓN82 EMPLAZADA EN SALTA 1190 Y SAN JUAN DONDE SE VISUALIZA A PERSONAL POLICIAL EN EL LUGAR IDENTIFICANDO. ASÍ MISMO SE TOMA A LAS 00:37 HS. LA CÁMARA CONSTITUCIÓN14 EMPLAZADA EN COCHABAMBA 1194 Y SALTA DONDE SE VISUALIZA PERSONAL POLICIAL ENTREVISTANDO. SIENDO LAS 00:46 SE RETIRA PERSONAL POLICIAL DE CÁMARA CONSTITUCIÓN 82. SIENDO LAS 00:59 HS. SE RETIRA PERSONAL POLICIAL DE LA CÁMARA CONSTITUCIÓN14 DANDO ASÍ POR FINALIZADO EL EVENTO. POSTERIORMENTE SE AMPLÍA MEDIANTE CARTA SAE QUE SE DIO CON DOS MASCULINOS AL ARRIBAR EN BOLSA POSEÍA AURICULAR FUNDA PARLANTE QUE NO FUNCIONA SEGÚN DICHOS DE LOS MASCULINOS LOS ENCONTRARON EN VOLQUETES PERO SON TODAS COSAS VIEJAS. ASÍ MISMO SE VERIFICÓ EL LUGAR E INMEDIACIONES NO HAY COMERCIOS CON SIGNOS DE VIOLENCIA. NO SE DIO CON LLAMANTE.</t>
  </si>
  <si>
    <t>SIENDO LAS 00:55 HS. SE VISUALIZA POR CÁMARA CONSTITUCION74 EMPLAZADA EN JUAN DE GARAY 1301 Y SANTIAGO DEL ESTERO A TRES MASCULINO DEL CUAL UNO SE ENCONTRABA MANIPULANDO UN CUCHILLO MISMO QUE GUARDA ENTRE SUS PRENDAS. SE DA AVISO A COMANDO GENERANDO CARTA SAE N° 48376062. EL MASCULINO QUE MANIPULABA EL CUCHILLO VISTE CAMPERA NEGRA COLOCADA PANTALÓN NEGRO TIPO JOGGING ZAPATILLAS BLANCAS MOCHILA CAMUFLADO TIPO MILITAR MARRÓN. EL SEGUNDO MASCULINO VISTE UN BUZO GRIS CON UNA CAMPERA COLOCADA NEGRA ABIERTA CON CAPUCHA PANTALÓN DE JEAN CELESTE ZAPATILLAS NEGRAS. EL TERCER MASCULINO VISTE CAMPERA NEGRA CON CAPUCHA Y VISERA COLOCADA PANTALÓN NEGRO Y ZAPATILLAS NEGRAS EL M ISMO TIENE UNA BOLSA DE RESIDUO. 00:59 HS. ARRIBA PERSONAL POLICIAL AL LUGAR DANDO CON LOS TRES MASCULINOS PROCEDE A IDENTIFICAROS Y REQUISARLOS. 01:10 HS. PERSONAL POLICIAL DA SOLTURA A LOS MASCULINOS MISMOS SE RETIRA POR SUS PROPIOS MEDIOS. 01:11 HS. SE RETIRA PERSONAL POLICIAL DEL LUGAR DANDO POR FINALIZADO EL EVENTO. SE AMPLÍA MEDIANTE CARTA SAE QUE MÓVIL IDENTIFICA SIN NOVEDAD NO CONSTATA LO INDICADO.</t>
  </si>
  <si>
    <t>SE TOMA CONOCIMIENTO MEDIANTE CARTA SAE N°48376229 MASCULINO DAMNIFICADO DE ILÍCITO HERIDA DE ARMA BLANCA. 01:54HS. SE TOMA CÁMARA VILLA RIACHUELO19 EMPLAZADA EN GRAL. PAZ 15902 Y CHILAVERT VISUALIZANDO A PERSONAL POLICIAL CON UN MASCULINO EL CUAL ESTARÍA HERIDO. 02:07HS. ARRIBA SAME. 02:15HS. SE RETIRA SAME CON TRASLADO. 02:21HS. SE RETIRA PERSONAL POLICIAL DANDO POR FINALIZADO ESTE EVENTO. SE AMPLIA MEDIANTE CARTA SAE QUE DESTACAMENTO CHILAVERT SAME INTERNO 414 CESAC 3 A CARGO DE LA DRA. ANACLETO MN 204641 ASISTE Y DERIVA AL HOSPITAL GRIERSON DIAGNOSTICO HERIDA PUNZO CORTANTE EN MIEMBRO INFERIOR DERECHO. ARRIBO MÓVIL AG317EN A CARGO SARGENTO RUIZ DIAZ MARIEL LP 472693. TOMO CONOCIMIENTO Y SE RETIRO. DESTACAMENTO AMPLIA BREVE RESEÑA EL HECHO ACONTECIÓ EL GENERAL PINTO Y RAVA LADO PROVINCIA ES POR LO CUAL EL DAMNIFICADO SALIO CORRIENDO A PIE HASTA DESTACAMENTO SOLICITANDO AUXILIO APORTA LO ANTES MENCIONADO DOS MASCULINO DETIENE SU MARCHA LOS MISMOS CON ARMA BLANCA Y COMETEN ILÍCITO LE SUSTRAEN EL VEHÍCULO LO LESIONAN Y SE DAN A LA FUGA PARA LADO PROVINCIA PUENTE LA NORIA INFORMA. SE REALIZO CONSULTA FISCALÍA NACIONAL CRIMINAL CORRECCIONAL N° 61 A CARGO DRA. RETES SECRETARIA ÚNICA A CARGO DE LA DRA. ALONSO DISPUSO LABRAR ACTUACIONES POR ROBO A MANO ARMADA.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</si>
</sst>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F400]h:mm:ss\ AM/PM"/>
    <numFmt numFmtId="171" formatCode="h:mm;@"/>
  </numFmts>
  <fonts count="19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rgb="FF000000"/>
      <name val="Calibri"/>
      <family val="2"/>
    </font>
    <font>
      <sz val="11"/>
      <color theme="1"/>
      <name val="Calibri"/>
      <family val="2"/>
    </font>
    <font>
      <sz val="12"/>
      <color theme="1"/>
      <name val="Calibri"/>
      <family val="2"/>
      <scheme val="minor"/>
    </font>
    <font>
      <sz val="10"/>
      <color theme="1"/>
      <name val="Arial"/>
      <family val="2"/>
    </font>
    <font>
      <sz val="11"/>
      <name val="Calibri"/>
      <family val="2"/>
      <scheme val="minor"/>
    </font>
    <font>
      <sz val="12"/>
      <color rgb="FF000000"/>
      <name val="Calibri"/>
      <family val="2"/>
      <scheme val="minor"/>
    </font>
    <font>
      <sz val="11"/>
      <name val="Calibri"/>
      <family val="2"/>
    </font>
    <font>
      <sz val="10"/>
      <color rgb="FF000000"/>
      <name val="Calibri"/>
      <family val="2"/>
    </font>
    <font>
      <sz val="10"/>
      <name val="Microsoft Tai Le"/>
      <family val="2"/>
    </font>
    <font>
      <b/>
      <sz val="12"/>
      <color theme="1"/>
      <name val="Calibri"/>
      <family val="2"/>
      <scheme val="minor"/>
    </font>
    <font>
      <b/>
      <sz val="12"/>
      <color indexed="8"/>
      <name val="Calibri"/>
      <family val="2"/>
    </font>
    <font>
      <b/>
      <sz val="10"/>
      <color rgb="FF000000"/>
      <name val="Liberation Sans"/>
      <family val="2"/>
    </font>
    <font>
      <sz val="10"/>
      <color rgb="FFFFFFFF"/>
      <name val="Liberation Sans"/>
      <family val="2"/>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
      <family val="2"/>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family val="2"/>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family val="1"/>
    </font>
    <font>
      <i/>
      <sz val="10"/>
      <color rgb="FF808080"/>
      <name val="Liberation Sans"/>
      <family val="2"/>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
      <family val="2"/>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family val="2"/>
    </font>
    <font>
      <sz val="11"/>
      <color rgb="FF000000"/>
      <name val="Liberation Sans"/>
      <family val="2"/>
    </font>
    <font>
      <b/>
      <i/>
      <sz val="16"/>
      <color rgb="FF000000"/>
      <name val="Arial"/>
      <family val="2"/>
    </font>
    <font>
      <b/>
      <sz val="24"/>
      <color rgb="FF000000"/>
      <name val="Liberation Sans"/>
      <family val="2"/>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000000"/>
      <name val="Liberation Sans"/>
      <family val="2"/>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000000"/>
      <name val="Liberation Sans"/>
      <family val="2"/>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Liberation Sans"/>
      <family val="2"/>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u/>
      <sz val="10"/>
      <color rgb="FF0000EE"/>
      <name val="Liberation Sans"/>
      <family val="2"/>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family val="2"/>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MS Sans Serif"/>
      <charset val="134"/>
    </font>
    <font>
      <sz val="10"/>
      <name val="Arial"/>
      <family val="2"/>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family val="2"/>
    </font>
    <font>
      <sz val="10"/>
      <color rgb="FF000000"/>
      <name val="Arial3"/>
      <charset val="134"/>
    </font>
    <font>
      <sz val="11"/>
      <color rgb="FF333333"/>
      <name val="Calibri"/>
      <family val="2"/>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
      <family val="2"/>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family val="2"/>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family val="2"/>
    </font>
    <font>
      <b/>
      <i/>
      <u/>
      <sz val="11"/>
      <color rgb="FF000000"/>
      <name val="Arial1"/>
      <charset val="134"/>
    </font>
    <font>
      <sz val="11"/>
      <color theme="1"/>
      <name val="Calibri"/>
      <family val="2"/>
      <scheme val="minor"/>
    </font>
    <font>
      <sz val="10"/>
      <color rgb="FFF9FAFB"/>
      <name val="Consolas"/>
      <family val="3"/>
    </font>
    <font>
      <b/>
      <sz val="12"/>
      <color indexed="8"/>
      <name val="Calibri"/>
      <family val="2"/>
    </font>
    <font>
      <b/>
      <i/>
      <sz val="11"/>
      <color theme="1"/>
      <name val="Calibri"/>
      <family val="2"/>
      <scheme val="minor"/>
    </font>
    <font>
      <b/>
      <sz val="14"/>
      <color theme="1"/>
      <name val="Calibri"/>
      <family val="2"/>
      <scheme val="minor"/>
    </font>
  </fonts>
  <fills count="35">
    <fill>
      <patternFill patternType="none"/>
    </fill>
    <fill>
      <patternFill patternType="gray125"/>
    </fill>
    <fill>
      <patternFill patternType="solid">
        <fgColor theme="0" tint="-0.249977111117893"/>
        <bgColor indexed="64"/>
      </patternFill>
    </fill>
    <fill>
      <patternFill patternType="solid">
        <fgColor rgb="FFA6A6A6"/>
        <bgColor indexed="64"/>
      </patternFill>
    </fill>
    <fill>
      <patternFill patternType="solid">
        <fgColor rgb="FFBFBFBF"/>
        <bgColor rgb="FF000000"/>
      </patternFill>
    </fill>
    <fill>
      <patternFill patternType="solid">
        <fgColor theme="9" tint="0.59999389629810485"/>
        <bgColor indexed="64"/>
      </patternFill>
    </fill>
    <fill>
      <patternFill patternType="solid">
        <fgColor theme="7" tint="0.59999389629810485"/>
        <bgColor indexed="64"/>
      </patternFill>
    </fill>
    <fill>
      <patternFill patternType="solid">
        <fgColor rgb="FFBFBFBF"/>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FCCCC"/>
      </patternFill>
    </fill>
    <fill>
      <patternFill patternType="solid">
        <fgColor rgb="FFFFCCCC"/>
        <bgColor rgb="FFF8CBAD"/>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CCFFCC"/>
      </patternFill>
    </fill>
    <fill>
      <patternFill patternType="solid">
        <fgColor rgb="FFCCFFCC"/>
        <bgColor rgb="FFDEEBF7"/>
      </patternFill>
    </fill>
    <fill>
      <patternFill patternType="solid">
        <fgColor rgb="FFFFFFCC"/>
        <bgColor rgb="FFFFFFD7"/>
      </patternFill>
    </fill>
    <fill>
      <patternFill patternType="solid">
        <fgColor rgb="FFFFFFCC"/>
        <bgColor rgb="FFFFFFCC"/>
      </patternFill>
    </fill>
    <fill>
      <patternFill patternType="solid">
        <fgColor theme="0"/>
        <bgColor indexed="64"/>
      </patternFill>
    </fill>
    <fill>
      <patternFill patternType="solid">
        <fgColor rgb="FFFF0000"/>
        <bgColor indexed="64"/>
      </patternFill>
    </fill>
    <fill>
      <patternFill patternType="solid">
        <fgColor rgb="FFFFCCFF"/>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medium">
        <color auto="1"/>
      </bottom>
      <diagonal/>
    </border>
    <border>
      <left style="medium">
        <color auto="1"/>
      </left>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thin">
        <color auto="1"/>
      </left>
      <right/>
      <top/>
      <bottom/>
      <diagonal/>
    </border>
    <border>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thin">
        <color auto="1"/>
      </left>
      <right/>
      <top style="thin">
        <color auto="1"/>
      </top>
      <bottom style="thin">
        <color auto="1"/>
      </bottom>
      <diagonal/>
    </border>
  </borders>
  <cellStyleXfs count="431">
    <xf numFmtId="0" fontId="0" fillId="0" borderId="0"/>
    <xf numFmtId="0" fontId="23" fillId="0" borderId="0" applyNumberFormat="0" applyBorder="0" applyProtection="0"/>
    <xf numFmtId="0" fontId="24" fillId="10" borderId="0" applyNumberFormat="0" applyBorder="0" applyProtection="0"/>
    <xf numFmtId="0" fontId="25" fillId="11" borderId="0" applyBorder="0" applyProtection="0"/>
    <xf numFmtId="164" fontId="26" fillId="11" borderId="0" applyBorder="0" applyProtection="0"/>
    <xf numFmtId="164" fontId="27" fillId="12" borderId="0" applyBorder="0" applyProtection="0"/>
    <xf numFmtId="164" fontId="27" fillId="12" borderId="0" applyBorder="0" applyProtection="0"/>
    <xf numFmtId="164" fontId="28" fillId="13" borderId="0"/>
    <xf numFmtId="164" fontId="28" fillId="13" borderId="0"/>
    <xf numFmtId="164" fontId="29" fillId="10" borderId="0"/>
    <xf numFmtId="0" fontId="30" fillId="10" borderId="0"/>
    <xf numFmtId="0" fontId="31" fillId="10" borderId="0"/>
    <xf numFmtId="164" fontId="32" fillId="12" borderId="0" applyBorder="0" applyProtection="0"/>
    <xf numFmtId="164" fontId="32" fillId="12" borderId="0" applyBorder="0" applyProtection="0"/>
    <xf numFmtId="164" fontId="33" fillId="13" borderId="0"/>
    <xf numFmtId="164" fontId="33" fillId="13" borderId="0"/>
    <xf numFmtId="164" fontId="32" fillId="12" borderId="0" applyBorder="0" applyProtection="0"/>
    <xf numFmtId="164" fontId="32" fillId="12" borderId="0" applyBorder="0" applyProtection="0"/>
    <xf numFmtId="164" fontId="33" fillId="13" borderId="0"/>
    <xf numFmtId="164" fontId="33" fillId="13" borderId="0"/>
    <xf numFmtId="164" fontId="34" fillId="11" borderId="0" applyBorder="0" applyProtection="0"/>
    <xf numFmtId="164" fontId="35" fillId="10" borderId="0"/>
    <xf numFmtId="0" fontId="25" fillId="11" borderId="0" applyBorder="0" applyProtection="0"/>
    <xf numFmtId="0" fontId="31" fillId="10" borderId="0"/>
    <xf numFmtId="0" fontId="24" fillId="14" borderId="0" applyNumberFormat="0" applyBorder="0" applyProtection="0"/>
    <xf numFmtId="0" fontId="25" fillId="15" borderId="0" applyBorder="0" applyProtection="0"/>
    <xf numFmtId="0" fontId="25" fillId="15" borderId="0" applyBorder="0" applyProtection="0"/>
    <xf numFmtId="0" fontId="31" fillId="14" borderId="0"/>
    <xf numFmtId="0" fontId="31" fillId="14" borderId="0"/>
    <xf numFmtId="0" fontId="25" fillId="15" borderId="0" applyBorder="0" applyProtection="0"/>
    <xf numFmtId="164" fontId="26" fillId="15" borderId="0" applyBorder="0" applyProtection="0"/>
    <xf numFmtId="164" fontId="27" fillId="15" borderId="0" applyBorder="0" applyProtection="0"/>
    <xf numFmtId="164" fontId="27" fillId="15" borderId="0" applyBorder="0" applyProtection="0"/>
    <xf numFmtId="164" fontId="28" fillId="14" borderId="0"/>
    <xf numFmtId="164" fontId="28" fillId="14" borderId="0"/>
    <xf numFmtId="164" fontId="26" fillId="15" borderId="0" applyBorder="0" applyProtection="0"/>
    <xf numFmtId="164" fontId="29" fillId="14" borderId="0"/>
    <xf numFmtId="164" fontId="29" fillId="14" borderId="0"/>
    <xf numFmtId="0" fontId="30" fillId="14" borderId="0"/>
    <xf numFmtId="0" fontId="31" fillId="14" borderId="0"/>
    <xf numFmtId="164" fontId="32" fillId="15" borderId="0" applyBorder="0" applyProtection="0"/>
    <xf numFmtId="164" fontId="32" fillId="15" borderId="0" applyBorder="0" applyProtection="0"/>
    <xf numFmtId="164" fontId="33" fillId="14" borderId="0"/>
    <xf numFmtId="164" fontId="33" fillId="14" borderId="0"/>
    <xf numFmtId="164" fontId="32" fillId="15" borderId="0" applyBorder="0" applyProtection="0"/>
    <xf numFmtId="164" fontId="32" fillId="15" borderId="0" applyBorder="0" applyProtection="0"/>
    <xf numFmtId="164" fontId="33" fillId="14" borderId="0"/>
    <xf numFmtId="164" fontId="33" fillId="14" borderId="0"/>
    <xf numFmtId="164" fontId="34" fillId="15" borderId="0" applyBorder="0" applyProtection="0"/>
    <xf numFmtId="164" fontId="34" fillId="15" borderId="0" applyBorder="0" applyProtection="0"/>
    <xf numFmtId="164" fontId="35" fillId="14" borderId="0"/>
    <xf numFmtId="164" fontId="35" fillId="14" borderId="0"/>
    <xf numFmtId="0" fontId="23" fillId="16" borderId="0" applyNumberFormat="0" applyBorder="0" applyProtection="0"/>
    <xf numFmtId="164" fontId="36" fillId="17" borderId="0" applyBorder="0" applyProtection="0"/>
    <xf numFmtId="164" fontId="36" fillId="17" borderId="0" applyBorder="0" applyProtection="0"/>
    <xf numFmtId="164" fontId="37" fillId="18" borderId="0"/>
    <xf numFmtId="164" fontId="37" fillId="18" borderId="0"/>
    <xf numFmtId="0" fontId="38" fillId="19" borderId="0" applyBorder="0" applyProtection="0"/>
    <xf numFmtId="0" fontId="38" fillId="19" borderId="0" applyBorder="0" applyProtection="0"/>
    <xf numFmtId="0" fontId="39" fillId="16" borderId="0"/>
    <xf numFmtId="0" fontId="39" fillId="16" borderId="0"/>
    <xf numFmtId="0" fontId="38" fillId="19" borderId="0" applyBorder="0" applyProtection="0"/>
    <xf numFmtId="164" fontId="40" fillId="17" borderId="0" applyBorder="0" applyProtection="0"/>
    <xf numFmtId="164" fontId="41" fillId="19" borderId="0" applyBorder="0" applyProtection="0"/>
    <xf numFmtId="164" fontId="41" fillId="19" borderId="0" applyBorder="0" applyProtection="0"/>
    <xf numFmtId="164" fontId="42" fillId="16" borderId="0"/>
    <xf numFmtId="164" fontId="42" fillId="16" borderId="0"/>
    <xf numFmtId="164" fontId="40" fillId="17" borderId="0" applyBorder="0" applyProtection="0"/>
    <xf numFmtId="164" fontId="43" fillId="18" borderId="0"/>
    <xf numFmtId="164" fontId="43" fillId="18" borderId="0"/>
    <xf numFmtId="0" fontId="44" fillId="16" borderId="0"/>
    <xf numFmtId="0" fontId="39" fillId="16" borderId="0"/>
    <xf numFmtId="164" fontId="45" fillId="19" borderId="0" applyBorder="0" applyProtection="0"/>
    <xf numFmtId="164" fontId="45" fillId="19" borderId="0" applyBorder="0" applyProtection="0"/>
    <xf numFmtId="164" fontId="46" fillId="16" borderId="0"/>
    <xf numFmtId="164" fontId="46" fillId="16" borderId="0"/>
    <xf numFmtId="164" fontId="45" fillId="19" borderId="0" applyBorder="0" applyProtection="0"/>
    <xf numFmtId="164" fontId="45" fillId="19" borderId="0" applyBorder="0" applyProtection="0"/>
    <xf numFmtId="164" fontId="46" fillId="16" borderId="0"/>
    <xf numFmtId="164" fontId="46" fillId="16" borderId="0"/>
    <xf numFmtId="164" fontId="40" fillId="0" borderId="0" applyBorder="0" applyProtection="0"/>
    <xf numFmtId="164" fontId="41" fillId="0" borderId="0" applyBorder="0" applyProtection="0"/>
    <xf numFmtId="164" fontId="42" fillId="0" borderId="0"/>
    <xf numFmtId="164" fontId="43" fillId="0" borderId="0"/>
    <xf numFmtId="164" fontId="45" fillId="0" borderId="0" applyBorder="0" applyProtection="0"/>
    <xf numFmtId="164" fontId="46" fillId="0" borderId="0"/>
    <xf numFmtId="164" fontId="45" fillId="0" borderId="0" applyBorder="0" applyProtection="0"/>
    <xf numFmtId="164" fontId="46" fillId="0" borderId="0"/>
    <xf numFmtId="164" fontId="36" fillId="0" borderId="0" applyBorder="0" applyProtection="0"/>
    <xf numFmtId="164" fontId="37" fillId="0" borderId="0"/>
    <xf numFmtId="0" fontId="38" fillId="0" borderId="0" applyBorder="0" applyProtection="0"/>
    <xf numFmtId="0" fontId="39" fillId="0" borderId="0"/>
    <xf numFmtId="0" fontId="44" fillId="0" borderId="0"/>
    <xf numFmtId="0" fontId="38" fillId="0" borderId="0" applyBorder="0" applyProtection="0"/>
    <xf numFmtId="0" fontId="39" fillId="0" borderId="0"/>
    <xf numFmtId="0" fontId="47" fillId="20" borderId="0" applyNumberFormat="0" applyBorder="0" applyProtection="0"/>
    <xf numFmtId="164" fontId="48" fillId="21" borderId="0" applyBorder="0" applyProtection="0"/>
    <xf numFmtId="164" fontId="49" fillId="20" borderId="0"/>
    <xf numFmtId="164" fontId="50" fillId="22" borderId="0" applyBorder="0" applyProtection="0"/>
    <xf numFmtId="164" fontId="51" fillId="23" borderId="0"/>
    <xf numFmtId="0" fontId="52" fillId="21" borderId="0" applyBorder="0" applyProtection="0"/>
    <xf numFmtId="0" fontId="53" fillId="20" borderId="0"/>
    <xf numFmtId="0" fontId="52" fillId="21" borderId="0" applyBorder="0" applyProtection="0"/>
    <xf numFmtId="164" fontId="54" fillId="22" borderId="0" applyBorder="0" applyProtection="0"/>
    <xf numFmtId="164" fontId="55" fillId="21" borderId="0" applyBorder="0" applyProtection="0"/>
    <xf numFmtId="164" fontId="56" fillId="20" borderId="0"/>
    <xf numFmtId="164" fontId="57" fillId="23" borderId="0"/>
    <xf numFmtId="0" fontId="58" fillId="20" borderId="0"/>
    <xf numFmtId="0" fontId="53" fillId="20" borderId="0"/>
    <xf numFmtId="164" fontId="48" fillId="21" borderId="0" applyBorder="0" applyProtection="0"/>
    <xf numFmtId="164" fontId="49" fillId="20" borderId="0"/>
    <xf numFmtId="0" fontId="59" fillId="24" borderId="0" applyNumberFormat="0" applyBorder="0" applyProtection="0"/>
    <xf numFmtId="164" fontId="60" fillId="25" borderId="0" applyBorder="0" applyProtection="0"/>
    <xf numFmtId="164" fontId="61" fillId="24" borderId="0"/>
    <xf numFmtId="164" fontId="60" fillId="25" borderId="0" applyBorder="0" applyProtection="0"/>
    <xf numFmtId="164" fontId="61" fillId="24" borderId="0"/>
    <xf numFmtId="164" fontId="62" fillId="26" borderId="0" applyBorder="0" applyProtection="0"/>
    <xf numFmtId="164" fontId="63" fillId="27" borderId="0"/>
    <xf numFmtId="0" fontId="64" fillId="25" borderId="0" applyBorder="0" applyProtection="0"/>
    <xf numFmtId="0" fontId="65" fillId="24" borderId="0"/>
    <xf numFmtId="0" fontId="64" fillId="25" borderId="0" applyBorder="0" applyProtection="0"/>
    <xf numFmtId="164" fontId="66" fillId="26" borderId="0" applyBorder="0" applyProtection="0"/>
    <xf numFmtId="164" fontId="67" fillId="25" borderId="0" applyBorder="0" applyProtection="0"/>
    <xf numFmtId="164" fontId="68" fillId="24" borderId="0"/>
    <xf numFmtId="164" fontId="69" fillId="27" borderId="0"/>
    <xf numFmtId="0" fontId="70" fillId="24" borderId="0"/>
    <xf numFmtId="0" fontId="65" fillId="24" borderId="0"/>
    <xf numFmtId="164" fontId="12" fillId="0" borderId="0"/>
    <xf numFmtId="164" fontId="71" fillId="0" borderId="0"/>
    <xf numFmtId="164" fontId="72" fillId="0" borderId="0" applyBorder="0" applyProtection="0"/>
    <xf numFmtId="0" fontId="11" fillId="0" borderId="0" applyBorder="0" applyProtection="0"/>
    <xf numFmtId="164" fontId="12" fillId="0" borderId="0" applyBorder="0" applyProtection="0"/>
    <xf numFmtId="164" fontId="12" fillId="0" borderId="0" applyBorder="0" applyProtection="0"/>
    <xf numFmtId="0" fontId="73" fillId="0" borderId="0" applyNumberFormat="0" applyBorder="0" applyProtection="0"/>
    <xf numFmtId="164" fontId="74" fillId="0" borderId="0" applyBorder="0" applyProtection="0"/>
    <xf numFmtId="164" fontId="75" fillId="0" borderId="0"/>
    <xf numFmtId="164" fontId="74" fillId="0" borderId="0" applyBorder="0" applyProtection="0"/>
    <xf numFmtId="164" fontId="75" fillId="0" borderId="0"/>
    <xf numFmtId="164" fontId="74" fillId="0" borderId="0" applyBorder="0" applyProtection="0"/>
    <xf numFmtId="164" fontId="75" fillId="0" borderId="0"/>
    <xf numFmtId="0" fontId="76" fillId="0" borderId="0" applyBorder="0" applyProtection="0"/>
    <xf numFmtId="0" fontId="77" fillId="0" borderId="0"/>
    <xf numFmtId="0" fontId="76" fillId="0" borderId="0" applyBorder="0" applyProtection="0"/>
    <xf numFmtId="164" fontId="78" fillId="0" borderId="0" applyBorder="0" applyProtection="0"/>
    <xf numFmtId="164" fontId="78" fillId="0" borderId="0" applyBorder="0" applyProtection="0"/>
    <xf numFmtId="164" fontId="79" fillId="0" borderId="0"/>
    <xf numFmtId="164" fontId="79" fillId="0" borderId="0"/>
    <xf numFmtId="0" fontId="80" fillId="0" borderId="0"/>
    <xf numFmtId="0" fontId="77" fillId="0" borderId="0"/>
    <xf numFmtId="0" fontId="81" fillId="28" borderId="0" applyNumberFormat="0" applyBorder="0" applyProtection="0"/>
    <xf numFmtId="164" fontId="82" fillId="29" borderId="0" applyBorder="0" applyProtection="0"/>
    <xf numFmtId="164" fontId="83" fillId="28" borderId="0"/>
    <xf numFmtId="164" fontId="82" fillId="29" borderId="0" applyBorder="0" applyProtection="0"/>
    <xf numFmtId="164" fontId="83" fillId="28" borderId="0"/>
    <xf numFmtId="164" fontId="84" fillId="29" borderId="0" applyBorder="0" applyProtection="0"/>
    <xf numFmtId="164" fontId="85" fillId="28" borderId="0"/>
    <xf numFmtId="0" fontId="86" fillId="29" borderId="0" applyBorder="0" applyProtection="0"/>
    <xf numFmtId="0" fontId="87" fillId="28" borderId="0"/>
    <xf numFmtId="0" fontId="86" fillId="29" borderId="0" applyBorder="0" applyProtection="0"/>
    <xf numFmtId="164" fontId="88" fillId="29" borderId="0" applyBorder="0" applyProtection="0"/>
    <xf numFmtId="164" fontId="89" fillId="29" borderId="0" applyBorder="0" applyProtection="0"/>
    <xf numFmtId="164" fontId="90" fillId="28" borderId="0"/>
    <xf numFmtId="164" fontId="91" fillId="28" borderId="0"/>
    <xf numFmtId="0" fontId="92" fillId="28" borderId="0"/>
    <xf numFmtId="0" fontId="87" fillId="28" borderId="0"/>
    <xf numFmtId="0" fontId="93" fillId="0" borderId="0" applyNumberFormat="0" applyFont="0" applyFill="0" applyBorder="0" applyAlignment="0" applyProtection="0"/>
    <xf numFmtId="0" fontId="94" fillId="0" borderId="0" applyNumberFormat="0" applyFont="0" applyBorder="0" applyProtection="0"/>
    <xf numFmtId="0" fontId="95" fillId="0" borderId="0" applyNumberFormat="0" applyBorder="0" applyProtection="0">
      <alignment horizontal="center"/>
    </xf>
    <xf numFmtId="0" fontId="96" fillId="0" borderId="0" applyNumberFormat="0" applyBorder="0" applyProtection="0"/>
    <xf numFmtId="164" fontId="97" fillId="0" borderId="0"/>
    <xf numFmtId="164" fontId="98" fillId="0" borderId="0" applyBorder="0" applyProtection="0"/>
    <xf numFmtId="164" fontId="97" fillId="0" borderId="0"/>
    <xf numFmtId="164" fontId="99" fillId="0" borderId="0" applyBorder="0" applyProtection="0"/>
    <xf numFmtId="164" fontId="100" fillId="0" borderId="0"/>
    <xf numFmtId="164" fontId="99" fillId="0" borderId="0" applyBorder="0" applyProtection="0"/>
    <xf numFmtId="164" fontId="100" fillId="0" borderId="0"/>
    <xf numFmtId="164" fontId="98" fillId="0" borderId="0" applyBorder="0" applyProtection="0"/>
    <xf numFmtId="164" fontId="97" fillId="0" borderId="0"/>
    <xf numFmtId="0" fontId="101" fillId="0" borderId="0" applyBorder="0" applyProtection="0"/>
    <xf numFmtId="0" fontId="102" fillId="0" borderId="0"/>
    <xf numFmtId="0" fontId="101" fillId="0" borderId="0" applyBorder="0" applyProtection="0"/>
    <xf numFmtId="164" fontId="103" fillId="0" borderId="0" applyBorder="0" applyProtection="0"/>
    <xf numFmtId="164" fontId="104" fillId="0" borderId="0" applyBorder="0" applyProtection="0"/>
    <xf numFmtId="164" fontId="105" fillId="0" borderId="0"/>
    <xf numFmtId="164" fontId="106" fillId="0" borderId="0"/>
    <xf numFmtId="0" fontId="107" fillId="0" borderId="0"/>
    <xf numFmtId="0" fontId="107" fillId="0" borderId="0"/>
    <xf numFmtId="0" fontId="102" fillId="0" borderId="0"/>
    <xf numFmtId="0" fontId="108" fillId="0" borderId="0" applyNumberFormat="0" applyBorder="0" applyProtection="0"/>
    <xf numFmtId="164" fontId="109" fillId="0" borderId="0" applyBorder="0" applyProtection="0"/>
    <xf numFmtId="164" fontId="110" fillId="0" borderId="0"/>
    <xf numFmtId="164" fontId="109" fillId="0" borderId="0" applyBorder="0" applyProtection="0"/>
    <xf numFmtId="164" fontId="110" fillId="0" borderId="0"/>
    <xf numFmtId="164" fontId="111" fillId="0" borderId="0" applyBorder="0" applyProtection="0"/>
    <xf numFmtId="164" fontId="112" fillId="0" borderId="0"/>
    <xf numFmtId="0" fontId="113" fillId="0" borderId="0" applyBorder="0" applyProtection="0"/>
    <xf numFmtId="0" fontId="114" fillId="0" borderId="0"/>
    <xf numFmtId="0" fontId="113" fillId="0" borderId="0" applyBorder="0" applyProtection="0"/>
    <xf numFmtId="164" fontId="115" fillId="0" borderId="0" applyBorder="0" applyProtection="0"/>
    <xf numFmtId="164" fontId="116" fillId="0" borderId="0" applyBorder="0" applyProtection="0"/>
    <xf numFmtId="164" fontId="117" fillId="0" borderId="0"/>
    <xf numFmtId="164" fontId="118" fillId="0" borderId="0"/>
    <xf numFmtId="0" fontId="119" fillId="0" borderId="0"/>
    <xf numFmtId="0" fontId="114" fillId="0" borderId="0"/>
    <xf numFmtId="0" fontId="120" fillId="0" borderId="0" applyNumberFormat="0" applyBorder="0" applyProtection="0"/>
    <xf numFmtId="164" fontId="121" fillId="0" borderId="0" applyBorder="0" applyProtection="0"/>
    <xf numFmtId="164" fontId="122" fillId="0" borderId="0"/>
    <xf numFmtId="164" fontId="121" fillId="0" borderId="0" applyBorder="0" applyProtection="0"/>
    <xf numFmtId="164" fontId="122" fillId="0" borderId="0"/>
    <xf numFmtId="164" fontId="123" fillId="0" borderId="0" applyBorder="0" applyProtection="0"/>
    <xf numFmtId="164" fontId="124" fillId="0" borderId="0"/>
    <xf numFmtId="0" fontId="125" fillId="0" borderId="0" applyBorder="0" applyProtection="0"/>
    <xf numFmtId="0" fontId="126" fillId="0" borderId="0"/>
    <xf numFmtId="0" fontId="125" fillId="0" borderId="0" applyBorder="0" applyProtection="0"/>
    <xf numFmtId="164" fontId="127" fillId="0" borderId="0" applyBorder="0" applyProtection="0"/>
    <xf numFmtId="164" fontId="128" fillId="0" borderId="0" applyBorder="0" applyProtection="0"/>
    <xf numFmtId="164" fontId="129" fillId="0" borderId="0"/>
    <xf numFmtId="164" fontId="130" fillId="0" borderId="0"/>
    <xf numFmtId="0" fontId="131" fillId="0" borderId="0"/>
    <xf numFmtId="0" fontId="126" fillId="0" borderId="0"/>
    <xf numFmtId="0" fontId="132" fillId="0" borderId="0" applyNumberFormat="0" applyBorder="0" applyProtection="0">
      <alignment horizontal="center"/>
    </xf>
    <xf numFmtId="0" fontId="96" fillId="0" borderId="0" applyNumberFormat="0" applyBorder="0" applyProtection="0"/>
    <xf numFmtId="0" fontId="96" fillId="0" borderId="0" applyNumberFormat="0" applyBorder="0" applyProtection="0"/>
    <xf numFmtId="0" fontId="96" fillId="0" borderId="0" applyNumberFormat="0" applyBorder="0" applyProtection="0"/>
    <xf numFmtId="0" fontId="133" fillId="0" borderId="0">
      <alignment horizontal="center"/>
    </xf>
    <xf numFmtId="0" fontId="133" fillId="0" borderId="0">
      <alignment horizontal="center"/>
    </xf>
    <xf numFmtId="0" fontId="134" fillId="0" borderId="0">
      <alignment horizontal="center"/>
    </xf>
    <xf numFmtId="0" fontId="95" fillId="0" borderId="0" applyNumberFormat="0" applyBorder="0" applyProtection="0">
      <alignment horizontal="center" textRotation="90"/>
    </xf>
    <xf numFmtId="0" fontId="135" fillId="0" borderId="0" applyBorder="0" applyProtection="0">
      <alignment horizontal="center" textRotation="90"/>
    </xf>
    <xf numFmtId="164" fontId="98" fillId="0" borderId="0" applyBorder="0" applyProtection="0">
      <alignment horizontal="right" textRotation="90"/>
    </xf>
    <xf numFmtId="164" fontId="97" fillId="0" borderId="0">
      <alignment horizontal="right" textRotation="90"/>
    </xf>
    <xf numFmtId="0" fontId="134" fillId="0" borderId="0">
      <alignment horizontal="center" textRotation="90"/>
    </xf>
    <xf numFmtId="164" fontId="97" fillId="0" borderId="0">
      <alignment horizontal="right" textRotation="90"/>
    </xf>
    <xf numFmtId="164" fontId="136" fillId="0" borderId="0" applyBorder="0" applyProtection="0">
      <alignment horizontal="center" textRotation="90"/>
    </xf>
    <xf numFmtId="164" fontId="137" fillId="0" borderId="0">
      <alignment horizontal="center" textRotation="90"/>
    </xf>
    <xf numFmtId="164" fontId="99" fillId="0" borderId="0" applyBorder="0" applyProtection="0">
      <alignment horizontal="right" textRotation="90"/>
    </xf>
    <xf numFmtId="164" fontId="100" fillId="0" borderId="0">
      <alignment horizontal="right" textRotation="90"/>
    </xf>
    <xf numFmtId="0" fontId="132" fillId="0" borderId="0" applyNumberFormat="0" applyBorder="0" applyProtection="0">
      <alignment horizontal="center" textRotation="90"/>
    </xf>
    <xf numFmtId="0" fontId="96" fillId="0" borderId="0" applyNumberFormat="0" applyBorder="0" applyProtection="0">
      <alignment textRotation="90"/>
    </xf>
    <xf numFmtId="0" fontId="133" fillId="0" borderId="0">
      <alignment horizontal="center" textRotation="90"/>
    </xf>
    <xf numFmtId="0" fontId="133" fillId="0" borderId="0">
      <alignment horizontal="center" textRotation="90"/>
    </xf>
    <xf numFmtId="0" fontId="134" fillId="0" borderId="0">
      <alignment horizontal="center" textRotation="90"/>
    </xf>
    <xf numFmtId="0" fontId="138" fillId="0" borderId="0" applyNumberFormat="0" applyBorder="0" applyProtection="0"/>
    <xf numFmtId="164" fontId="139" fillId="0" borderId="0" applyBorder="0" applyProtection="0"/>
    <xf numFmtId="164" fontId="140" fillId="0" borderId="0"/>
    <xf numFmtId="164" fontId="139" fillId="0" borderId="0" applyBorder="0" applyProtection="0"/>
    <xf numFmtId="164" fontId="140" fillId="0" borderId="0"/>
    <xf numFmtId="164" fontId="139" fillId="0" borderId="0" applyBorder="0" applyProtection="0"/>
    <xf numFmtId="164" fontId="140" fillId="0" borderId="0"/>
    <xf numFmtId="0" fontId="141" fillId="0" borderId="0" applyBorder="0" applyProtection="0"/>
    <xf numFmtId="0" fontId="142" fillId="0" borderId="0"/>
    <xf numFmtId="164" fontId="143" fillId="0" borderId="0" applyBorder="0" applyProtection="0"/>
    <xf numFmtId="164" fontId="143" fillId="0" borderId="0" applyBorder="0" applyProtection="0"/>
    <xf numFmtId="164" fontId="144" fillId="0" borderId="0"/>
    <xf numFmtId="164" fontId="144" fillId="0" borderId="0"/>
    <xf numFmtId="0" fontId="141" fillId="0" borderId="0" applyBorder="0" applyProtection="0"/>
    <xf numFmtId="0" fontId="145" fillId="0" borderId="0"/>
    <xf numFmtId="0" fontId="142" fillId="0" borderId="0"/>
    <xf numFmtId="164" fontId="146" fillId="30" borderId="0" applyBorder="0" applyProtection="0"/>
    <xf numFmtId="164" fontId="147" fillId="30" borderId="0" applyBorder="0" applyProtection="0"/>
    <xf numFmtId="164" fontId="148" fillId="31" borderId="0"/>
    <xf numFmtId="164" fontId="149" fillId="31" borderId="0"/>
    <xf numFmtId="0" fontId="150" fillId="31" borderId="0" applyNumberFormat="0" applyBorder="0" applyProtection="0"/>
    <xf numFmtId="164" fontId="151" fillId="30" borderId="0" applyBorder="0" applyProtection="0"/>
    <xf numFmtId="164" fontId="152" fillId="31" borderId="0"/>
    <xf numFmtId="0" fontId="153" fillId="31" borderId="0"/>
    <xf numFmtId="0" fontId="154" fillId="31" borderId="0"/>
    <xf numFmtId="0" fontId="155" fillId="0" borderId="0"/>
    <xf numFmtId="0" fontId="155" fillId="0" borderId="0"/>
    <xf numFmtId="0" fontId="194" fillId="0" borderId="0"/>
    <xf numFmtId="0" fontId="156" fillId="0" borderId="0"/>
    <xf numFmtId="164" fontId="157" fillId="0" borderId="0" applyBorder="0" applyProtection="0"/>
    <xf numFmtId="164" fontId="157" fillId="0" borderId="0" applyBorder="0" applyProtection="0"/>
    <xf numFmtId="164" fontId="158" fillId="0" borderId="0" applyBorder="0" applyProtection="0"/>
    <xf numFmtId="164" fontId="159" fillId="0" borderId="0"/>
    <xf numFmtId="0" fontId="157" fillId="0" borderId="0" applyBorder="0" applyProtection="0"/>
    <xf numFmtId="0" fontId="71" fillId="0" borderId="0"/>
    <xf numFmtId="164" fontId="71" fillId="0" borderId="0"/>
    <xf numFmtId="0" fontId="12" fillId="0" borderId="0" applyNumberFormat="0" applyBorder="0" applyProtection="0"/>
    <xf numFmtId="164" fontId="157" fillId="0" borderId="0" applyBorder="0" applyProtection="0"/>
    <xf numFmtId="164" fontId="158" fillId="0" borderId="0" applyBorder="0" applyProtection="0"/>
    <xf numFmtId="164" fontId="159" fillId="0" borderId="0"/>
    <xf numFmtId="164" fontId="71" fillId="0" borderId="0"/>
    <xf numFmtId="0" fontId="12" fillId="0" borderId="0"/>
    <xf numFmtId="164" fontId="158" fillId="0" borderId="0" applyBorder="0" applyProtection="0"/>
    <xf numFmtId="164" fontId="159" fillId="0" borderId="0"/>
    <xf numFmtId="0" fontId="12" fillId="0" borderId="0" applyBorder="0" applyProtection="0"/>
    <xf numFmtId="0" fontId="12" fillId="0" borderId="0"/>
    <xf numFmtId="164" fontId="71" fillId="0" borderId="0"/>
    <xf numFmtId="0" fontId="155" fillId="0" borderId="0"/>
    <xf numFmtId="164" fontId="160" fillId="0" borderId="0" applyBorder="0" applyProtection="0"/>
    <xf numFmtId="164" fontId="160" fillId="0" borderId="0" applyBorder="0" applyProtection="0"/>
    <xf numFmtId="164" fontId="161" fillId="0" borderId="0" applyBorder="0" applyProtection="0"/>
    <xf numFmtId="164" fontId="162" fillId="0" borderId="0"/>
    <xf numFmtId="164" fontId="163" fillId="0" borderId="0"/>
    <xf numFmtId="164" fontId="164" fillId="0" borderId="0"/>
    <xf numFmtId="164" fontId="165" fillId="0" borderId="0"/>
    <xf numFmtId="0" fontId="166" fillId="0" borderId="0" applyNumberFormat="0" applyBorder="0" applyProtection="0"/>
    <xf numFmtId="164" fontId="161" fillId="0" borderId="0" applyBorder="0" applyProtection="0"/>
    <xf numFmtId="0" fontId="165" fillId="0" borderId="0" applyNumberFormat="0" applyBorder="0" applyProtection="0"/>
    <xf numFmtId="164" fontId="163" fillId="0" borderId="0"/>
    <xf numFmtId="164" fontId="162" fillId="0" borderId="0"/>
    <xf numFmtId="0" fontId="156" fillId="0" borderId="0"/>
    <xf numFmtId="0" fontId="166" fillId="0" borderId="0" applyBorder="0" applyProtection="0"/>
    <xf numFmtId="0" fontId="167" fillId="0" borderId="0"/>
    <xf numFmtId="164" fontId="164" fillId="0" borderId="0"/>
    <xf numFmtId="164" fontId="165" fillId="0" borderId="0"/>
    <xf numFmtId="0" fontId="12" fillId="0" borderId="0"/>
    <xf numFmtId="0" fontId="194" fillId="0" borderId="0"/>
    <xf numFmtId="0" fontId="155" fillId="0" borderId="0"/>
    <xf numFmtId="0" fontId="194" fillId="0" borderId="0"/>
    <xf numFmtId="164" fontId="158" fillId="0" borderId="0" applyBorder="0" applyProtection="0"/>
    <xf numFmtId="0" fontId="168" fillId="0" borderId="0" applyNumberFormat="0" applyBorder="0" applyProtection="0"/>
    <xf numFmtId="164" fontId="159" fillId="0" borderId="0"/>
    <xf numFmtId="0" fontId="94" fillId="0" borderId="0"/>
    <xf numFmtId="0" fontId="168" fillId="0" borderId="0" applyBorder="0" applyProtection="0"/>
    <xf numFmtId="0" fontId="168" fillId="0" borderId="0"/>
    <xf numFmtId="164" fontId="159" fillId="0" borderId="0"/>
    <xf numFmtId="164" fontId="158" fillId="0" borderId="0" applyBorder="0" applyProtection="0"/>
    <xf numFmtId="0" fontId="12" fillId="0" borderId="0"/>
    <xf numFmtId="164" fontId="169" fillId="0" borderId="0" applyBorder="0" applyProtection="0"/>
    <xf numFmtId="164" fontId="170" fillId="0" borderId="0" applyBorder="0" applyProtection="0"/>
    <xf numFmtId="164" fontId="171" fillId="0" borderId="0"/>
    <xf numFmtId="164" fontId="172" fillId="0" borderId="0"/>
    <xf numFmtId="0" fontId="93" fillId="0" borderId="0"/>
    <xf numFmtId="164" fontId="173" fillId="0" borderId="0" applyBorder="0" applyProtection="0"/>
    <xf numFmtId="164" fontId="174" fillId="0" borderId="0"/>
    <xf numFmtId="164" fontId="173" fillId="0" borderId="0" applyBorder="0" applyProtection="0"/>
    <xf numFmtId="164" fontId="174" fillId="0" borderId="0"/>
    <xf numFmtId="0" fontId="12" fillId="0" borderId="0" applyBorder="0" applyProtection="0"/>
    <xf numFmtId="0" fontId="12" fillId="0" borderId="0"/>
    <xf numFmtId="0" fontId="175" fillId="0" borderId="0"/>
    <xf numFmtId="0" fontId="176" fillId="0" borderId="0"/>
    <xf numFmtId="0" fontId="177" fillId="0" borderId="0"/>
    <xf numFmtId="0" fontId="178" fillId="31" borderId="25" applyNumberFormat="0" applyProtection="0"/>
    <xf numFmtId="164" fontId="179" fillId="30" borderId="25" applyProtection="0"/>
    <xf numFmtId="164" fontId="180" fillId="31" borderId="25"/>
    <xf numFmtId="164" fontId="179" fillId="30" borderId="25" applyProtection="0"/>
    <xf numFmtId="164" fontId="180" fillId="31" borderId="25"/>
    <xf numFmtId="164" fontId="179" fillId="30" borderId="25" applyProtection="0"/>
    <xf numFmtId="164" fontId="180" fillId="31" borderId="25"/>
    <xf numFmtId="164" fontId="181" fillId="30" borderId="25" applyProtection="0"/>
    <xf numFmtId="164" fontId="181" fillId="30" borderId="25" applyProtection="0"/>
    <xf numFmtId="164" fontId="182" fillId="31" borderId="25"/>
    <xf numFmtId="164" fontId="182" fillId="31" borderId="25"/>
    <xf numFmtId="0" fontId="183" fillId="30" borderId="25" applyProtection="0"/>
    <xf numFmtId="0" fontId="184" fillId="31" borderId="25"/>
    <xf numFmtId="0" fontId="183" fillId="30" borderId="25" applyProtection="0"/>
    <xf numFmtId="0" fontId="162" fillId="31" borderId="25"/>
    <xf numFmtId="0" fontId="184" fillId="31" borderId="25"/>
    <xf numFmtId="0" fontId="185" fillId="0" borderId="0" applyNumberFormat="0" applyBorder="0" applyProtection="0"/>
    <xf numFmtId="0" fontId="186" fillId="0" borderId="0" applyBorder="0" applyProtection="0"/>
    <xf numFmtId="164" fontId="187" fillId="0" borderId="0" applyBorder="0" applyProtection="0"/>
    <xf numFmtId="164" fontId="188" fillId="0" borderId="0"/>
    <xf numFmtId="0" fontId="189" fillId="0" borderId="0"/>
    <xf numFmtId="164" fontId="188" fillId="0" borderId="0"/>
    <xf numFmtId="164" fontId="190" fillId="0" borderId="0" applyBorder="0" applyProtection="0"/>
    <xf numFmtId="164" fontId="191" fillId="0" borderId="0"/>
    <xf numFmtId="164" fontId="190" fillId="0" borderId="0" applyBorder="0" applyProtection="0"/>
    <xf numFmtId="164" fontId="191" fillId="0" borderId="0"/>
    <xf numFmtId="0" fontId="192" fillId="0" borderId="0" applyNumberFormat="0" applyBorder="0" applyProtection="0"/>
    <xf numFmtId="0" fontId="193" fillId="0" borderId="0"/>
    <xf numFmtId="0" fontId="193" fillId="0" borderId="0"/>
    <xf numFmtId="0" fontId="189" fillId="0" borderId="0"/>
    <xf numFmtId="0" fontId="185" fillId="0" borderId="0" applyNumberFormat="0" applyBorder="0" applyProtection="0"/>
    <xf numFmtId="165" fontId="186" fillId="0" borderId="0" applyBorder="0" applyProtection="0"/>
    <xf numFmtId="165" fontId="187" fillId="0" borderId="0" applyBorder="0" applyProtection="0"/>
    <xf numFmtId="166" fontId="188" fillId="0" borderId="0"/>
    <xf numFmtId="166" fontId="189" fillId="0" borderId="0"/>
    <xf numFmtId="166" fontId="188" fillId="0" borderId="0"/>
    <xf numFmtId="167" fontId="190" fillId="0" borderId="0" applyBorder="0" applyProtection="0"/>
    <xf numFmtId="168" fontId="191" fillId="0" borderId="0"/>
    <xf numFmtId="165" fontId="190" fillId="0" borderId="0" applyBorder="0" applyProtection="0"/>
    <xf numFmtId="166" fontId="191" fillId="0" borderId="0"/>
    <xf numFmtId="169" fontId="192" fillId="0" borderId="0" applyBorder="0" applyProtection="0"/>
    <xf numFmtId="166" fontId="192" fillId="0" borderId="0" applyBorder="0" applyProtection="0"/>
    <xf numFmtId="166" fontId="193" fillId="0" borderId="0"/>
    <xf numFmtId="166" fontId="193" fillId="0" borderId="0"/>
    <xf numFmtId="166" fontId="189" fillId="0" borderId="0"/>
    <xf numFmtId="0" fontId="94" fillId="0" borderId="0" applyNumberFormat="0" applyFont="0" applyBorder="0" applyProtection="0"/>
    <xf numFmtId="164" fontId="173" fillId="0" borderId="0" applyBorder="0" applyProtection="0"/>
    <xf numFmtId="164" fontId="174" fillId="0" borderId="0"/>
    <xf numFmtId="164" fontId="173" fillId="0" borderId="0" applyBorder="0" applyProtection="0"/>
    <xf numFmtId="164" fontId="174" fillId="0" borderId="0"/>
    <xf numFmtId="164" fontId="173" fillId="0" borderId="0" applyBorder="0" applyProtection="0"/>
    <xf numFmtId="164" fontId="173" fillId="0" borderId="0" applyBorder="0" applyProtection="0"/>
    <xf numFmtId="164" fontId="174" fillId="0" borderId="0"/>
    <xf numFmtId="164" fontId="174" fillId="0" borderId="0"/>
    <xf numFmtId="164" fontId="173" fillId="0" borderId="0" applyBorder="0" applyProtection="0"/>
    <xf numFmtId="164" fontId="174" fillId="0" borderId="0"/>
    <xf numFmtId="0" fontId="176" fillId="0" borderId="0" applyBorder="0" applyProtection="0"/>
    <xf numFmtId="0" fontId="177" fillId="0" borderId="0"/>
    <xf numFmtId="0" fontId="176" fillId="0" borderId="0" applyBorder="0" applyProtection="0"/>
    <xf numFmtId="0" fontId="175" fillId="0" borderId="0"/>
    <xf numFmtId="0" fontId="177" fillId="0" borderId="0"/>
    <xf numFmtId="0" fontId="94" fillId="0" borderId="0" applyNumberFormat="0" applyFont="0" applyBorder="0" applyProtection="0"/>
    <xf numFmtId="164" fontId="173" fillId="0" borderId="0" applyBorder="0" applyProtection="0"/>
    <xf numFmtId="164" fontId="174" fillId="0" borderId="0"/>
    <xf numFmtId="164" fontId="173" fillId="0" borderId="0" applyBorder="0" applyProtection="0"/>
    <xf numFmtId="164" fontId="173" fillId="0" borderId="0" applyBorder="0" applyProtection="0"/>
    <xf numFmtId="164" fontId="174" fillId="0" borderId="0"/>
    <xf numFmtId="164" fontId="174" fillId="0" borderId="0"/>
    <xf numFmtId="164" fontId="173" fillId="0" borderId="0" applyBorder="0" applyProtection="0"/>
    <xf numFmtId="164" fontId="174" fillId="0" borderId="0"/>
    <xf numFmtId="164" fontId="173" fillId="0" borderId="0" applyBorder="0" applyProtection="0"/>
    <xf numFmtId="164" fontId="174" fillId="0" borderId="0"/>
    <xf numFmtId="0" fontId="176" fillId="0" borderId="0" applyBorder="0" applyProtection="0"/>
    <xf numFmtId="0" fontId="177" fillId="0" borderId="0"/>
    <xf numFmtId="0" fontId="176" fillId="0" borderId="0" applyBorder="0" applyProtection="0"/>
    <xf numFmtId="0" fontId="175" fillId="0" borderId="0"/>
    <xf numFmtId="0" fontId="177" fillId="0" borderId="0"/>
    <xf numFmtId="0" fontId="47" fillId="0" borderId="0" applyNumberFormat="0" applyBorder="0" applyProtection="0"/>
    <xf numFmtId="164" fontId="54" fillId="0" borderId="0" applyBorder="0" applyProtection="0"/>
    <xf numFmtId="164" fontId="55" fillId="0" borderId="0" applyBorder="0" applyProtection="0"/>
    <xf numFmtId="164" fontId="56" fillId="0" borderId="0"/>
    <xf numFmtId="164" fontId="57" fillId="0" borderId="0"/>
    <xf numFmtId="164" fontId="48" fillId="0" borderId="0" applyBorder="0" applyProtection="0"/>
    <xf numFmtId="164" fontId="49" fillId="0" borderId="0"/>
    <xf numFmtId="164" fontId="48" fillId="0" borderId="0" applyBorder="0" applyProtection="0"/>
    <xf numFmtId="164" fontId="49" fillId="0" borderId="0"/>
    <xf numFmtId="164" fontId="50" fillId="0" borderId="0" applyBorder="0" applyProtection="0"/>
    <xf numFmtId="164" fontId="51" fillId="0" borderId="0"/>
    <xf numFmtId="0" fontId="52" fillId="0" borderId="0" applyBorder="0" applyProtection="0"/>
    <xf numFmtId="0" fontId="53" fillId="0" borderId="0"/>
    <xf numFmtId="0" fontId="52" fillId="0" borderId="0" applyBorder="0" applyProtection="0"/>
    <xf numFmtId="0" fontId="58" fillId="0" borderId="0"/>
    <xf numFmtId="0" fontId="53" fillId="0" borderId="0"/>
    <xf numFmtId="0" fontId="5" fillId="0" borderId="0"/>
    <xf numFmtId="164" fontId="97" fillId="0" borderId="0">
      <alignment horizontal="right" textRotation="90"/>
    </xf>
    <xf numFmtId="164" fontId="188" fillId="0" borderId="0"/>
    <xf numFmtId="166" fontId="188" fillId="0" borderId="0"/>
  </cellStyleXfs>
  <cellXfs count="152">
    <xf numFmtId="0" fontId="0" fillId="0" borderId="0" xfId="0"/>
    <xf numFmtId="0" fontId="0" fillId="2" borderId="1" xfId="0" applyFill="1" applyBorder="1"/>
    <xf numFmtId="0" fontId="11" fillId="3" borderId="2" xfId="0" applyNumberFormat="1" applyFont="1" applyFill="1" applyBorder="1" applyAlignment="1" applyProtection="1"/>
    <xf numFmtId="0" fontId="11" fillId="0" borderId="0" xfId="0" applyNumberFormat="1" applyFont="1" applyFill="1" applyBorder="1" applyAlignment="1" applyProtection="1"/>
    <xf numFmtId="0" fontId="0" fillId="2" borderId="2" xfId="0" applyFill="1" applyBorder="1"/>
    <xf numFmtId="0" fontId="0" fillId="2" borderId="3" xfId="0" applyFill="1" applyBorder="1"/>
    <xf numFmtId="0" fontId="12" fillId="4" borderId="2" xfId="0" applyFont="1" applyFill="1" applyBorder="1"/>
    <xf numFmtId="0" fontId="12" fillId="4" borderId="0" xfId="0" applyFont="1" applyFill="1"/>
    <xf numFmtId="0" fontId="11" fillId="0" borderId="1" xfId="0" applyNumberFormat="1" applyFont="1" applyFill="1" applyBorder="1" applyAlignment="1" applyProtection="1"/>
    <xf numFmtId="0" fontId="13" fillId="0" borderId="0" xfId="0" applyFont="1" applyFill="1" applyBorder="1" applyAlignment="1">
      <alignment horizontal="left"/>
    </xf>
    <xf numFmtId="0" fontId="0" fillId="0" borderId="4" xfId="0" applyFill="1" applyBorder="1"/>
    <xf numFmtId="0" fontId="0" fillId="0" borderId="5" xfId="0" applyFill="1" applyBorder="1" applyAlignment="1">
      <alignment horizontal="center"/>
    </xf>
    <xf numFmtId="0" fontId="12" fillId="0" borderId="0" xfId="0" applyFont="1"/>
    <xf numFmtId="0" fontId="14" fillId="0" borderId="1" xfId="0" applyFont="1" applyBorder="1" applyAlignment="1">
      <alignment vertical="center"/>
    </xf>
    <xf numFmtId="0" fontId="11" fillId="5" borderId="0" xfId="0" applyNumberFormat="1" applyFont="1" applyFill="1" applyBorder="1" applyAlignment="1" applyProtection="1"/>
    <xf numFmtId="0" fontId="0" fillId="0" borderId="7" xfId="0" applyFill="1" applyBorder="1"/>
    <xf numFmtId="0" fontId="0" fillId="0" borderId="8" xfId="0" applyFill="1" applyBorder="1" applyAlignment="1">
      <alignment horizontal="center"/>
    </xf>
    <xf numFmtId="0" fontId="13" fillId="0" borderId="0" xfId="0" applyFont="1" applyAlignment="1">
      <alignment horizontal="center" vertical="center"/>
    </xf>
    <xf numFmtId="0" fontId="0" fillId="0" borderId="7" xfId="0" applyFont="1" applyFill="1" applyBorder="1"/>
    <xf numFmtId="0" fontId="11" fillId="6" borderId="0" xfId="0" applyNumberFormat="1" applyFont="1" applyFill="1" applyBorder="1" applyAlignment="1" applyProtection="1"/>
    <xf numFmtId="20" fontId="11" fillId="0" borderId="1" xfId="0" applyNumberFormat="1" applyFont="1" applyFill="1" applyBorder="1" applyAlignment="1" applyProtection="1"/>
    <xf numFmtId="0" fontId="0" fillId="0" borderId="7" xfId="0" applyBorder="1"/>
    <xf numFmtId="0" fontId="0" fillId="0" borderId="0" xfId="0" applyFill="1" applyBorder="1" applyAlignment="1">
      <alignment horizontal="left"/>
    </xf>
    <xf numFmtId="0" fontId="0" fillId="0" borderId="10" xfId="0" applyFill="1" applyBorder="1"/>
    <xf numFmtId="0" fontId="0" fillId="0" borderId="11" xfId="0" applyFill="1" applyBorder="1" applyAlignment="1">
      <alignment horizontal="center"/>
    </xf>
    <xf numFmtId="0" fontId="0" fillId="0" borderId="12" xfId="0" applyFill="1" applyBorder="1"/>
    <xf numFmtId="0" fontId="0" fillId="0" borderId="13" xfId="0" applyFill="1" applyBorder="1" applyAlignment="1">
      <alignment horizontal="center"/>
    </xf>
    <xf numFmtId="0" fontId="0" fillId="0" borderId="14" xfId="0" applyFill="1" applyBorder="1"/>
    <xf numFmtId="0" fontId="0" fillId="0" borderId="3" xfId="0" applyFont="1" applyFill="1" applyBorder="1" applyAlignment="1">
      <alignment horizontal="center"/>
    </xf>
    <xf numFmtId="0" fontId="0" fillId="0" borderId="6" xfId="0" applyFont="1" applyBorder="1" applyAlignment="1">
      <alignment horizontal="center" vertical="center" wrapText="1"/>
    </xf>
    <xf numFmtId="0" fontId="0" fillId="0" borderId="0" xfId="0" applyBorder="1"/>
    <xf numFmtId="0" fontId="0" fillId="0" borderId="15" xfId="0" applyBorder="1"/>
    <xf numFmtId="0" fontId="12" fillId="0" borderId="0" xfId="0" applyFont="1" applyFill="1" applyBorder="1" applyAlignment="1">
      <alignment horizontal="left"/>
    </xf>
    <xf numFmtId="0" fontId="0" fillId="0" borderId="16" xfId="0" applyFill="1" applyBorder="1"/>
    <xf numFmtId="0" fontId="0" fillId="0" borderId="17" xfId="0" applyFill="1" applyBorder="1" applyAlignment="1">
      <alignment horizontal="center"/>
    </xf>
    <xf numFmtId="0" fontId="15" fillId="0" borderId="0" xfId="0" applyFont="1"/>
    <xf numFmtId="0" fontId="16" fillId="0" borderId="4" xfId="309" applyFont="1" applyFill="1" applyBorder="1"/>
    <xf numFmtId="0" fontId="16" fillId="0" borderId="10" xfId="309" applyFont="1" applyFill="1" applyBorder="1"/>
    <xf numFmtId="0" fontId="17" fillId="0" borderId="1" xfId="0" applyFont="1" applyBorder="1" applyAlignment="1">
      <alignment vertical="center"/>
    </xf>
    <xf numFmtId="0" fontId="16" fillId="0" borderId="7" xfId="309" applyFont="1" applyFill="1" applyBorder="1"/>
    <xf numFmtId="0" fontId="16" fillId="0" borderId="19" xfId="309" applyFont="1" applyFill="1" applyBorder="1"/>
    <xf numFmtId="0" fontId="0" fillId="0" borderId="20" xfId="0" applyFill="1" applyBorder="1" applyAlignment="1">
      <alignment horizontal="center"/>
    </xf>
    <xf numFmtId="0" fontId="0" fillId="0" borderId="19" xfId="0" applyFill="1" applyBorder="1"/>
    <xf numFmtId="0" fontId="0" fillId="0" borderId="15" xfId="0" applyFill="1" applyBorder="1"/>
    <xf numFmtId="0" fontId="0" fillId="0" borderId="4" xfId="0" applyBorder="1"/>
    <xf numFmtId="0" fontId="0" fillId="0" borderId="10" xfId="0" applyBorder="1"/>
    <xf numFmtId="0" fontId="0" fillId="0" borderId="21" xfId="0" applyBorder="1"/>
    <xf numFmtId="0" fontId="0" fillId="0" borderId="22" xfId="0" applyFill="1" applyBorder="1" applyAlignment="1">
      <alignment horizontal="center"/>
    </xf>
    <xf numFmtId="0" fontId="0" fillId="0" borderId="16" xfId="0" applyBorder="1"/>
    <xf numFmtId="0" fontId="0" fillId="0" borderId="0" xfId="0" applyFill="1" applyBorder="1" applyAlignment="1">
      <alignment horizontal="center"/>
    </xf>
    <xf numFmtId="0" fontId="18" fillId="0" borderId="0" xfId="0" applyFont="1" applyAlignment="1">
      <alignment horizontal="right" vertical="center"/>
    </xf>
    <xf numFmtId="0" fontId="19" fillId="0" borderId="0" xfId="0" applyFont="1"/>
    <xf numFmtId="0" fontId="12" fillId="0" borderId="1" xfId="0" applyFont="1" applyBorder="1"/>
    <xf numFmtId="0" fontId="0" fillId="0" borderId="0" xfId="0" applyBorder="1" applyAlignment="1">
      <alignment horizontal="center" vertical="center" wrapText="1"/>
    </xf>
    <xf numFmtId="0" fontId="0" fillId="0" borderId="0" xfId="0" applyFill="1" applyBorder="1"/>
    <xf numFmtId="0" fontId="0" fillId="0" borderId="0" xfId="0" applyFill="1" applyBorder="1" applyAlignment="1"/>
    <xf numFmtId="0" fontId="22" fillId="7" borderId="1" xfId="0" applyNumberFormat="1" applyFont="1" applyFill="1" applyBorder="1" applyAlignment="1" applyProtection="1">
      <alignment horizontal="center" vertical="center" wrapText="1"/>
    </xf>
    <xf numFmtId="170" fontId="22" fillId="7"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vertical="center" wrapText="1"/>
    </xf>
    <xf numFmtId="0" fontId="22" fillId="9" borderId="1" xfId="0" applyNumberFormat="1" applyFont="1" applyFill="1" applyBorder="1" applyAlignment="1" applyProtection="1">
      <alignment horizontal="center" vertical="center" wrapText="1"/>
    </xf>
    <xf numFmtId="0" fontId="22" fillId="7" borderId="23" xfId="0" applyNumberFormat="1" applyFont="1" applyFill="1" applyBorder="1" applyAlignment="1" applyProtection="1">
      <alignment horizontal="center" vertical="center" wrapText="1"/>
    </xf>
    <xf numFmtId="0" fontId="0" fillId="0" borderId="1" xfId="0" applyFill="1" applyBorder="1" applyAlignment="1">
      <alignment horizontal="center"/>
    </xf>
    <xf numFmtId="170" fontId="0" fillId="0" borderId="1" xfId="0" applyNumberFormat="1" applyFont="1" applyFill="1" applyBorder="1" applyAlignment="1">
      <alignment horizontal="center"/>
    </xf>
    <xf numFmtId="0" fontId="0" fillId="0" borderId="1" xfId="0" applyFill="1" applyBorder="1"/>
    <xf numFmtId="0" fontId="0" fillId="0" borderId="1" xfId="0" applyFill="1" applyBorder="1" applyAlignment="1">
      <alignment horizontal="left"/>
    </xf>
    <xf numFmtId="20" fontId="0" fillId="0" borderId="1" xfId="0" applyNumberFormat="1" applyFill="1" applyBorder="1" applyAlignment="1">
      <alignment horizontal="center"/>
    </xf>
    <xf numFmtId="0" fontId="0" fillId="0" borderId="1" xfId="0" applyFill="1" applyBorder="1" applyAlignment="1"/>
    <xf numFmtId="1" fontId="0" fillId="0" borderId="1" xfId="0" applyNumberFormat="1" applyFill="1" applyBorder="1" applyAlignment="1">
      <alignment horizontal="center"/>
    </xf>
    <xf numFmtId="0" fontId="11" fillId="0" borderId="1" xfId="0" applyNumberFormat="1" applyFont="1" applyFill="1" applyBorder="1" applyAlignment="1" applyProtection="1">
      <alignment horizontal="center"/>
    </xf>
    <xf numFmtId="0" fontId="0" fillId="0" borderId="0" xfId="0" applyFill="1"/>
    <xf numFmtId="0" fontId="15" fillId="0" borderId="1" xfId="0" applyFont="1" applyFill="1" applyBorder="1" applyAlignment="1"/>
    <xf numFmtId="1" fontId="15" fillId="0" borderId="1" xfId="0" applyNumberFormat="1" applyFont="1" applyFill="1" applyBorder="1" applyAlignment="1">
      <alignment horizontal="center"/>
    </xf>
    <xf numFmtId="20" fontId="0" fillId="0" borderId="0" xfId="0" applyNumberFormat="1" applyFill="1" applyBorder="1" applyAlignment="1">
      <alignment horizontal="center"/>
    </xf>
    <xf numFmtId="0" fontId="15" fillId="0" borderId="0" xfId="0" applyFont="1" applyFill="1" applyBorder="1" applyAlignment="1"/>
    <xf numFmtId="1" fontId="15" fillId="0" borderId="0" xfId="0" applyNumberFormat="1" applyFont="1" applyFill="1" applyBorder="1" applyAlignment="1">
      <alignment horizontal="center"/>
    </xf>
    <xf numFmtId="20"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1" xfId="0" applyBorder="1" applyAlignment="1"/>
    <xf numFmtId="1" fontId="0" fillId="0" borderId="1" xfId="0" applyNumberFormat="1" applyBorder="1" applyAlignment="1">
      <alignment horizontal="center"/>
    </xf>
    <xf numFmtId="0" fontId="0" fillId="9" borderId="1" xfId="0" applyFill="1" applyBorder="1" applyAlignment="1">
      <alignment horizontal="center"/>
    </xf>
    <xf numFmtId="0" fontId="0" fillId="0" borderId="0" xfId="0" applyBorder="1" applyAlignment="1">
      <alignment horizontal="center"/>
    </xf>
    <xf numFmtId="0" fontId="195" fillId="0" borderId="0" xfId="0" applyFont="1" applyAlignment="1">
      <alignment horizontal="left" vertical="center" indent="1"/>
    </xf>
    <xf numFmtId="0" fontId="10" fillId="0" borderId="1" xfId="0" applyFont="1" applyFill="1" applyBorder="1"/>
    <xf numFmtId="0" fontId="196" fillId="7" borderId="1" xfId="0" applyNumberFormat="1" applyFont="1" applyFill="1" applyBorder="1" applyAlignment="1" applyProtection="1">
      <alignment horizontal="center" vertical="center" wrapText="1"/>
    </xf>
    <xf numFmtId="0" fontId="10" fillId="0" borderId="0" xfId="0" applyFont="1" applyAlignment="1">
      <alignment horizontal="center" vertical="center"/>
    </xf>
    <xf numFmtId="0" fontId="0" fillId="0" borderId="0" xfId="0" applyAlignment="1">
      <alignment horizontal="center" vertical="center"/>
    </xf>
    <xf numFmtId="0" fontId="197" fillId="0" borderId="1" xfId="0" applyFont="1" applyBorder="1" applyAlignment="1">
      <alignment horizontal="center" vertical="center"/>
    </xf>
    <xf numFmtId="0" fontId="197" fillId="0" borderId="1" xfId="0" applyFont="1" applyFill="1" applyBorder="1" applyAlignment="1">
      <alignment horizontal="center" vertical="center"/>
    </xf>
    <xf numFmtId="0" fontId="197" fillId="0" borderId="1" xfId="0" applyFont="1" applyBorder="1"/>
    <xf numFmtId="0" fontId="9" fillId="0" borderId="0" xfId="0" applyFont="1" applyAlignment="1">
      <alignment horizontal="center"/>
    </xf>
    <xf numFmtId="0" fontId="8" fillId="0" borderId="1" xfId="0" applyFont="1" applyFill="1" applyBorder="1"/>
    <xf numFmtId="0" fontId="0" fillId="0" borderId="0" xfId="0" applyAlignment="1">
      <alignment horizontal="left"/>
    </xf>
    <xf numFmtId="0" fontId="198" fillId="0" borderId="0" xfId="0" applyFont="1" applyFill="1" applyBorder="1" applyAlignment="1">
      <alignment horizontal="left"/>
    </xf>
    <xf numFmtId="0" fontId="7" fillId="0" borderId="0" xfId="0" applyFont="1"/>
    <xf numFmtId="0" fontId="198" fillId="0" borderId="26" xfId="0" applyFont="1" applyFill="1" applyBorder="1" applyAlignment="1">
      <alignment horizontal="left"/>
    </xf>
    <xf numFmtId="0" fontId="20" fillId="0" borderId="0" xfId="0" applyFont="1" applyAlignment="1">
      <alignment horizontal="right"/>
    </xf>
    <xf numFmtId="0" fontId="6" fillId="0" borderId="0" xfId="0" applyFont="1"/>
    <xf numFmtId="0" fontId="12" fillId="0" borderId="0" xfId="0" applyFont="1" applyBorder="1"/>
    <xf numFmtId="0" fontId="0" fillId="0" borderId="0" xfId="0" applyFill="1" applyAlignment="1"/>
    <xf numFmtId="0" fontId="0" fillId="8" borderId="1" xfId="0" applyFill="1" applyBorder="1" applyAlignment="1"/>
    <xf numFmtId="0" fontId="0" fillId="2" borderId="1" xfId="0" applyFill="1" applyBorder="1" applyAlignment="1"/>
    <xf numFmtId="0" fontId="0" fillId="9" borderId="1" xfId="0" applyFill="1" applyBorder="1" applyAlignment="1"/>
    <xf numFmtId="0" fontId="0" fillId="0" borderId="0" xfId="0" applyBorder="1" applyAlignment="1"/>
    <xf numFmtId="171" fontId="0" fillId="0" borderId="1" xfId="0" applyNumberFormat="1" applyFill="1" applyBorder="1" applyAlignment="1"/>
    <xf numFmtId="0" fontId="3" fillId="0" borderId="1" xfId="0" applyFont="1" applyFill="1" applyBorder="1"/>
    <xf numFmtId="0" fontId="3" fillId="0" borderId="1" xfId="0" applyFont="1" applyFill="1" applyBorder="1" applyAlignment="1">
      <alignment horizontal="left"/>
    </xf>
    <xf numFmtId="0" fontId="3" fillId="0" borderId="1" xfId="0" applyFont="1" applyFill="1" applyBorder="1" applyAlignment="1"/>
    <xf numFmtId="0" fontId="0" fillId="0" borderId="1" xfId="0" applyFill="1" applyBorder="1" applyAlignment="1">
      <alignment horizontal="center" vertical="center"/>
    </xf>
    <xf numFmtId="0" fontId="3" fillId="0" borderId="1" xfId="0" applyFont="1" applyFill="1" applyBorder="1" applyAlignment="1">
      <alignment horizontal="center" vertical="center"/>
    </xf>
    <xf numFmtId="0" fontId="15" fillId="0" borderId="1" xfId="0" applyFont="1" applyFill="1" applyBorder="1" applyAlignment="1">
      <alignment horizontal="center" vertical="center"/>
    </xf>
    <xf numFmtId="0" fontId="15" fillId="0" borderId="0" xfId="0" applyFont="1" applyFill="1" applyBorder="1" applyAlignment="1">
      <alignment horizontal="center" vertical="center"/>
    </xf>
    <xf numFmtId="0" fontId="0" fillId="0" borderId="1" xfId="0" applyBorder="1" applyAlignment="1">
      <alignment horizontal="center" vertical="center"/>
    </xf>
    <xf numFmtId="0" fontId="0" fillId="0" borderId="0" xfId="0" applyFill="1" applyBorder="1" applyAlignment="1">
      <alignment horizontal="center" vertical="center"/>
    </xf>
    <xf numFmtId="0" fontId="0" fillId="0" borderId="24" xfId="0" applyFill="1" applyBorder="1" applyAlignment="1">
      <alignment horizontal="center" vertical="center"/>
    </xf>
    <xf numFmtId="0" fontId="15" fillId="0" borderId="24" xfId="0" applyFont="1" applyFill="1" applyBorder="1" applyAlignment="1">
      <alignment horizontal="center" vertical="center"/>
    </xf>
    <xf numFmtId="0" fontId="0" fillId="0" borderId="24" xfId="0" applyBorder="1" applyAlignment="1">
      <alignment horizontal="center" vertical="center"/>
    </xf>
    <xf numFmtId="0" fontId="0" fillId="0" borderId="26" xfId="0" applyFill="1" applyBorder="1" applyAlignment="1">
      <alignment horizontal="center" vertical="center"/>
    </xf>
    <xf numFmtId="170" fontId="22" fillId="7" borderId="30" xfId="0" applyNumberFormat="1" applyFont="1" applyFill="1" applyBorder="1" applyAlignment="1" applyProtection="1">
      <alignment horizontal="center" vertical="center" wrapText="1"/>
    </xf>
    <xf numFmtId="20" fontId="0" fillId="0" borderId="30" xfId="0" applyNumberFormat="1" applyFill="1" applyBorder="1" applyAlignment="1">
      <alignment horizontal="center"/>
    </xf>
    <xf numFmtId="20" fontId="0" fillId="0" borderId="30" xfId="0" applyNumberFormat="1" applyBorder="1" applyAlignment="1">
      <alignment horizontal="center"/>
    </xf>
    <xf numFmtId="0" fontId="22" fillId="7" borderId="24" xfId="0" applyNumberFormat="1" applyFont="1" applyFill="1" applyBorder="1" applyAlignment="1" applyProtection="1">
      <alignment horizontal="center" vertical="center" wrapText="1"/>
    </xf>
    <xf numFmtId="1" fontId="0" fillId="0" borderId="24" xfId="0" applyNumberFormat="1" applyFill="1" applyBorder="1" applyAlignment="1">
      <alignment horizontal="center"/>
    </xf>
    <xf numFmtId="1" fontId="15" fillId="0" borderId="24" xfId="0" applyNumberFormat="1" applyFont="1" applyFill="1" applyBorder="1" applyAlignment="1">
      <alignment horizontal="center"/>
    </xf>
    <xf numFmtId="0" fontId="0" fillId="0" borderId="1" xfId="0" applyBorder="1"/>
    <xf numFmtId="0" fontId="2" fillId="0" borderId="1" xfId="0" applyFont="1" applyFill="1" applyBorder="1"/>
    <xf numFmtId="0" fontId="2" fillId="0" borderId="1" xfId="0" applyFont="1" applyFill="1" applyBorder="1" applyAlignment="1">
      <alignment horizontal="left"/>
    </xf>
    <xf numFmtId="0" fontId="2" fillId="0" borderId="1" xfId="0" applyFont="1" applyFill="1" applyBorder="1" applyAlignment="1"/>
    <xf numFmtId="0" fontId="0" fillId="33" borderId="24" xfId="0" applyFill="1" applyBorder="1" applyAlignment="1">
      <alignment horizontal="center" vertical="center"/>
    </xf>
    <xf numFmtId="20" fontId="4" fillId="34" borderId="1" xfId="0" applyNumberFormat="1" applyFont="1" applyFill="1" applyBorder="1" applyAlignment="1">
      <alignment horizontal="center"/>
    </xf>
    <xf numFmtId="20" fontId="4" fillId="34" borderId="30" xfId="0" applyNumberFormat="1" applyFont="1" applyFill="1" applyBorder="1" applyAlignment="1">
      <alignment horizontal="center"/>
    </xf>
    <xf numFmtId="20" fontId="0" fillId="34" borderId="1" xfId="0" applyNumberFormat="1" applyFill="1" applyBorder="1" applyAlignment="1">
      <alignment horizontal="center"/>
    </xf>
    <xf numFmtId="20" fontId="0" fillId="34" borderId="30" xfId="0" applyNumberFormat="1" applyFill="1" applyBorder="1" applyAlignment="1">
      <alignment horizontal="center"/>
    </xf>
    <xf numFmtId="0" fontId="2" fillId="0" borderId="1" xfId="0" applyFont="1" applyFill="1" applyBorder="1" applyAlignment="1">
      <alignment horizontal="center"/>
    </xf>
    <xf numFmtId="0" fontId="2" fillId="0" borderId="1" xfId="0" applyFont="1" applyFill="1" applyBorder="1" applyAlignment="1">
      <alignment horizontal="center" vertical="center"/>
    </xf>
    <xf numFmtId="0" fontId="0" fillId="32" borderId="1" xfId="0" applyFill="1" applyBorder="1" applyAlignment="1">
      <alignment horizontal="center"/>
    </xf>
    <xf numFmtId="0" fontId="15" fillId="32" borderId="1" xfId="0" applyFont="1" applyFill="1" applyBorder="1" applyAlignment="1">
      <alignment horizontal="center"/>
    </xf>
    <xf numFmtId="0" fontId="15" fillId="32" borderId="1" xfId="0" applyFont="1" applyFill="1" applyBorder="1" applyAlignment="1">
      <alignment horizontal="right"/>
    </xf>
    <xf numFmtId="0" fontId="0" fillId="32" borderId="1" xfId="0" applyFill="1" applyBorder="1" applyAlignment="1"/>
    <xf numFmtId="0" fontId="0" fillId="0" borderId="24" xfId="0" applyFill="1" applyBorder="1" applyAlignment="1">
      <alignment horizontal="center"/>
    </xf>
    <xf numFmtId="14" fontId="21" fillId="2" borderId="2" xfId="0" applyNumberFormat="1" applyFont="1" applyFill="1" applyBorder="1" applyAlignment="1">
      <alignment horizontal="center" vertical="center" wrapText="1"/>
    </xf>
    <xf numFmtId="14" fontId="15" fillId="32" borderId="1" xfId="0" applyNumberFormat="1" applyFont="1" applyFill="1" applyBorder="1" applyAlignment="1">
      <alignment horizontal="center" vertical="center" wrapText="1"/>
    </xf>
    <xf numFmtId="0" fontId="14" fillId="0" borderId="26" xfId="0" applyFont="1" applyFill="1" applyBorder="1" applyAlignment="1">
      <alignment horizontal="right"/>
    </xf>
    <xf numFmtId="0" fontId="14" fillId="0" borderId="27" xfId="0" applyFont="1" applyFill="1" applyBorder="1" applyAlignment="1">
      <alignment horizontal="right"/>
    </xf>
    <xf numFmtId="0" fontId="14" fillId="0" borderId="28" xfId="0" applyFont="1" applyFill="1" applyBorder="1" applyAlignment="1">
      <alignment horizontal="right"/>
    </xf>
    <xf numFmtId="0" fontId="14" fillId="0" borderId="29" xfId="0" applyFont="1" applyFill="1" applyBorder="1" applyAlignment="1">
      <alignment horizontal="right"/>
    </xf>
    <xf numFmtId="0" fontId="0" fillId="0" borderId="6" xfId="0" applyFont="1" applyBorder="1" applyAlignment="1">
      <alignment horizontal="center" vertical="center"/>
    </xf>
    <xf numFmtId="0" fontId="0" fillId="0" borderId="9" xfId="0" applyFont="1" applyBorder="1" applyAlignment="1">
      <alignment horizontal="center" vertical="center"/>
    </xf>
    <xf numFmtId="0" fontId="0" fillId="0" borderId="18" xfId="0" applyFont="1"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1" fillId="0" borderId="1" xfId="0" applyFont="1" applyBorder="1"/>
  </cellXfs>
  <cellStyles count="431">
    <cellStyle name="Accent" xfId="1" xr:uid="{00000000-0005-0000-0000-000000000000}"/>
    <cellStyle name="Accent 1" xfId="2" xr:uid="{00000000-0005-0000-0000-000001000000}"/>
    <cellStyle name="Accent 1 10" xfId="3" xr:uid="{00000000-0005-0000-0000-000002000000}"/>
    <cellStyle name="Accent 1 2" xfId="4" xr:uid="{00000000-0005-0000-0000-000003000000}"/>
    <cellStyle name="Accent 1 2 2" xfId="5" xr:uid="{00000000-0005-0000-0000-000004000000}"/>
    <cellStyle name="Accent 1 2 2 2" xfId="6" xr:uid="{00000000-0005-0000-0000-000005000000}"/>
    <cellStyle name="Accent 1 2 2 2 2" xfId="7" xr:uid="{00000000-0005-0000-0000-000006000000}"/>
    <cellStyle name="Accent 1 2 2 3" xfId="8" xr:uid="{00000000-0005-0000-0000-000007000000}"/>
    <cellStyle name="Accent 1 2 3" xfId="9" xr:uid="{00000000-0005-0000-0000-000008000000}"/>
    <cellStyle name="Accent 1 3" xfId="10" xr:uid="{00000000-0005-0000-0000-000009000000}"/>
    <cellStyle name="Accent 1 4" xfId="11" xr:uid="{00000000-0005-0000-0000-00000A000000}"/>
    <cellStyle name="Accent 1 6" xfId="12" xr:uid="{00000000-0005-0000-0000-00000B000000}"/>
    <cellStyle name="Accent 1 6 2" xfId="13" xr:uid="{00000000-0005-0000-0000-00000C000000}"/>
    <cellStyle name="Accent 1 6 2 2" xfId="14" xr:uid="{00000000-0005-0000-0000-00000D000000}"/>
    <cellStyle name="Accent 1 6 3" xfId="15" xr:uid="{00000000-0005-0000-0000-00000E000000}"/>
    <cellStyle name="Accent 1 7" xfId="16" xr:uid="{00000000-0005-0000-0000-00000F000000}"/>
    <cellStyle name="Accent 1 7 2" xfId="17" xr:uid="{00000000-0005-0000-0000-000010000000}"/>
    <cellStyle name="Accent 1 7 2 2" xfId="18" xr:uid="{00000000-0005-0000-0000-000011000000}"/>
    <cellStyle name="Accent 1 7 3" xfId="19" xr:uid="{00000000-0005-0000-0000-000012000000}"/>
    <cellStyle name="Accent 1 8" xfId="20" xr:uid="{00000000-0005-0000-0000-000013000000}"/>
    <cellStyle name="Accent 1 8 2" xfId="21" xr:uid="{00000000-0005-0000-0000-000014000000}"/>
    <cellStyle name="Accent 1 9" xfId="22" xr:uid="{00000000-0005-0000-0000-000015000000}"/>
    <cellStyle name="Accent 1 9 2" xfId="23" xr:uid="{00000000-0005-0000-0000-000016000000}"/>
    <cellStyle name="Accent 2" xfId="24" xr:uid="{00000000-0005-0000-0000-000017000000}"/>
    <cellStyle name="Accent 2 10" xfId="25" xr:uid="{00000000-0005-0000-0000-000018000000}"/>
    <cellStyle name="Accent 2 10 2" xfId="26" xr:uid="{00000000-0005-0000-0000-000019000000}"/>
    <cellStyle name="Accent 2 10 2 2" xfId="27" xr:uid="{00000000-0005-0000-0000-00001A000000}"/>
    <cellStyle name="Accent 2 10 3" xfId="28" xr:uid="{00000000-0005-0000-0000-00001B000000}"/>
    <cellStyle name="Accent 2 11" xfId="29" xr:uid="{00000000-0005-0000-0000-00001C000000}"/>
    <cellStyle name="Accent 2 2" xfId="30" xr:uid="{00000000-0005-0000-0000-00001D000000}"/>
    <cellStyle name="Accent 2 2 2" xfId="31" xr:uid="{00000000-0005-0000-0000-00001E000000}"/>
    <cellStyle name="Accent 2 2 2 2" xfId="32" xr:uid="{00000000-0005-0000-0000-00001F000000}"/>
    <cellStyle name="Accent 2 2 2 2 2" xfId="33" xr:uid="{00000000-0005-0000-0000-000020000000}"/>
    <cellStyle name="Accent 2 2 2 3" xfId="34" xr:uid="{00000000-0005-0000-0000-000021000000}"/>
    <cellStyle name="Accent 2 2 3" xfId="35" xr:uid="{00000000-0005-0000-0000-000022000000}"/>
    <cellStyle name="Accent 2 2 3 2" xfId="36" xr:uid="{00000000-0005-0000-0000-000023000000}"/>
    <cellStyle name="Accent 2 2 4" xfId="37" xr:uid="{00000000-0005-0000-0000-000024000000}"/>
    <cellStyle name="Accent 2 3" xfId="38" xr:uid="{00000000-0005-0000-0000-000025000000}"/>
    <cellStyle name="Accent 2 4" xfId="39" xr:uid="{00000000-0005-0000-0000-000026000000}"/>
    <cellStyle name="Accent 2 7" xfId="40" xr:uid="{00000000-0005-0000-0000-000027000000}"/>
    <cellStyle name="Accent 2 7 2" xfId="41" xr:uid="{00000000-0005-0000-0000-000028000000}"/>
    <cellStyle name="Accent 2 7 2 2" xfId="42" xr:uid="{00000000-0005-0000-0000-000029000000}"/>
    <cellStyle name="Accent 2 7 3" xfId="43" xr:uid="{00000000-0005-0000-0000-00002A000000}"/>
    <cellStyle name="Accent 2 8" xfId="44" xr:uid="{00000000-0005-0000-0000-00002B000000}"/>
    <cellStyle name="Accent 2 8 2" xfId="45" xr:uid="{00000000-0005-0000-0000-00002C000000}"/>
    <cellStyle name="Accent 2 8 2 2" xfId="46" xr:uid="{00000000-0005-0000-0000-00002D000000}"/>
    <cellStyle name="Accent 2 8 3" xfId="47" xr:uid="{00000000-0005-0000-0000-00002E000000}"/>
    <cellStyle name="Accent 2 9" xfId="48" xr:uid="{00000000-0005-0000-0000-00002F000000}"/>
    <cellStyle name="Accent 2 9 2" xfId="49" xr:uid="{00000000-0005-0000-0000-000030000000}"/>
    <cellStyle name="Accent 2 9 2 2" xfId="50" xr:uid="{00000000-0005-0000-0000-000031000000}"/>
    <cellStyle name="Accent 2 9 3" xfId="51" xr:uid="{00000000-0005-0000-0000-000032000000}"/>
    <cellStyle name="Accent 3" xfId="52" xr:uid="{00000000-0005-0000-0000-000033000000}"/>
    <cellStyle name="Accent 3 10" xfId="53" xr:uid="{00000000-0005-0000-0000-000034000000}"/>
    <cellStyle name="Accent 3 10 2" xfId="54" xr:uid="{00000000-0005-0000-0000-000035000000}"/>
    <cellStyle name="Accent 3 10 2 2" xfId="55" xr:uid="{00000000-0005-0000-0000-000036000000}"/>
    <cellStyle name="Accent 3 10 3" xfId="56" xr:uid="{00000000-0005-0000-0000-000037000000}"/>
    <cellStyle name="Accent 3 11" xfId="57" xr:uid="{00000000-0005-0000-0000-000038000000}"/>
    <cellStyle name="Accent 3 11 2" xfId="58" xr:uid="{00000000-0005-0000-0000-000039000000}"/>
    <cellStyle name="Accent 3 11 2 2" xfId="59" xr:uid="{00000000-0005-0000-0000-00003A000000}"/>
    <cellStyle name="Accent 3 11 3" xfId="60" xr:uid="{00000000-0005-0000-0000-00003B000000}"/>
    <cellStyle name="Accent 3 12" xfId="61" xr:uid="{00000000-0005-0000-0000-00003C000000}"/>
    <cellStyle name="Accent 3 2" xfId="62" xr:uid="{00000000-0005-0000-0000-00003D000000}"/>
    <cellStyle name="Accent 3 2 2" xfId="63" xr:uid="{00000000-0005-0000-0000-00003E000000}"/>
    <cellStyle name="Accent 3 2 2 2" xfId="64" xr:uid="{00000000-0005-0000-0000-00003F000000}"/>
    <cellStyle name="Accent 3 2 2 2 2" xfId="65" xr:uid="{00000000-0005-0000-0000-000040000000}"/>
    <cellStyle name="Accent 3 2 2 3" xfId="66" xr:uid="{00000000-0005-0000-0000-000041000000}"/>
    <cellStyle name="Accent 3 2 3" xfId="67" xr:uid="{00000000-0005-0000-0000-000042000000}"/>
    <cellStyle name="Accent 3 2 3 2" xfId="68" xr:uid="{00000000-0005-0000-0000-000043000000}"/>
    <cellStyle name="Accent 3 2 4" xfId="69" xr:uid="{00000000-0005-0000-0000-000044000000}"/>
    <cellStyle name="Accent 3 3" xfId="70" xr:uid="{00000000-0005-0000-0000-000045000000}"/>
    <cellStyle name="Accent 3 4" xfId="71" xr:uid="{00000000-0005-0000-0000-000046000000}"/>
    <cellStyle name="Accent 3 8" xfId="72" xr:uid="{00000000-0005-0000-0000-000047000000}"/>
    <cellStyle name="Accent 3 8 2" xfId="73" xr:uid="{00000000-0005-0000-0000-000048000000}"/>
    <cellStyle name="Accent 3 8 2 2" xfId="74" xr:uid="{00000000-0005-0000-0000-000049000000}"/>
    <cellStyle name="Accent 3 8 3" xfId="75" xr:uid="{00000000-0005-0000-0000-00004A000000}"/>
    <cellStyle name="Accent 3 9" xfId="76" xr:uid="{00000000-0005-0000-0000-00004B000000}"/>
    <cellStyle name="Accent 3 9 2" xfId="77" xr:uid="{00000000-0005-0000-0000-00004C000000}"/>
    <cellStyle name="Accent 3 9 2 2" xfId="78" xr:uid="{00000000-0005-0000-0000-00004D000000}"/>
    <cellStyle name="Accent 3 9 3" xfId="79" xr:uid="{00000000-0005-0000-0000-00004E000000}"/>
    <cellStyle name="Accent 4" xfId="80" xr:uid="{00000000-0005-0000-0000-00004F000000}"/>
    <cellStyle name="Accent 4 2" xfId="81" xr:uid="{00000000-0005-0000-0000-000050000000}"/>
    <cellStyle name="Accent 4 2 2" xfId="82" xr:uid="{00000000-0005-0000-0000-000051000000}"/>
    <cellStyle name="Accent 4 3" xfId="83" xr:uid="{00000000-0005-0000-0000-000052000000}"/>
    <cellStyle name="Accent 5" xfId="84" xr:uid="{00000000-0005-0000-0000-000053000000}"/>
    <cellStyle name="Accent 5 2" xfId="85" xr:uid="{00000000-0005-0000-0000-000054000000}"/>
    <cellStyle name="Accent 6" xfId="86" xr:uid="{00000000-0005-0000-0000-000055000000}"/>
    <cellStyle name="Accent 6 2" xfId="87" xr:uid="{00000000-0005-0000-0000-000056000000}"/>
    <cellStyle name="Accent 7" xfId="88" xr:uid="{00000000-0005-0000-0000-000057000000}"/>
    <cellStyle name="Accent 7 2" xfId="89" xr:uid="{00000000-0005-0000-0000-000058000000}"/>
    <cellStyle name="Accent 8" xfId="90" xr:uid="{00000000-0005-0000-0000-000059000000}"/>
    <cellStyle name="Accent 8 2" xfId="91" xr:uid="{00000000-0005-0000-0000-00005A000000}"/>
    <cellStyle name="Accent 8 3" xfId="92" xr:uid="{00000000-0005-0000-0000-00005B000000}"/>
    <cellStyle name="Accent 9" xfId="93" xr:uid="{00000000-0005-0000-0000-00005C000000}"/>
    <cellStyle name="Accent 9 2" xfId="94" xr:uid="{00000000-0005-0000-0000-00005D000000}"/>
    <cellStyle name="Bad" xfId="95" xr:uid="{00000000-0005-0000-0000-00005E000000}"/>
    <cellStyle name="Bad 10" xfId="96" xr:uid="{00000000-0005-0000-0000-00005F000000}"/>
    <cellStyle name="Bad 10 2" xfId="97" xr:uid="{00000000-0005-0000-0000-000060000000}"/>
    <cellStyle name="Bad 11" xfId="98" xr:uid="{00000000-0005-0000-0000-000061000000}"/>
    <cellStyle name="Bad 11 2" xfId="99" xr:uid="{00000000-0005-0000-0000-000062000000}"/>
    <cellStyle name="Bad 12" xfId="100" xr:uid="{00000000-0005-0000-0000-000063000000}"/>
    <cellStyle name="Bad 12 2" xfId="101" xr:uid="{00000000-0005-0000-0000-000064000000}"/>
    <cellStyle name="Bad 13" xfId="102" xr:uid="{00000000-0005-0000-0000-000065000000}"/>
    <cellStyle name="Bad 2" xfId="103" xr:uid="{00000000-0005-0000-0000-000066000000}"/>
    <cellStyle name="Bad 2 2" xfId="104" xr:uid="{00000000-0005-0000-0000-000067000000}"/>
    <cellStyle name="Bad 2 2 2" xfId="105" xr:uid="{00000000-0005-0000-0000-000068000000}"/>
    <cellStyle name="Bad 2 3" xfId="106" xr:uid="{00000000-0005-0000-0000-000069000000}"/>
    <cellStyle name="Bad 3" xfId="107" xr:uid="{00000000-0005-0000-0000-00006A000000}"/>
    <cellStyle name="Bad 4" xfId="108" xr:uid="{00000000-0005-0000-0000-00006B000000}"/>
    <cellStyle name="Bad 9" xfId="109" xr:uid="{00000000-0005-0000-0000-00006C000000}"/>
    <cellStyle name="Bad 9 2" xfId="110" xr:uid="{00000000-0005-0000-0000-00006D000000}"/>
    <cellStyle name="Error" xfId="111" xr:uid="{00000000-0005-0000-0000-00006E000000}"/>
    <cellStyle name="Error 10" xfId="112" xr:uid="{00000000-0005-0000-0000-00006F000000}"/>
    <cellStyle name="Error 10 2" xfId="113" xr:uid="{00000000-0005-0000-0000-000070000000}"/>
    <cellStyle name="Error 11" xfId="114" xr:uid="{00000000-0005-0000-0000-000071000000}"/>
    <cellStyle name="Error 11 2" xfId="115" xr:uid="{00000000-0005-0000-0000-000072000000}"/>
    <cellStyle name="Error 12" xfId="116" xr:uid="{00000000-0005-0000-0000-000073000000}"/>
    <cellStyle name="Error 12 2" xfId="117" xr:uid="{00000000-0005-0000-0000-000074000000}"/>
    <cellStyle name="Error 13" xfId="118" xr:uid="{00000000-0005-0000-0000-000075000000}"/>
    <cellStyle name="Error 13 2" xfId="119" xr:uid="{00000000-0005-0000-0000-000076000000}"/>
    <cellStyle name="Error 14" xfId="120" xr:uid="{00000000-0005-0000-0000-000077000000}"/>
    <cellStyle name="Error 2" xfId="121" xr:uid="{00000000-0005-0000-0000-000078000000}"/>
    <cellStyle name="Error 2 2" xfId="122" xr:uid="{00000000-0005-0000-0000-000079000000}"/>
    <cellStyle name="Error 2 2 2" xfId="123" xr:uid="{00000000-0005-0000-0000-00007A000000}"/>
    <cellStyle name="Error 2 3" xfId="124" xr:uid="{00000000-0005-0000-0000-00007B000000}"/>
    <cellStyle name="Error 3" xfId="125" xr:uid="{00000000-0005-0000-0000-00007C000000}"/>
    <cellStyle name="Error 4" xfId="126" xr:uid="{00000000-0005-0000-0000-00007D000000}"/>
    <cellStyle name="Excel Built-in Normal" xfId="127" xr:uid="{00000000-0005-0000-0000-00007E000000}"/>
    <cellStyle name="Excel Built-in Normal 1" xfId="128" xr:uid="{00000000-0005-0000-0000-00007F000000}"/>
    <cellStyle name="Excel Built-in Normal 2" xfId="129" xr:uid="{00000000-0005-0000-0000-000080000000}"/>
    <cellStyle name="Excel Built-in Normal 2 2" xfId="130" xr:uid="{00000000-0005-0000-0000-000081000000}"/>
    <cellStyle name="Excel Built-in Normal 2 3" xfId="131" xr:uid="{00000000-0005-0000-0000-000082000000}"/>
    <cellStyle name="Excel Built-in Normal 3" xfId="132" xr:uid="{00000000-0005-0000-0000-000083000000}"/>
    <cellStyle name="Footnote" xfId="133" xr:uid="{00000000-0005-0000-0000-000084000000}"/>
    <cellStyle name="Footnote 11" xfId="134" xr:uid="{00000000-0005-0000-0000-000085000000}"/>
    <cellStyle name="Footnote 11 2" xfId="135" xr:uid="{00000000-0005-0000-0000-000086000000}"/>
    <cellStyle name="Footnote 12" xfId="136" xr:uid="{00000000-0005-0000-0000-000087000000}"/>
    <cellStyle name="Footnote 12 2" xfId="137" xr:uid="{00000000-0005-0000-0000-000088000000}"/>
    <cellStyle name="Footnote 13" xfId="138" xr:uid="{00000000-0005-0000-0000-000089000000}"/>
    <cellStyle name="Footnote 13 2" xfId="139" xr:uid="{00000000-0005-0000-0000-00008A000000}"/>
    <cellStyle name="Footnote 14" xfId="140" xr:uid="{00000000-0005-0000-0000-00008B000000}"/>
    <cellStyle name="Footnote 14 2" xfId="141" xr:uid="{00000000-0005-0000-0000-00008C000000}"/>
    <cellStyle name="Footnote 15" xfId="142" xr:uid="{00000000-0005-0000-0000-00008D000000}"/>
    <cellStyle name="Footnote 2" xfId="143" xr:uid="{00000000-0005-0000-0000-00008E000000}"/>
    <cellStyle name="Footnote 2 2" xfId="144" xr:uid="{00000000-0005-0000-0000-00008F000000}"/>
    <cellStyle name="Footnote 2 2 2" xfId="145" xr:uid="{00000000-0005-0000-0000-000090000000}"/>
    <cellStyle name="Footnote 2 3" xfId="146" xr:uid="{00000000-0005-0000-0000-000091000000}"/>
    <cellStyle name="Footnote 3" xfId="147" xr:uid="{00000000-0005-0000-0000-000092000000}"/>
    <cellStyle name="Footnote 4" xfId="148" xr:uid="{00000000-0005-0000-0000-000093000000}"/>
    <cellStyle name="Good" xfId="149" xr:uid="{00000000-0005-0000-0000-000094000000}"/>
    <cellStyle name="Good 12" xfId="150" xr:uid="{00000000-0005-0000-0000-000095000000}"/>
    <cellStyle name="Good 12 2" xfId="151" xr:uid="{00000000-0005-0000-0000-000096000000}"/>
    <cellStyle name="Good 13" xfId="152" xr:uid="{00000000-0005-0000-0000-000097000000}"/>
    <cellStyle name="Good 13 2" xfId="153" xr:uid="{00000000-0005-0000-0000-000098000000}"/>
    <cellStyle name="Good 14" xfId="154" xr:uid="{00000000-0005-0000-0000-000099000000}"/>
    <cellStyle name="Good 14 2" xfId="155" xr:uid="{00000000-0005-0000-0000-00009A000000}"/>
    <cellStyle name="Good 15" xfId="156" xr:uid="{00000000-0005-0000-0000-00009B000000}"/>
    <cellStyle name="Good 15 2" xfId="157" xr:uid="{00000000-0005-0000-0000-00009C000000}"/>
    <cellStyle name="Good 16" xfId="158" xr:uid="{00000000-0005-0000-0000-00009D000000}"/>
    <cellStyle name="Good 2" xfId="159" xr:uid="{00000000-0005-0000-0000-00009E000000}"/>
    <cellStyle name="Good 2 2" xfId="160" xr:uid="{00000000-0005-0000-0000-00009F000000}"/>
    <cellStyle name="Good 2 2 2" xfId="161" xr:uid="{00000000-0005-0000-0000-0000A0000000}"/>
    <cellStyle name="Good 2 3" xfId="162" xr:uid="{00000000-0005-0000-0000-0000A1000000}"/>
    <cellStyle name="Good 3" xfId="163" xr:uid="{00000000-0005-0000-0000-0000A2000000}"/>
    <cellStyle name="Good 4" xfId="164" xr:uid="{00000000-0005-0000-0000-0000A3000000}"/>
    <cellStyle name="Graphics" xfId="165" xr:uid="{00000000-0005-0000-0000-0000A4000000}"/>
    <cellStyle name="Graphics 2" xfId="166" xr:uid="{00000000-0005-0000-0000-0000A5000000}"/>
    <cellStyle name="Heading" xfId="167" xr:uid="{00000000-0005-0000-0000-0000A6000000}"/>
    <cellStyle name="Heading (user)" xfId="168" xr:uid="{00000000-0005-0000-0000-0000A7000000}"/>
    <cellStyle name="Heading (user) (user)" xfId="169" xr:uid="{00000000-0005-0000-0000-0000A8000000}"/>
    <cellStyle name="Heading (user) (user) (user)" xfId="170" xr:uid="{00000000-0005-0000-0000-0000A9000000}"/>
    <cellStyle name="Heading (user) (user) (user) 2" xfId="171" xr:uid="{00000000-0005-0000-0000-0000AA000000}"/>
    <cellStyle name="Heading (user) 13" xfId="172" xr:uid="{00000000-0005-0000-0000-0000AB000000}"/>
    <cellStyle name="Heading (user) 13 2" xfId="173" xr:uid="{00000000-0005-0000-0000-0000AC000000}"/>
    <cellStyle name="Heading (user) 14" xfId="174" xr:uid="{00000000-0005-0000-0000-0000AD000000}"/>
    <cellStyle name="Heading (user) 14 2" xfId="175" xr:uid="{00000000-0005-0000-0000-0000AE000000}"/>
    <cellStyle name="Heading (user) 15" xfId="176" xr:uid="{00000000-0005-0000-0000-0000AF000000}"/>
    <cellStyle name="Heading (user) 15 2" xfId="177" xr:uid="{00000000-0005-0000-0000-0000B0000000}"/>
    <cellStyle name="Heading (user) 16" xfId="178" xr:uid="{00000000-0005-0000-0000-0000B1000000}"/>
    <cellStyle name="Heading (user) 16 2" xfId="179" xr:uid="{00000000-0005-0000-0000-0000B2000000}"/>
    <cellStyle name="Heading (user) 17" xfId="180" xr:uid="{00000000-0005-0000-0000-0000B3000000}"/>
    <cellStyle name="Heading (user) 2" xfId="181" xr:uid="{00000000-0005-0000-0000-0000B4000000}"/>
    <cellStyle name="Heading (user) 2 2" xfId="182" xr:uid="{00000000-0005-0000-0000-0000B5000000}"/>
    <cellStyle name="Heading (user) 2 2 2" xfId="183" xr:uid="{00000000-0005-0000-0000-0000B6000000}"/>
    <cellStyle name="Heading (user) 2 3" xfId="184" xr:uid="{00000000-0005-0000-0000-0000B7000000}"/>
    <cellStyle name="Heading (user) 3" xfId="185" xr:uid="{00000000-0005-0000-0000-0000B8000000}"/>
    <cellStyle name="Heading (user) 4" xfId="186" xr:uid="{00000000-0005-0000-0000-0000B9000000}"/>
    <cellStyle name="Heading (user) 5" xfId="187" xr:uid="{00000000-0005-0000-0000-0000BA000000}"/>
    <cellStyle name="Heading 1" xfId="188" xr:uid="{00000000-0005-0000-0000-0000BB000000}"/>
    <cellStyle name="Heading 1 14" xfId="189" xr:uid="{00000000-0005-0000-0000-0000BC000000}"/>
    <cellStyle name="Heading 1 14 2" xfId="190" xr:uid="{00000000-0005-0000-0000-0000BD000000}"/>
    <cellStyle name="Heading 1 15" xfId="191" xr:uid="{00000000-0005-0000-0000-0000BE000000}"/>
    <cellStyle name="Heading 1 15 2" xfId="192" xr:uid="{00000000-0005-0000-0000-0000BF000000}"/>
    <cellStyle name="Heading 1 16" xfId="193" xr:uid="{00000000-0005-0000-0000-0000C0000000}"/>
    <cellStyle name="Heading 1 16 2" xfId="194" xr:uid="{00000000-0005-0000-0000-0000C1000000}"/>
    <cellStyle name="Heading 1 17" xfId="195" xr:uid="{00000000-0005-0000-0000-0000C2000000}"/>
    <cellStyle name="Heading 1 17 2" xfId="196" xr:uid="{00000000-0005-0000-0000-0000C3000000}"/>
    <cellStyle name="Heading 1 18" xfId="197" xr:uid="{00000000-0005-0000-0000-0000C4000000}"/>
    <cellStyle name="Heading 1 2" xfId="198" xr:uid="{00000000-0005-0000-0000-0000C5000000}"/>
    <cellStyle name="Heading 1 2 2" xfId="199" xr:uid="{00000000-0005-0000-0000-0000C6000000}"/>
    <cellStyle name="Heading 1 2 2 2" xfId="200" xr:uid="{00000000-0005-0000-0000-0000C7000000}"/>
    <cellStyle name="Heading 1 2 3" xfId="201" xr:uid="{00000000-0005-0000-0000-0000C8000000}"/>
    <cellStyle name="Heading 1 3" xfId="202" xr:uid="{00000000-0005-0000-0000-0000C9000000}"/>
    <cellStyle name="Heading 1 4" xfId="203" xr:uid="{00000000-0005-0000-0000-0000CA000000}"/>
    <cellStyle name="Heading 2" xfId="204" xr:uid="{00000000-0005-0000-0000-0000CB000000}"/>
    <cellStyle name="Heading 2 15" xfId="205" xr:uid="{00000000-0005-0000-0000-0000CC000000}"/>
    <cellStyle name="Heading 2 15 2" xfId="206" xr:uid="{00000000-0005-0000-0000-0000CD000000}"/>
    <cellStyle name="Heading 2 16" xfId="207" xr:uid="{00000000-0005-0000-0000-0000CE000000}"/>
    <cellStyle name="Heading 2 16 2" xfId="208" xr:uid="{00000000-0005-0000-0000-0000CF000000}"/>
    <cellStyle name="Heading 2 17" xfId="209" xr:uid="{00000000-0005-0000-0000-0000D0000000}"/>
    <cellStyle name="Heading 2 17 2" xfId="210" xr:uid="{00000000-0005-0000-0000-0000D1000000}"/>
    <cellStyle name="Heading 2 18" xfId="211" xr:uid="{00000000-0005-0000-0000-0000D2000000}"/>
    <cellStyle name="Heading 2 18 2" xfId="212" xr:uid="{00000000-0005-0000-0000-0000D3000000}"/>
    <cellStyle name="Heading 2 19" xfId="213" xr:uid="{00000000-0005-0000-0000-0000D4000000}"/>
    <cellStyle name="Heading 2 2" xfId="214" xr:uid="{00000000-0005-0000-0000-0000D5000000}"/>
    <cellStyle name="Heading 2 2 2" xfId="215" xr:uid="{00000000-0005-0000-0000-0000D6000000}"/>
    <cellStyle name="Heading 2 2 2 2" xfId="216" xr:uid="{00000000-0005-0000-0000-0000D7000000}"/>
    <cellStyle name="Heading 2 2 3" xfId="217" xr:uid="{00000000-0005-0000-0000-0000D8000000}"/>
    <cellStyle name="Heading 2 3" xfId="218" xr:uid="{00000000-0005-0000-0000-0000D9000000}"/>
    <cellStyle name="Heading 2 4" xfId="219" xr:uid="{00000000-0005-0000-0000-0000DA000000}"/>
    <cellStyle name="Heading 3" xfId="220" xr:uid="{00000000-0005-0000-0000-0000DB000000}"/>
    <cellStyle name="Heading 4" xfId="221" xr:uid="{00000000-0005-0000-0000-0000DC000000}"/>
    <cellStyle name="Heading 5" xfId="222" xr:uid="{00000000-0005-0000-0000-0000DD000000}"/>
    <cellStyle name="Heading 6" xfId="223" xr:uid="{00000000-0005-0000-0000-0000DE000000}"/>
    <cellStyle name="Heading 7" xfId="224" xr:uid="{00000000-0005-0000-0000-0000DF000000}"/>
    <cellStyle name="Heading 8" xfId="225" xr:uid="{00000000-0005-0000-0000-0000E0000000}"/>
    <cellStyle name="Heading 9" xfId="226" xr:uid="{00000000-0005-0000-0000-0000E1000000}"/>
    <cellStyle name="Heading1" xfId="227" xr:uid="{00000000-0005-0000-0000-0000E2000000}"/>
    <cellStyle name="Heading1 (user)" xfId="228" xr:uid="{00000000-0005-0000-0000-0000E3000000}"/>
    <cellStyle name="Heading1 (user) (user)" xfId="229" xr:uid="{00000000-0005-0000-0000-0000E4000000}"/>
    <cellStyle name="Heading1 (user) (user) 2" xfId="230" xr:uid="{00000000-0005-0000-0000-0000E5000000}"/>
    <cellStyle name="Heading1 (user) 2" xfId="231" xr:uid="{00000000-0005-0000-0000-0000E6000000}"/>
    <cellStyle name="Heading1 (user) 3" xfId="232" xr:uid="{00000000-0005-0000-0000-0000E7000000}"/>
    <cellStyle name="Heading1 (user) 4" xfId="428" xr:uid="{F2233750-E13C-4CE5-8421-5AC1E4C0F242}"/>
    <cellStyle name="Heading1 1" xfId="233" xr:uid="{00000000-0005-0000-0000-0000E8000000}"/>
    <cellStyle name="Heading1 1 2" xfId="234" xr:uid="{00000000-0005-0000-0000-0000E9000000}"/>
    <cellStyle name="Heading1 2" xfId="235" xr:uid="{00000000-0005-0000-0000-0000EA000000}"/>
    <cellStyle name="Heading1 2 2" xfId="236" xr:uid="{00000000-0005-0000-0000-0000EB000000}"/>
    <cellStyle name="Heading1 2 3" xfId="237" xr:uid="{00000000-0005-0000-0000-0000EC000000}"/>
    <cellStyle name="Heading1 3" xfId="238" xr:uid="{00000000-0005-0000-0000-0000ED000000}"/>
    <cellStyle name="Heading1 4" xfId="239" xr:uid="{00000000-0005-0000-0000-0000EE000000}"/>
    <cellStyle name="Heading1 5" xfId="240" xr:uid="{00000000-0005-0000-0000-0000EF000000}"/>
    <cellStyle name="Heading1 6" xfId="241" xr:uid="{00000000-0005-0000-0000-0000F0000000}"/>
    <cellStyle name="Hyperlink" xfId="242" xr:uid="{00000000-0005-0000-0000-0000F1000000}"/>
    <cellStyle name="Hyperlink 16" xfId="243" xr:uid="{00000000-0005-0000-0000-0000F2000000}"/>
    <cellStyle name="Hyperlink 16 2" xfId="244" xr:uid="{00000000-0005-0000-0000-0000F3000000}"/>
    <cellStyle name="Hyperlink 17" xfId="245" xr:uid="{00000000-0005-0000-0000-0000F4000000}"/>
    <cellStyle name="Hyperlink 17 2" xfId="246" xr:uid="{00000000-0005-0000-0000-0000F5000000}"/>
    <cellStyle name="Hyperlink 18" xfId="247" xr:uid="{00000000-0005-0000-0000-0000F6000000}"/>
    <cellStyle name="Hyperlink 18 2" xfId="248" xr:uid="{00000000-0005-0000-0000-0000F7000000}"/>
    <cellStyle name="Hyperlink 19" xfId="249" xr:uid="{00000000-0005-0000-0000-0000F8000000}"/>
    <cellStyle name="Hyperlink 19 2" xfId="250" xr:uid="{00000000-0005-0000-0000-0000F9000000}"/>
    <cellStyle name="Hyperlink 2" xfId="251" xr:uid="{00000000-0005-0000-0000-0000FA000000}"/>
    <cellStyle name="Hyperlink 2 2" xfId="252" xr:uid="{00000000-0005-0000-0000-0000FB000000}"/>
    <cellStyle name="Hyperlink 2 2 2" xfId="253" xr:uid="{00000000-0005-0000-0000-0000FC000000}"/>
    <cellStyle name="Hyperlink 2 3" xfId="254" xr:uid="{00000000-0005-0000-0000-0000FD000000}"/>
    <cellStyle name="Hyperlink 20" xfId="255" xr:uid="{00000000-0005-0000-0000-0000FE000000}"/>
    <cellStyle name="Hyperlink 3" xfId="256" xr:uid="{00000000-0005-0000-0000-0000FF000000}"/>
    <cellStyle name="Hyperlink 4" xfId="257" xr:uid="{00000000-0005-0000-0000-000000010000}"/>
    <cellStyle name="Neutral 2" xfId="258" xr:uid="{00000000-0005-0000-0000-000001010000}"/>
    <cellStyle name="Neutral 2 2" xfId="259" xr:uid="{00000000-0005-0000-0000-000002010000}"/>
    <cellStyle name="Neutral 2 2 2" xfId="260" xr:uid="{00000000-0005-0000-0000-000003010000}"/>
    <cellStyle name="Neutral 2 3" xfId="261" xr:uid="{00000000-0005-0000-0000-000004010000}"/>
    <cellStyle name="Neutral 2 4" xfId="262" xr:uid="{00000000-0005-0000-0000-000005010000}"/>
    <cellStyle name="Neutral 3" xfId="263" xr:uid="{00000000-0005-0000-0000-000006010000}"/>
    <cellStyle name="Neutral 3 2" xfId="264" xr:uid="{00000000-0005-0000-0000-000007010000}"/>
    <cellStyle name="Neutral 4" xfId="265" xr:uid="{00000000-0005-0000-0000-000008010000}"/>
    <cellStyle name="Neutral 5" xfId="266" xr:uid="{00000000-0005-0000-0000-000009010000}"/>
    <cellStyle name="Normal" xfId="0" builtinId="0"/>
    <cellStyle name="Normal 10" xfId="427" xr:uid="{954B213A-8BCF-4216-A6B5-96D1A47265E8}"/>
    <cellStyle name="Normal 10 2" xfId="267" xr:uid="{00000000-0005-0000-0000-00000B010000}"/>
    <cellStyle name="Normal 10 2 2" xfId="268" xr:uid="{00000000-0005-0000-0000-00000C010000}"/>
    <cellStyle name="Normal 10 3 13" xfId="269" xr:uid="{00000000-0005-0000-0000-00000D010000}"/>
    <cellStyle name="Normal 10 4" xfId="270" xr:uid="{00000000-0005-0000-0000-00000E010000}"/>
    <cellStyle name="Normal 2" xfId="271" xr:uid="{00000000-0005-0000-0000-00000F010000}"/>
    <cellStyle name="Normal 2 2" xfId="272" xr:uid="{00000000-0005-0000-0000-000010010000}"/>
    <cellStyle name="Normal 2 2 2" xfId="273" xr:uid="{00000000-0005-0000-0000-000011010000}"/>
    <cellStyle name="Normal 2 2 2 2" xfId="274" xr:uid="{00000000-0005-0000-0000-000012010000}"/>
    <cellStyle name="Normal 2 2 3" xfId="275" xr:uid="{00000000-0005-0000-0000-000013010000}"/>
    <cellStyle name="Normal 2 2 3 2" xfId="276" xr:uid="{00000000-0005-0000-0000-000014010000}"/>
    <cellStyle name="Normal 2 2 3 3" xfId="277" xr:uid="{00000000-0005-0000-0000-000015010000}"/>
    <cellStyle name="Normal 2 2 4" xfId="278" xr:uid="{00000000-0005-0000-0000-000016010000}"/>
    <cellStyle name="Normal 2 3" xfId="279" xr:uid="{00000000-0005-0000-0000-000017010000}"/>
    <cellStyle name="Normal 2 3 2" xfId="280" xr:uid="{00000000-0005-0000-0000-000018010000}"/>
    <cellStyle name="Normal 2 3 2 2" xfId="281" xr:uid="{00000000-0005-0000-0000-000019010000}"/>
    <cellStyle name="Normal 2 3 3" xfId="282" xr:uid="{00000000-0005-0000-0000-00001A010000}"/>
    <cellStyle name="Normal 2 3 4" xfId="283" xr:uid="{00000000-0005-0000-0000-00001B010000}"/>
    <cellStyle name="Normal 2 4" xfId="284" xr:uid="{00000000-0005-0000-0000-00001C010000}"/>
    <cellStyle name="Normal 2 4 2" xfId="285" xr:uid="{00000000-0005-0000-0000-00001D010000}"/>
    <cellStyle name="Normal 2 5" xfId="286" xr:uid="{00000000-0005-0000-0000-00001E010000}"/>
    <cellStyle name="Normal 2 5 2" xfId="287" xr:uid="{00000000-0005-0000-0000-00001F010000}"/>
    <cellStyle name="Normal 2 5 3" xfId="288" xr:uid="{00000000-0005-0000-0000-000020010000}"/>
    <cellStyle name="Normal 2 6" xfId="289" xr:uid="{00000000-0005-0000-0000-000021010000}"/>
    <cellStyle name="Normal 3" xfId="290" xr:uid="{00000000-0005-0000-0000-000022010000}"/>
    <cellStyle name="Normal 3 2" xfId="291" xr:uid="{00000000-0005-0000-0000-000023010000}"/>
    <cellStyle name="Normal 3 2 2" xfId="292" xr:uid="{00000000-0005-0000-0000-000024010000}"/>
    <cellStyle name="Normal 3 2 2 2" xfId="293" xr:uid="{00000000-0005-0000-0000-000025010000}"/>
    <cellStyle name="Normal 3 2 2 3" xfId="294" xr:uid="{00000000-0005-0000-0000-000026010000}"/>
    <cellStyle name="Normal 3 2 3" xfId="295" xr:uid="{00000000-0005-0000-0000-000027010000}"/>
    <cellStyle name="Normal 3 2 4" xfId="296" xr:uid="{00000000-0005-0000-0000-000028010000}"/>
    <cellStyle name="Normal 3 2 5" xfId="297" xr:uid="{00000000-0005-0000-0000-000029010000}"/>
    <cellStyle name="Normal 3 3" xfId="298" xr:uid="{00000000-0005-0000-0000-00002A010000}"/>
    <cellStyle name="Normal 3 3 2" xfId="299" xr:uid="{00000000-0005-0000-0000-00002B010000}"/>
    <cellStyle name="Normal 3 3 3" xfId="300" xr:uid="{00000000-0005-0000-0000-00002C010000}"/>
    <cellStyle name="Normal 3 3 4" xfId="301" xr:uid="{00000000-0005-0000-0000-00002D010000}"/>
    <cellStyle name="Normal 3 3 5" xfId="302" xr:uid="{00000000-0005-0000-0000-00002E010000}"/>
    <cellStyle name="Normal 3 4" xfId="303" xr:uid="{00000000-0005-0000-0000-00002F010000}"/>
    <cellStyle name="Normal 3 4 2" xfId="304" xr:uid="{00000000-0005-0000-0000-000030010000}"/>
    <cellStyle name="Normal 3 4 3" xfId="305" xr:uid="{00000000-0005-0000-0000-000031010000}"/>
    <cellStyle name="Normal 3 5" xfId="306" xr:uid="{00000000-0005-0000-0000-000032010000}"/>
    <cellStyle name="Normal 3 6" xfId="307" xr:uid="{00000000-0005-0000-0000-000033010000}"/>
    <cellStyle name="Normal 32" xfId="308" xr:uid="{00000000-0005-0000-0000-000034010000}"/>
    <cellStyle name="Normal 35" xfId="309" xr:uid="{00000000-0005-0000-0000-000035010000}"/>
    <cellStyle name="Normal 4" xfId="310" xr:uid="{00000000-0005-0000-0000-000036010000}"/>
    <cellStyle name="Normal 4 2" xfId="311" xr:uid="{00000000-0005-0000-0000-000037010000}"/>
    <cellStyle name="Normal 4 2 2" xfId="312" xr:uid="{00000000-0005-0000-0000-000038010000}"/>
    <cellStyle name="Normal 4 2 3" xfId="313" xr:uid="{00000000-0005-0000-0000-000039010000}"/>
    <cellStyle name="Normal 4 2 4" xfId="314" xr:uid="{00000000-0005-0000-0000-00003A010000}"/>
    <cellStyle name="Normal 4 3" xfId="315" xr:uid="{00000000-0005-0000-0000-00003B010000}"/>
    <cellStyle name="Normal 4 3 2" xfId="316" xr:uid="{00000000-0005-0000-0000-00003C010000}"/>
    <cellStyle name="Normal 4 3 3" xfId="317" xr:uid="{00000000-0005-0000-0000-00003D010000}"/>
    <cellStyle name="Normal 4 4" xfId="318" xr:uid="{00000000-0005-0000-0000-00003E010000}"/>
    <cellStyle name="Normal 4 5" xfId="319" xr:uid="{00000000-0005-0000-0000-00003F010000}"/>
    <cellStyle name="Normal 5" xfId="320" xr:uid="{00000000-0005-0000-0000-000040010000}"/>
    <cellStyle name="Normal 5 2" xfId="321" xr:uid="{00000000-0005-0000-0000-000041010000}"/>
    <cellStyle name="Normal 5 2 2" xfId="322" xr:uid="{00000000-0005-0000-0000-000042010000}"/>
    <cellStyle name="Normal 5 3" xfId="323" xr:uid="{00000000-0005-0000-0000-000043010000}"/>
    <cellStyle name="Normal 5 4" xfId="324" xr:uid="{00000000-0005-0000-0000-000044010000}"/>
    <cellStyle name="Normal 6" xfId="325" xr:uid="{00000000-0005-0000-0000-000045010000}"/>
    <cellStyle name="Normal 6 2" xfId="326" xr:uid="{00000000-0005-0000-0000-000046010000}"/>
    <cellStyle name="Normal 7" xfId="327" xr:uid="{00000000-0005-0000-0000-000047010000}"/>
    <cellStyle name="Normal 7 2" xfId="328" xr:uid="{00000000-0005-0000-0000-000048010000}"/>
    <cellStyle name="Normal 8" xfId="329" xr:uid="{00000000-0005-0000-0000-000049010000}"/>
    <cellStyle name="Normal 8 2" xfId="330" xr:uid="{00000000-0005-0000-0000-00004A010000}"/>
    <cellStyle name="Normal 8 3" xfId="331" xr:uid="{00000000-0005-0000-0000-00004B010000}"/>
    <cellStyle name="Normal 9" xfId="332" xr:uid="{00000000-0005-0000-0000-00004C010000}"/>
    <cellStyle name="Normal 9 2" xfId="333" xr:uid="{00000000-0005-0000-0000-00004D010000}"/>
    <cellStyle name="Note" xfId="334" xr:uid="{00000000-0005-0000-0000-00004E010000}"/>
    <cellStyle name="Note 17" xfId="335" xr:uid="{00000000-0005-0000-0000-00004F010000}"/>
    <cellStyle name="Note 17 2" xfId="336" xr:uid="{00000000-0005-0000-0000-000050010000}"/>
    <cellStyle name="Note 18" xfId="337" xr:uid="{00000000-0005-0000-0000-000051010000}"/>
    <cellStyle name="Note 18 2" xfId="338" xr:uid="{00000000-0005-0000-0000-000052010000}"/>
    <cellStyle name="Note 19" xfId="339" xr:uid="{00000000-0005-0000-0000-000053010000}"/>
    <cellStyle name="Note 19 2" xfId="340" xr:uid="{00000000-0005-0000-0000-000054010000}"/>
    <cellStyle name="Note 2" xfId="341" xr:uid="{00000000-0005-0000-0000-000055010000}"/>
    <cellStyle name="Note 2 2" xfId="342" xr:uid="{00000000-0005-0000-0000-000056010000}"/>
    <cellStyle name="Note 2 2 2" xfId="343" xr:uid="{00000000-0005-0000-0000-000057010000}"/>
    <cellStyle name="Note 2 3" xfId="344" xr:uid="{00000000-0005-0000-0000-000058010000}"/>
    <cellStyle name="Note 20" xfId="345" xr:uid="{00000000-0005-0000-0000-000059010000}"/>
    <cellStyle name="Note 20 2" xfId="346" xr:uid="{00000000-0005-0000-0000-00005A010000}"/>
    <cellStyle name="Note 21" xfId="347" xr:uid="{00000000-0005-0000-0000-00005B010000}"/>
    <cellStyle name="Note 3" xfId="348" xr:uid="{00000000-0005-0000-0000-00005C010000}"/>
    <cellStyle name="Note 4" xfId="349" xr:uid="{00000000-0005-0000-0000-00005D010000}"/>
    <cellStyle name="Result" xfId="350" xr:uid="{00000000-0005-0000-0000-00005E010000}"/>
    <cellStyle name="Result (user)" xfId="351" xr:uid="{00000000-0005-0000-0000-00005F010000}"/>
    <cellStyle name="Result (user) (user)" xfId="352" xr:uid="{00000000-0005-0000-0000-000060010000}"/>
    <cellStyle name="Result (user) (user) 2" xfId="353" xr:uid="{00000000-0005-0000-0000-000061010000}"/>
    <cellStyle name="Result (user) 2" xfId="354" xr:uid="{00000000-0005-0000-0000-000062010000}"/>
    <cellStyle name="Result (user) 3" xfId="355" xr:uid="{00000000-0005-0000-0000-000063010000}"/>
    <cellStyle name="Result (user) 4" xfId="429" xr:uid="{2E412560-836E-4E05-9C19-0BB6B1E389ED}"/>
    <cellStyle name="Result 1" xfId="356" xr:uid="{00000000-0005-0000-0000-000064010000}"/>
    <cellStyle name="Result 1 2" xfId="357" xr:uid="{00000000-0005-0000-0000-000065010000}"/>
    <cellStyle name="Result 2" xfId="358" xr:uid="{00000000-0005-0000-0000-000066010000}"/>
    <cellStyle name="Result 2 2" xfId="359" xr:uid="{00000000-0005-0000-0000-000067010000}"/>
    <cellStyle name="Result 2 3" xfId="360" xr:uid="{00000000-0005-0000-0000-000068010000}"/>
    <cellStyle name="Result 3" xfId="361" xr:uid="{00000000-0005-0000-0000-000069010000}"/>
    <cellStyle name="Result 4" xfId="362" xr:uid="{00000000-0005-0000-0000-00006A010000}"/>
    <cellStyle name="Result 5" xfId="363" xr:uid="{00000000-0005-0000-0000-00006B010000}"/>
    <cellStyle name="Result2" xfId="364" xr:uid="{00000000-0005-0000-0000-00006C010000}"/>
    <cellStyle name="Result2 (user)" xfId="365" xr:uid="{00000000-0005-0000-0000-00006D010000}"/>
    <cellStyle name="Result2 (user) (user)" xfId="366" xr:uid="{00000000-0005-0000-0000-00006E010000}"/>
    <cellStyle name="Result2 (user) (user) 2" xfId="367" xr:uid="{00000000-0005-0000-0000-00006F010000}"/>
    <cellStyle name="Result2 (user) 2" xfId="368" xr:uid="{00000000-0005-0000-0000-000070010000}"/>
    <cellStyle name="Result2 (user) 3" xfId="369" xr:uid="{00000000-0005-0000-0000-000071010000}"/>
    <cellStyle name="Result2 (user) 4" xfId="430" xr:uid="{EA3EF6D8-EE83-480B-B64B-E57FAE294E33}"/>
    <cellStyle name="Result2 1" xfId="370" xr:uid="{00000000-0005-0000-0000-000072010000}"/>
    <cellStyle name="Result2 1 2" xfId="371" xr:uid="{00000000-0005-0000-0000-000073010000}"/>
    <cellStyle name="Result2 2" xfId="372" xr:uid="{00000000-0005-0000-0000-000074010000}"/>
    <cellStyle name="Result2 2 2" xfId="373" xr:uid="{00000000-0005-0000-0000-000075010000}"/>
    <cellStyle name="Result2 2 3" xfId="374" xr:uid="{00000000-0005-0000-0000-000076010000}"/>
    <cellStyle name="Result2 3" xfId="375" xr:uid="{00000000-0005-0000-0000-000077010000}"/>
    <cellStyle name="Result2 4" xfId="376" xr:uid="{00000000-0005-0000-0000-000078010000}"/>
    <cellStyle name="Result2 5" xfId="377" xr:uid="{00000000-0005-0000-0000-000079010000}"/>
    <cellStyle name="Result2 6" xfId="378" xr:uid="{00000000-0005-0000-0000-00007A010000}"/>
    <cellStyle name="Status" xfId="379" xr:uid="{00000000-0005-0000-0000-00007B010000}"/>
    <cellStyle name="Status 18" xfId="380" xr:uid="{00000000-0005-0000-0000-00007C010000}"/>
    <cellStyle name="Status 18 2" xfId="381" xr:uid="{00000000-0005-0000-0000-00007D010000}"/>
    <cellStyle name="Status 19" xfId="382" xr:uid="{00000000-0005-0000-0000-00007E010000}"/>
    <cellStyle name="Status 19 2" xfId="383" xr:uid="{00000000-0005-0000-0000-00007F010000}"/>
    <cellStyle name="Status 2" xfId="384" xr:uid="{00000000-0005-0000-0000-000080010000}"/>
    <cellStyle name="Status 2 2" xfId="385" xr:uid="{00000000-0005-0000-0000-000081010000}"/>
    <cellStyle name="Status 2 2 2" xfId="386" xr:uid="{00000000-0005-0000-0000-000082010000}"/>
    <cellStyle name="Status 2 3" xfId="387" xr:uid="{00000000-0005-0000-0000-000083010000}"/>
    <cellStyle name="Status 20" xfId="388" xr:uid="{00000000-0005-0000-0000-000084010000}"/>
    <cellStyle name="Status 20 2" xfId="389" xr:uid="{00000000-0005-0000-0000-000085010000}"/>
    <cellStyle name="Status 21" xfId="390" xr:uid="{00000000-0005-0000-0000-000086010000}"/>
    <cellStyle name="Status 21 2" xfId="391" xr:uid="{00000000-0005-0000-0000-000087010000}"/>
    <cellStyle name="Status 22" xfId="392" xr:uid="{00000000-0005-0000-0000-000088010000}"/>
    <cellStyle name="Status 3" xfId="393" xr:uid="{00000000-0005-0000-0000-000089010000}"/>
    <cellStyle name="Status 4" xfId="394" xr:uid="{00000000-0005-0000-0000-00008A010000}"/>
    <cellStyle name="Text" xfId="395" xr:uid="{00000000-0005-0000-0000-00008B010000}"/>
    <cellStyle name="Text 19" xfId="396" xr:uid="{00000000-0005-0000-0000-00008C010000}"/>
    <cellStyle name="Text 19 2" xfId="397" xr:uid="{00000000-0005-0000-0000-00008D010000}"/>
    <cellStyle name="Text 2" xfId="398" xr:uid="{00000000-0005-0000-0000-00008E010000}"/>
    <cellStyle name="Text 2 2" xfId="399" xr:uid="{00000000-0005-0000-0000-00008F010000}"/>
    <cellStyle name="Text 2 2 2" xfId="400" xr:uid="{00000000-0005-0000-0000-000090010000}"/>
    <cellStyle name="Text 2 3" xfId="401" xr:uid="{00000000-0005-0000-0000-000091010000}"/>
    <cellStyle name="Text 20" xfId="402" xr:uid="{00000000-0005-0000-0000-000092010000}"/>
    <cellStyle name="Text 20 2" xfId="403" xr:uid="{00000000-0005-0000-0000-000093010000}"/>
    <cellStyle name="Text 21" xfId="404" xr:uid="{00000000-0005-0000-0000-000094010000}"/>
    <cellStyle name="Text 21 2" xfId="405" xr:uid="{00000000-0005-0000-0000-000095010000}"/>
    <cellStyle name="Text 22" xfId="406" xr:uid="{00000000-0005-0000-0000-000096010000}"/>
    <cellStyle name="Text 22 2" xfId="407" xr:uid="{00000000-0005-0000-0000-000097010000}"/>
    <cellStyle name="Text 23" xfId="408" xr:uid="{00000000-0005-0000-0000-000098010000}"/>
    <cellStyle name="Text 3" xfId="409" xr:uid="{00000000-0005-0000-0000-000099010000}"/>
    <cellStyle name="Text 4" xfId="410" xr:uid="{00000000-0005-0000-0000-00009A010000}"/>
    <cellStyle name="Warning" xfId="411" xr:uid="{00000000-0005-0000-0000-00009B010000}"/>
    <cellStyle name="Warning 2" xfId="412" xr:uid="{00000000-0005-0000-0000-00009C010000}"/>
    <cellStyle name="Warning 2 2" xfId="413" xr:uid="{00000000-0005-0000-0000-00009D010000}"/>
    <cellStyle name="Warning 2 2 2" xfId="414" xr:uid="{00000000-0005-0000-0000-00009E010000}"/>
    <cellStyle name="Warning 2 3" xfId="415" xr:uid="{00000000-0005-0000-0000-00009F010000}"/>
    <cellStyle name="Warning 20" xfId="416" xr:uid="{00000000-0005-0000-0000-0000A0010000}"/>
    <cellStyle name="Warning 20 2" xfId="417" xr:uid="{00000000-0005-0000-0000-0000A1010000}"/>
    <cellStyle name="Warning 21" xfId="418" xr:uid="{00000000-0005-0000-0000-0000A2010000}"/>
    <cellStyle name="Warning 21 2" xfId="419" xr:uid="{00000000-0005-0000-0000-0000A3010000}"/>
    <cellStyle name="Warning 22" xfId="420" xr:uid="{00000000-0005-0000-0000-0000A4010000}"/>
    <cellStyle name="Warning 22 2" xfId="421" xr:uid="{00000000-0005-0000-0000-0000A5010000}"/>
    <cellStyle name="Warning 23" xfId="422" xr:uid="{00000000-0005-0000-0000-0000A6010000}"/>
    <cellStyle name="Warning 23 2" xfId="423" xr:uid="{00000000-0005-0000-0000-0000A7010000}"/>
    <cellStyle name="Warning 24" xfId="424" xr:uid="{00000000-0005-0000-0000-0000A8010000}"/>
    <cellStyle name="Warning 3" xfId="425" xr:uid="{00000000-0005-0000-0000-0000A9010000}"/>
    <cellStyle name="Warning 4" xfId="426" xr:uid="{00000000-0005-0000-0000-0000AA010000}"/>
  </cellStyles>
  <dxfs count="24">
    <dxf>
      <font>
        <color rgb="FF9C0006"/>
      </font>
      <fill>
        <patternFill patternType="solid">
          <bgColor rgb="FFFFC7CE"/>
        </patternFill>
      </fill>
    </dxf>
    <dxf>
      <font>
        <strike/>
      </font>
      <fill>
        <patternFill patternType="darkTrellis">
          <fgColor theme="0"/>
          <bgColor rgb="FFC00000"/>
        </patternFill>
      </fill>
    </dxf>
    <dxf>
      <fill>
        <patternFill patternType="solid">
          <bgColor theme="9" tint="0.59996337778862885"/>
        </patternFill>
      </fill>
    </dxf>
    <dxf>
      <fill>
        <patternFill patternType="solid">
          <bgColor theme="7" tint="0.59996337778862885"/>
        </patternFill>
      </fill>
    </dxf>
    <dxf>
      <font>
        <strike val="0"/>
      </font>
      <fill>
        <patternFill patternType="darkTrellis">
          <fgColor theme="0"/>
          <bgColor rgb="FFC00000"/>
        </patternFill>
      </fill>
    </dxf>
    <dxf>
      <font>
        <strike val="0"/>
      </font>
      <fill>
        <patternFill patternType="darkTrellis">
          <fgColor theme="0"/>
          <bgColor rgb="FFC00000"/>
        </patternFill>
      </fill>
    </dxf>
    <dxf>
      <font>
        <color auto="1"/>
      </font>
      <fill>
        <patternFill patternType="solid">
          <bgColor rgb="FFFF0000"/>
        </patternFill>
      </fill>
      <border>
        <left style="thin">
          <color auto="1"/>
        </left>
        <right style="thin">
          <color auto="1"/>
        </right>
        <top style="thin">
          <color auto="1"/>
        </top>
        <bottom style="thin">
          <color auto="1"/>
        </bottom>
      </border>
    </dxf>
    <dxf>
      <fill>
        <patternFill>
          <bgColor rgb="FF92D050"/>
        </patternFill>
      </fill>
    </dxf>
    <dxf>
      <fill>
        <patternFill patternType="solid">
          <bgColor rgb="FFFF0000"/>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ill>
        <patternFill patternType="mediumGray">
          <fgColor rgb="FFC00000"/>
          <bgColor theme="0"/>
        </patternFill>
      </fill>
    </dxf>
    <dxf>
      <fill>
        <patternFill patternType="solid">
          <bgColor rgb="FF0070C0"/>
        </patternFill>
      </fill>
    </dxf>
    <dxf>
      <fill>
        <patternFill patternType="solid">
          <bgColor rgb="FF0070C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lightUp">
          <bgColor rgb="FF00B0F0"/>
        </patternFill>
      </fill>
    </dxf>
    <dxf>
      <fill>
        <patternFill patternType="lightUp">
          <bgColor rgb="FF00B0F0"/>
        </patternFill>
      </fill>
    </dxf>
    <dxf>
      <fill>
        <patternFill patternType="solid">
          <bgColor theme="5" tint="0.39967040009765925"/>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defaultTableStyle="TableStyleMedium2" defaultPivotStyle="PivotStyleLight16">
    <tableStyle name="OCTUBRE 2025-style" pivot="0" count="3" xr9:uid="{B982AE83-EE69-4F41-9724-25D8B7456F8D}">
      <tableStyleElement type="headerRow" dxfId="23"/>
      <tableStyleElement type="firstRowStripe" dxfId="22"/>
      <tableStyleElement type="secondRowStripe" dxfId="21"/>
    </tableStyle>
  </tableStyles>
  <colors>
    <mruColors>
      <color rgb="FFFFCCFF"/>
      <color rgb="FFFF66CC"/>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microsoft.com/office/2006/relationships/vbaProject" Target="vbaProject.bin"/></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D7053240-CE69-11CD-A777-00DD01143C57}" r:id="rId1"/>
</file>

<file path=xl/activeX/activeX2.xml><?xml version="1.0" encoding="utf-8"?>
<ax:ocx xmlns:ax="http://schemas.microsoft.com/office/2006/activeX" xmlns:r="http://schemas.openxmlformats.org/officeDocument/2006/relationships" ax:classid="{D7053240-CE69-11CD-A777-00DD01143C57}" r:id="rId1"/>
</file>

<file path=xl/ctrlProps/ctrlProp1.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2371725</xdr:colOff>
          <xdr:row>13</xdr:row>
          <xdr:rowOff>142875</xdr:rowOff>
        </xdr:from>
        <xdr:to>
          <xdr:col>5</xdr:col>
          <xdr:colOff>9525</xdr:colOff>
          <xdr:row>15</xdr:row>
          <xdr:rowOff>66675</xdr:rowOff>
        </xdr:to>
        <xdr:sp macro="" textlink="">
          <xdr:nvSpPr>
            <xdr:cNvPr id="2053" name="Button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s-AR" sz="1100" b="0" i="0" u="none" strike="noStrike" baseline="0">
                  <a:solidFill>
                    <a:srgbClr val="000000"/>
                  </a:solidFill>
                  <a:latin typeface="Calibri"/>
                  <a:cs typeface="Calibri"/>
                </a:rPr>
                <a:t>ELIMINAR FILTROS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180975</xdr:rowOff>
        </xdr:from>
        <xdr:to>
          <xdr:col>3</xdr:col>
          <xdr:colOff>314325</xdr:colOff>
          <xdr:row>11</xdr:row>
          <xdr:rowOff>180975</xdr:rowOff>
        </xdr:to>
        <xdr:sp macro="" textlink="">
          <xdr:nvSpPr>
            <xdr:cNvPr id="2055" name="CommandButton2"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142875</xdr:rowOff>
        </xdr:from>
        <xdr:to>
          <xdr:col>3</xdr:col>
          <xdr:colOff>314325</xdr:colOff>
          <xdr:row>5</xdr:row>
          <xdr:rowOff>142875</xdr:rowOff>
        </xdr:to>
        <xdr:sp macro="" textlink="">
          <xdr:nvSpPr>
            <xdr:cNvPr id="2056" name="CommandButton1"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filterMode="1"/>
  <dimension ref="A1:AN214"/>
  <sheetViews>
    <sheetView showGridLines="0" tabSelected="1" workbookViewId="0">
      <pane ySplit="1" topLeftCell="A2" activePane="bottomLeft" state="frozen"/>
      <selection pane="bottomLeft" activeCell="H10" sqref="H10"/>
    </sheetView>
  </sheetViews>
  <sheetFormatPr baseColWidth="10" defaultColWidth="11.42578125" defaultRowHeight="15"/>
  <cols>
    <col min="1" max="1" width="11" style="54" customWidth="1"/>
    <col min="2" max="3" width="11.42578125" style="54"/>
    <col min="4" max="4" width="11.7109375" style="54" customWidth="1"/>
    <col min="5" max="6" width="11.42578125" style="54" customWidth="1"/>
    <col min="7" max="7" width="15.140625" style="54" customWidth="1"/>
    <col min="8" max="8" width="11.42578125" style="113" customWidth="1"/>
    <col min="9" max="9" width="11.42578125" style="54" customWidth="1"/>
    <col min="10" max="10" width="10.42578125" style="54" customWidth="1"/>
    <col min="11" max="11" width="12.5703125" style="54" customWidth="1"/>
    <col min="12" max="12" width="11.42578125" style="54" customWidth="1"/>
    <col min="13" max="14" width="10.85546875" style="54" customWidth="1"/>
    <col min="15" max="15" width="14" style="54" customWidth="1"/>
    <col min="16" max="16" width="7.85546875" style="54" customWidth="1"/>
    <col min="17" max="17" width="9" style="54" customWidth="1"/>
    <col min="18" max="18" width="8.85546875" style="54" customWidth="1"/>
    <col min="19" max="19" width="8.7109375" style="54" customWidth="1"/>
    <col min="20" max="20" width="6.7109375" style="54" customWidth="1"/>
    <col min="21" max="21" width="6.85546875" style="54" customWidth="1"/>
    <col min="22" max="22" width="6.5703125" style="54" customWidth="1"/>
    <col min="23" max="23" width="6.42578125" style="54" customWidth="1"/>
    <col min="24" max="24" width="11.42578125" style="63"/>
    <col min="25" max="25" width="10.7109375" style="49" customWidth="1"/>
    <col min="26" max="27" width="10.28515625" style="49" customWidth="1"/>
    <col min="28" max="28" width="7" style="113" customWidth="1"/>
    <col min="29" max="29" width="8.28515625" style="113" customWidth="1"/>
    <col min="30" max="32" width="11.42578125" style="54" customWidth="1"/>
    <col min="33" max="34" width="11.42578125" style="54"/>
    <col min="35" max="35" width="12.42578125" style="54" customWidth="1"/>
    <col min="36" max="36" width="16" style="54" customWidth="1"/>
    <col min="37" max="37" width="11.42578125" style="54"/>
    <col min="38" max="38" width="9" style="30" customWidth="1"/>
    <col min="39" max="40" width="11.42578125" customWidth="1"/>
    <col min="41" max="16384" width="11.42578125" style="30"/>
  </cols>
  <sheetData>
    <row r="1" spans="1:40" s="53" customFormat="1" ht="57" customHeight="1">
      <c r="A1" s="140" t="s">
        <v>0</v>
      </c>
      <c r="B1" s="56" t="s">
        <v>1</v>
      </c>
      <c r="C1" s="56" t="s">
        <v>2</v>
      </c>
      <c r="D1" s="56" t="s">
        <v>3</v>
      </c>
      <c r="E1" s="56" t="s">
        <v>4</v>
      </c>
      <c r="F1" s="56" t="s">
        <v>5</v>
      </c>
      <c r="G1" s="56" t="s">
        <v>6</v>
      </c>
      <c r="H1" s="56" t="s">
        <v>7</v>
      </c>
      <c r="I1" s="56" t="s">
        <v>8</v>
      </c>
      <c r="J1" s="84" t="s">
        <v>2409</v>
      </c>
      <c r="K1" s="84" t="s">
        <v>2408</v>
      </c>
      <c r="L1" s="56" t="s">
        <v>10</v>
      </c>
      <c r="M1" s="56" t="s">
        <v>11</v>
      </c>
      <c r="N1" s="56" t="s">
        <v>2412</v>
      </c>
      <c r="O1" s="56" t="s">
        <v>12</v>
      </c>
      <c r="P1" s="56" t="s">
        <v>13</v>
      </c>
      <c r="Q1" s="57" t="s">
        <v>14</v>
      </c>
      <c r="R1" s="57" t="s">
        <v>15</v>
      </c>
      <c r="S1" s="57" t="s">
        <v>16</v>
      </c>
      <c r="T1" s="57" t="s">
        <v>17</v>
      </c>
      <c r="U1" s="57" t="s">
        <v>18</v>
      </c>
      <c r="V1" s="57" t="s">
        <v>19</v>
      </c>
      <c r="W1" s="118" t="s">
        <v>20</v>
      </c>
      <c r="X1" s="56" t="s">
        <v>21</v>
      </c>
      <c r="Y1" s="121" t="s">
        <v>22</v>
      </c>
      <c r="Z1" s="56" t="s">
        <v>23</v>
      </c>
      <c r="AA1" s="56" t="s">
        <v>24</v>
      </c>
      <c r="AB1" s="56" t="s">
        <v>25</v>
      </c>
      <c r="AC1" s="56" t="s">
        <v>26</v>
      </c>
      <c r="AD1" s="56" t="s">
        <v>27</v>
      </c>
      <c r="AE1" s="56" t="s">
        <v>28</v>
      </c>
      <c r="AF1" s="56" t="s">
        <v>29</v>
      </c>
      <c r="AG1" s="56" t="s">
        <v>30</v>
      </c>
      <c r="AH1" s="56" t="s">
        <v>31</v>
      </c>
      <c r="AI1" s="56" t="s">
        <v>32</v>
      </c>
      <c r="AJ1" s="58" t="s">
        <v>33</v>
      </c>
      <c r="AK1" s="59" t="s">
        <v>34</v>
      </c>
      <c r="AL1" s="60" t="s">
        <v>35</v>
      </c>
      <c r="AM1" s="60" t="s">
        <v>36</v>
      </c>
      <c r="AN1" s="60" t="s">
        <v>37</v>
      </c>
    </row>
    <row r="2" spans="1:40" s="54" customFormat="1">
      <c r="A2" s="141">
        <v>46185</v>
      </c>
      <c r="B2" s="139" t="str">
        <f t="shared" ref="B2" si="0">IF(AND(VALUE(Q2)&gt;=VALUE("06:00"),VALUE(Q2)&lt;=VALUE("17:59")),"06 A 18","18 A 06")</f>
        <v>18 A 06</v>
      </c>
      <c r="C2" s="62" t="str">
        <f t="shared" ref="C2" si="1">IF(AND(VALUE(Q2)&gt;=VALUE("00:00"),VALUE(Q2)&lt;=VALUE("01:59")),"00:00 a 02:00",IF(AND(VALUE(Q2)&gt;=VALUE("02:00"),VALUE(Q2)&lt;=VALUE("03:59")),"02:00 a 04:00",IF(AND(VALUE(Q2)&gt;=VALUE("04:00"),VALUE(Q2)&lt;=VALUE("05:59")),"04:00 a 06:00",IF(AND(VALUE(Q2)&gt;=VALUE("06:00"),VALUE(Q2)&lt;=VALUE("07:59")),"06:00 a 08:00",IF(AND(VALUE(Q2)&gt;=VALUE("08:00"),VALUE(Q2)&lt;=VALUE("09:59")),"08:00 a 10:00",IF(AND(VALUE(Q2)&gt;=VALUE("10:00"),VALUE(Q2)&lt;=VALUE("11:59")),"10:00 a 12:00",IF(AND(VALUE(Q2)&gt;=VALUE("12:00"),VALUE(Q2)&lt;=VALUE("13:59")),"12:00 a 14:00",IF(AND(VALUE(Q2)&gt;=VALUE("14:00"),VALUE(Q2)&lt;=VALUE("15:59")),"14:00 a 16:00",IF(AND(VALUE(Q2)&gt;=VALUE("16:00"),VALUE(Q2)&lt;=VALUE("17:59")),"16:00 a 18:00",IF(AND(VALUE(Q2)&gt;=VALUE("18:00"),VALUE(Q2)&lt;=VALUE("19:59")),"18:00 a 20:00",IF(AND(VALUE(Q2)&gt;=VALUE("20:00"),VALUE(Q2)&lt;=VALUE("21:59")),"20:00 a 22:00",IF(AND(VALUE(Q2)&gt;=VALUE("22:00"),VALUE(Q2)&lt;=VALUE("23:59")),"22:00 a 00:00","no corresponde"))))))))))))</f>
        <v>00:00 a 02:00</v>
      </c>
      <c r="D2" s="62" t="s">
        <v>284</v>
      </c>
      <c r="E2" s="61">
        <v>4</v>
      </c>
      <c r="F2" s="63" t="s">
        <v>2729</v>
      </c>
      <c r="G2" s="63" t="s">
        <v>2451</v>
      </c>
      <c r="H2" s="114">
        <v>365035</v>
      </c>
      <c r="I2" s="135">
        <v>48375961</v>
      </c>
      <c r="J2" s="61" t="s">
        <v>2627</v>
      </c>
      <c r="K2" s="91" t="s">
        <v>86</v>
      </c>
      <c r="L2" s="61" t="s">
        <v>125</v>
      </c>
      <c r="M2" s="61"/>
      <c r="N2" s="61"/>
      <c r="O2" s="61" t="s">
        <v>2735</v>
      </c>
      <c r="P2" s="64" t="s">
        <v>2639</v>
      </c>
      <c r="Q2" s="65">
        <v>2.361111111111111E-2</v>
      </c>
      <c r="R2" s="65">
        <v>3.1944444444444442E-2</v>
      </c>
      <c r="S2" s="65">
        <v>2.361111111111111E-2</v>
      </c>
      <c r="T2" s="65" t="s">
        <v>2424</v>
      </c>
      <c r="U2" s="65" t="s">
        <v>2424</v>
      </c>
      <c r="V2" s="65" t="s">
        <v>2424</v>
      </c>
      <c r="W2" s="119" t="s">
        <v>2424</v>
      </c>
      <c r="X2" s="151" t="s">
        <v>3164</v>
      </c>
      <c r="Y2" s="122">
        <v>0</v>
      </c>
      <c r="Z2" s="67">
        <v>0</v>
      </c>
      <c r="AA2" s="67">
        <v>0</v>
      </c>
      <c r="AB2" s="108" t="s">
        <v>2640</v>
      </c>
      <c r="AC2" s="108" t="s">
        <v>2637</v>
      </c>
      <c r="AD2" s="61" t="s">
        <v>2638</v>
      </c>
      <c r="AE2" s="61"/>
      <c r="AF2" s="64"/>
      <c r="AG2" s="68" t="s">
        <v>45</v>
      </c>
      <c r="AH2" s="63"/>
      <c r="AI2" s="63"/>
      <c r="AJ2" s="63"/>
      <c r="AK2" s="61"/>
      <c r="AL2" s="49">
        <f>VLOOKUP(G2,VALIDACIONES!P:Q,2,0)</f>
        <v>94485552</v>
      </c>
      <c r="AM2" s="54" t="str">
        <f t="shared" ref="AM2" si="2">IF(OR(Z2&gt;0,Y2&gt;0),"IMPUTADO","NADA")</f>
        <v>NADA</v>
      </c>
      <c r="AN2" s="69" t="str">
        <f>IF(AND(AM2="IMPUTADO",ISBLANK(M2)),"FALTO","NO")</f>
        <v>NO</v>
      </c>
    </row>
    <row r="3" spans="1:40" s="54" customFormat="1">
      <c r="A3" s="141">
        <v>46185</v>
      </c>
      <c r="B3" s="139" t="str">
        <f t="shared" ref="B3:B66" si="3">IF(AND(VALUE(Q3)&gt;=VALUE("06:00"),VALUE(Q3)&lt;=VALUE("17:59")),"06 A 18","18 A 06")</f>
        <v>18 A 06</v>
      </c>
      <c r="C3" s="62" t="str">
        <f t="shared" ref="C3:C66" si="4">IF(AND(VALUE(Q3)&gt;=VALUE("00:00"),VALUE(Q3)&lt;=VALUE("01:59")),"00:00 a 02:00",IF(AND(VALUE(Q3)&gt;=VALUE("02:00"),VALUE(Q3)&lt;=VALUE("03:59")),"02:00 a 04:00",IF(AND(VALUE(Q3)&gt;=VALUE("04:00"),VALUE(Q3)&lt;=VALUE("05:59")),"04:00 a 06:00",IF(AND(VALUE(Q3)&gt;=VALUE("06:00"),VALUE(Q3)&lt;=VALUE("07:59")),"06:00 a 08:00",IF(AND(VALUE(Q3)&gt;=VALUE("08:00"),VALUE(Q3)&lt;=VALUE("09:59")),"08:00 a 10:00",IF(AND(VALUE(Q3)&gt;=VALUE("10:00"),VALUE(Q3)&lt;=VALUE("11:59")),"10:00 a 12:00",IF(AND(VALUE(Q3)&gt;=VALUE("12:00"),VALUE(Q3)&lt;=VALUE("13:59")),"12:00 a 14:00",IF(AND(VALUE(Q3)&gt;=VALUE("14:00"),VALUE(Q3)&lt;=VALUE("15:59")),"14:00 a 16:00",IF(AND(VALUE(Q3)&gt;=VALUE("16:00"),VALUE(Q3)&lt;=VALUE("17:59")),"16:00 a 18:00",IF(AND(VALUE(Q3)&gt;=VALUE("18:00"),VALUE(Q3)&lt;=VALUE("19:59")),"18:00 a 20:00",IF(AND(VALUE(Q3)&gt;=VALUE("20:00"),VALUE(Q3)&lt;=VALUE("21:59")),"20:00 a 22:00",IF(AND(VALUE(Q3)&gt;=VALUE("22:00"),VALUE(Q3)&lt;=VALUE("23:59")),"22:00 a 00:00","no corresponde"))))))))))))</f>
        <v>00:00 a 02:00</v>
      </c>
      <c r="D3" s="62" t="s">
        <v>284</v>
      </c>
      <c r="E3" s="61">
        <v>4</v>
      </c>
      <c r="F3" s="63" t="s">
        <v>2729</v>
      </c>
      <c r="G3" s="63" t="s">
        <v>770</v>
      </c>
      <c r="H3" s="114">
        <v>365092</v>
      </c>
      <c r="I3" s="135">
        <v>48376062</v>
      </c>
      <c r="J3" s="61" t="s">
        <v>2627</v>
      </c>
      <c r="K3" s="83" t="s">
        <v>145</v>
      </c>
      <c r="M3" s="61"/>
      <c r="N3" s="61"/>
      <c r="O3" s="61" t="s">
        <v>2688</v>
      </c>
      <c r="P3" s="64" t="s">
        <v>2639</v>
      </c>
      <c r="Q3" s="65">
        <v>3.8194444444444448E-2</v>
      </c>
      <c r="R3" s="65">
        <v>4.9305555555555554E-2</v>
      </c>
      <c r="S3" s="65">
        <v>4.0972222222222222E-2</v>
      </c>
      <c r="T3" s="65" t="s">
        <v>2424</v>
      </c>
      <c r="U3" s="65" t="s">
        <v>2424</v>
      </c>
      <c r="V3" s="65" t="s">
        <v>2424</v>
      </c>
      <c r="W3" s="119" t="s">
        <v>2424</v>
      </c>
      <c r="X3" s="151" t="s">
        <v>3165</v>
      </c>
      <c r="Y3" s="122">
        <v>0</v>
      </c>
      <c r="Z3" s="67">
        <v>0</v>
      </c>
      <c r="AA3" s="67">
        <v>0</v>
      </c>
      <c r="AB3" s="108" t="s">
        <v>2640</v>
      </c>
      <c r="AC3" s="108" t="s">
        <v>2637</v>
      </c>
      <c r="AD3" s="61" t="s">
        <v>2645</v>
      </c>
      <c r="AE3" s="61"/>
      <c r="AF3" s="64"/>
      <c r="AG3" s="68" t="s">
        <v>45</v>
      </c>
      <c r="AH3" s="63"/>
      <c r="AI3" s="63"/>
      <c r="AJ3" s="63"/>
      <c r="AK3" s="68"/>
      <c r="AL3" s="49">
        <f>VLOOKUP(G3,VALIDACIONES!P:Q,2,0)</f>
        <v>34059155</v>
      </c>
      <c r="AM3" s="54" t="str">
        <f t="shared" ref="AM3:AM66" si="5">IF(OR(Z3&gt;0,Y3&gt;0),"IMPUTADO","NADA")</f>
        <v>NADA</v>
      </c>
      <c r="AN3" s="69" t="str">
        <f t="shared" ref="AN3:AN66" si="6">IF(AND(AM3="IMPUTADO",ISBLANK(M3)),"FALTO","NO")</f>
        <v>NO</v>
      </c>
    </row>
    <row r="4" spans="1:40" s="54" customFormat="1">
      <c r="A4" s="141">
        <v>46185</v>
      </c>
      <c r="B4" s="139" t="str">
        <f t="shared" si="3"/>
        <v>18 A 06</v>
      </c>
      <c r="C4" s="62" t="str">
        <f t="shared" si="4"/>
        <v>00:00 a 02:00</v>
      </c>
      <c r="D4" s="62" t="s">
        <v>284</v>
      </c>
      <c r="E4" s="61">
        <v>4</v>
      </c>
      <c r="F4" s="63" t="s">
        <v>2730</v>
      </c>
      <c r="G4" s="63" t="s">
        <v>1072</v>
      </c>
      <c r="H4" s="114">
        <v>365061</v>
      </c>
      <c r="I4" s="135">
        <v>48375884</v>
      </c>
      <c r="J4" s="61" t="s">
        <v>2627</v>
      </c>
      <c r="K4" s="83" t="s">
        <v>2426</v>
      </c>
      <c r="L4" s="61"/>
      <c r="M4" s="61"/>
      <c r="N4" s="61"/>
      <c r="O4" s="61" t="s">
        <v>2736</v>
      </c>
      <c r="P4" s="64" t="s">
        <v>2652</v>
      </c>
      <c r="Q4" s="65">
        <v>9.7222222222222224E-3</v>
      </c>
      <c r="R4" s="65">
        <v>1.3888888888888888E-2</v>
      </c>
      <c r="S4" s="65">
        <v>9.7222222222222224E-3</v>
      </c>
      <c r="T4" s="65" t="s">
        <v>2424</v>
      </c>
      <c r="U4" s="65" t="s">
        <v>2424</v>
      </c>
      <c r="V4" s="65" t="s">
        <v>2424</v>
      </c>
      <c r="W4" s="119" t="s">
        <v>2424</v>
      </c>
      <c r="X4" s="151" t="s">
        <v>2737</v>
      </c>
      <c r="Y4" s="122">
        <v>0</v>
      </c>
      <c r="Z4" s="67">
        <v>0</v>
      </c>
      <c r="AA4" s="67">
        <v>0</v>
      </c>
      <c r="AB4" s="108" t="s">
        <v>2660</v>
      </c>
      <c r="AC4" s="108" t="s">
        <v>2637</v>
      </c>
      <c r="AD4" s="61" t="s">
        <v>2638</v>
      </c>
      <c r="AE4" s="61" t="s">
        <v>2651</v>
      </c>
      <c r="AF4" s="64"/>
      <c r="AG4" s="68" t="s">
        <v>45</v>
      </c>
      <c r="AH4" s="63"/>
      <c r="AI4" s="63"/>
      <c r="AJ4" s="63"/>
      <c r="AK4" s="68"/>
      <c r="AL4" s="49">
        <f>VLOOKUP(G4,VALIDACIONES!P:Q,2,0)</f>
        <v>95372579</v>
      </c>
      <c r="AM4" s="54" t="str">
        <f t="shared" si="5"/>
        <v>NADA</v>
      </c>
      <c r="AN4" s="69" t="str">
        <f t="shared" si="6"/>
        <v>NO</v>
      </c>
    </row>
    <row r="5" spans="1:40" s="54" customFormat="1">
      <c r="A5" s="141">
        <v>46185</v>
      </c>
      <c r="B5" s="139" t="str">
        <f t="shared" si="3"/>
        <v>18 A 06</v>
      </c>
      <c r="C5" s="62" t="str">
        <f t="shared" si="4"/>
        <v>00:00 a 02:00</v>
      </c>
      <c r="D5" s="62" t="s">
        <v>284</v>
      </c>
      <c r="E5" s="61">
        <v>4</v>
      </c>
      <c r="F5" s="63" t="s">
        <v>2730</v>
      </c>
      <c r="G5" s="63" t="s">
        <v>1393</v>
      </c>
      <c r="H5" s="114">
        <v>365241</v>
      </c>
      <c r="I5" s="135">
        <v>48375887</v>
      </c>
      <c r="J5" s="61" t="s">
        <v>2627</v>
      </c>
      <c r="K5" s="63" t="s">
        <v>86</v>
      </c>
      <c r="L5" s="61" t="s">
        <v>76</v>
      </c>
      <c r="M5" s="61" t="s">
        <v>130</v>
      </c>
      <c r="N5" s="61"/>
      <c r="O5" s="61" t="s">
        <v>2738</v>
      </c>
      <c r="P5" s="64" t="s">
        <v>2739</v>
      </c>
      <c r="Q5" s="65">
        <v>1.6666666666666666E-2</v>
      </c>
      <c r="R5" s="65">
        <v>5.6250000000000001E-2</v>
      </c>
      <c r="S5" s="65">
        <v>1.6666666666666666E-2</v>
      </c>
      <c r="T5" s="65">
        <v>3.125E-2</v>
      </c>
      <c r="U5" s="65" t="s">
        <v>2424</v>
      </c>
      <c r="V5" s="65" t="s">
        <v>2424</v>
      </c>
      <c r="W5" s="119" t="s">
        <v>2424</v>
      </c>
      <c r="X5" s="151" t="s">
        <v>2740</v>
      </c>
      <c r="Y5" s="122">
        <v>0</v>
      </c>
      <c r="Z5" s="67">
        <v>1</v>
      </c>
      <c r="AA5" s="67">
        <v>0</v>
      </c>
      <c r="AB5" s="108" t="s">
        <v>2701</v>
      </c>
      <c r="AC5" s="108" t="s">
        <v>2637</v>
      </c>
      <c r="AD5" s="61" t="s">
        <v>2645</v>
      </c>
      <c r="AE5" s="61"/>
      <c r="AF5" s="64"/>
      <c r="AG5" s="68" t="s">
        <v>62</v>
      </c>
      <c r="AH5" s="63"/>
      <c r="AI5" s="125" t="s">
        <v>3151</v>
      </c>
      <c r="AJ5" s="63"/>
      <c r="AK5" s="68"/>
      <c r="AL5" s="49">
        <f>VLOOKUP(G5,VALIDACIONES!P:Q,2,0)</f>
        <v>94914642</v>
      </c>
      <c r="AM5" s="54" t="str">
        <f t="shared" si="5"/>
        <v>IMPUTADO</v>
      </c>
      <c r="AN5" s="69" t="str">
        <f t="shared" si="6"/>
        <v>NO</v>
      </c>
    </row>
    <row r="6" spans="1:40" s="54" customFormat="1">
      <c r="A6" s="141">
        <v>46185</v>
      </c>
      <c r="B6" s="139" t="str">
        <f t="shared" si="3"/>
        <v>18 A 06</v>
      </c>
      <c r="C6" s="62" t="str">
        <f t="shared" si="4"/>
        <v>00:00 a 02:00</v>
      </c>
      <c r="D6" s="62" t="s">
        <v>284</v>
      </c>
      <c r="E6" s="61">
        <v>4</v>
      </c>
      <c r="F6" s="63" t="s">
        <v>2731</v>
      </c>
      <c r="G6" s="63" t="s">
        <v>436</v>
      </c>
      <c r="H6" s="114">
        <v>365086</v>
      </c>
      <c r="I6" s="135">
        <v>48375938</v>
      </c>
      <c r="J6" s="61" t="s">
        <v>2627</v>
      </c>
      <c r="K6" s="63" t="s">
        <v>86</v>
      </c>
      <c r="L6" s="61" t="s">
        <v>168</v>
      </c>
      <c r="M6" s="61" t="s">
        <v>120</v>
      </c>
      <c r="N6" s="61"/>
      <c r="O6" s="61" t="s">
        <v>2741</v>
      </c>
      <c r="P6" s="64" t="s">
        <v>2661</v>
      </c>
      <c r="Q6" s="65">
        <v>2.0833333333333332E-2</v>
      </c>
      <c r="R6" s="65">
        <v>0.10069444444444445</v>
      </c>
      <c r="S6" s="65">
        <v>2.0833333333333332E-2</v>
      </c>
      <c r="T6" s="65" t="s">
        <v>2424</v>
      </c>
      <c r="U6" s="65" t="s">
        <v>2424</v>
      </c>
      <c r="V6" s="65" t="s">
        <v>2424</v>
      </c>
      <c r="W6" s="119" t="s">
        <v>2424</v>
      </c>
      <c r="X6" s="124" t="s">
        <v>2742</v>
      </c>
      <c r="Y6" s="122">
        <v>0</v>
      </c>
      <c r="Z6" s="67">
        <v>1</v>
      </c>
      <c r="AA6" s="67">
        <v>0</v>
      </c>
      <c r="AB6" s="108" t="s">
        <v>2699</v>
      </c>
      <c r="AC6" s="108" t="s">
        <v>2637</v>
      </c>
      <c r="AD6" s="61" t="s">
        <v>2638</v>
      </c>
      <c r="AE6" s="61" t="s">
        <v>2651</v>
      </c>
      <c r="AF6" s="64" t="s">
        <v>2711</v>
      </c>
      <c r="AG6" s="68" t="s">
        <v>69</v>
      </c>
      <c r="AH6" s="105"/>
      <c r="AI6" s="125" t="s">
        <v>3152</v>
      </c>
      <c r="AJ6" s="63"/>
      <c r="AK6" s="68"/>
      <c r="AL6" s="49">
        <f>VLOOKUP(G6,VALIDACIONES!P:Q,2,0)</f>
        <v>44006001</v>
      </c>
      <c r="AM6" s="54" t="str">
        <f t="shared" si="5"/>
        <v>IMPUTADO</v>
      </c>
      <c r="AN6" s="69" t="str">
        <f t="shared" si="6"/>
        <v>NO</v>
      </c>
    </row>
    <row r="7" spans="1:40" s="54" customFormat="1">
      <c r="A7" s="141">
        <v>46185</v>
      </c>
      <c r="B7" s="139" t="str">
        <f t="shared" si="3"/>
        <v>18 A 06</v>
      </c>
      <c r="C7" s="62" t="str">
        <f t="shared" si="4"/>
        <v>00:00 a 02:00</v>
      </c>
      <c r="D7" s="62" t="s">
        <v>284</v>
      </c>
      <c r="E7" s="61">
        <v>4</v>
      </c>
      <c r="F7" s="63" t="s">
        <v>2730</v>
      </c>
      <c r="G7" s="63" t="s">
        <v>544</v>
      </c>
      <c r="H7" s="114">
        <v>365065</v>
      </c>
      <c r="I7" s="135">
        <v>48376004</v>
      </c>
      <c r="J7" s="61" t="s">
        <v>2627</v>
      </c>
      <c r="K7" s="63" t="s">
        <v>145</v>
      </c>
      <c r="L7" s="61"/>
      <c r="M7" s="61"/>
      <c r="N7" s="61"/>
      <c r="O7" s="61" t="s">
        <v>2743</v>
      </c>
      <c r="P7" s="64" t="s">
        <v>2658</v>
      </c>
      <c r="Q7" s="65">
        <v>3.1944444444444442E-2</v>
      </c>
      <c r="R7" s="65">
        <v>3.6111111111111108E-2</v>
      </c>
      <c r="S7" s="65">
        <v>3.1944444444444442E-2</v>
      </c>
      <c r="T7" s="65" t="s">
        <v>2424</v>
      </c>
      <c r="U7" s="65" t="s">
        <v>2424</v>
      </c>
      <c r="V7" s="65" t="s">
        <v>2424</v>
      </c>
      <c r="W7" s="119" t="s">
        <v>2424</v>
      </c>
      <c r="X7" s="151" t="s">
        <v>2744</v>
      </c>
      <c r="Y7" s="122">
        <v>0</v>
      </c>
      <c r="Z7" s="67">
        <v>0</v>
      </c>
      <c r="AA7" s="67">
        <v>0</v>
      </c>
      <c r="AB7" s="108" t="s">
        <v>2659</v>
      </c>
      <c r="AC7" s="108" t="s">
        <v>2637</v>
      </c>
      <c r="AD7" s="61" t="s">
        <v>2638</v>
      </c>
      <c r="AE7" s="61" t="s">
        <v>2651</v>
      </c>
      <c r="AF7" s="64"/>
      <c r="AG7" s="68" t="s">
        <v>45</v>
      </c>
      <c r="AH7" s="63"/>
      <c r="AI7" s="63"/>
      <c r="AJ7" s="63"/>
      <c r="AK7" s="68"/>
      <c r="AL7" s="49">
        <f>VLOOKUP(G7,VALIDACIONES!P:Q,2,0)</f>
        <v>44262710</v>
      </c>
      <c r="AM7" s="54" t="str">
        <f t="shared" si="5"/>
        <v>NADA</v>
      </c>
      <c r="AN7" s="69" t="str">
        <f t="shared" si="6"/>
        <v>NO</v>
      </c>
    </row>
    <row r="8" spans="1:40" s="54" customFormat="1">
      <c r="A8" s="141">
        <v>46185</v>
      </c>
      <c r="B8" s="139" t="str">
        <f t="shared" si="3"/>
        <v>18 A 06</v>
      </c>
      <c r="C8" s="62" t="str">
        <f t="shared" si="4"/>
        <v>00:00 a 02:00</v>
      </c>
      <c r="D8" s="62" t="s">
        <v>284</v>
      </c>
      <c r="E8" s="61">
        <v>4</v>
      </c>
      <c r="F8" s="63" t="s">
        <v>2730</v>
      </c>
      <c r="G8" s="63" t="s">
        <v>462</v>
      </c>
      <c r="H8" s="114">
        <v>365094</v>
      </c>
      <c r="I8" s="135">
        <v>48376117</v>
      </c>
      <c r="J8" s="61" t="s">
        <v>2627</v>
      </c>
      <c r="K8" s="63" t="s">
        <v>145</v>
      </c>
      <c r="L8" s="61"/>
      <c r="M8" s="61"/>
      <c r="N8" s="61"/>
      <c r="O8" s="61" t="s">
        <v>2745</v>
      </c>
      <c r="P8" s="64" t="s">
        <v>2696</v>
      </c>
      <c r="Q8" s="65">
        <v>5.2777777777777778E-2</v>
      </c>
      <c r="R8" s="65">
        <v>6.9444444444444448E-2</v>
      </c>
      <c r="S8" s="65">
        <v>5.486111111111111E-2</v>
      </c>
      <c r="T8" s="65" t="s">
        <v>2424</v>
      </c>
      <c r="U8" s="65" t="s">
        <v>2424</v>
      </c>
      <c r="V8" s="65" t="s">
        <v>2424</v>
      </c>
      <c r="W8" s="119" t="s">
        <v>2424</v>
      </c>
      <c r="X8" s="151" t="s">
        <v>2746</v>
      </c>
      <c r="Y8" s="122">
        <v>0</v>
      </c>
      <c r="Z8" s="67">
        <v>0</v>
      </c>
      <c r="AA8" s="67">
        <v>0</v>
      </c>
      <c r="AB8" s="108" t="s">
        <v>2697</v>
      </c>
      <c r="AC8" s="108" t="s">
        <v>2637</v>
      </c>
      <c r="AD8" s="61" t="s">
        <v>2638</v>
      </c>
      <c r="AE8" s="61" t="s">
        <v>2651</v>
      </c>
      <c r="AF8" s="64"/>
      <c r="AG8" s="68" t="s">
        <v>45</v>
      </c>
      <c r="AH8" s="63"/>
      <c r="AI8" s="63"/>
      <c r="AJ8" s="63"/>
      <c r="AK8" s="68"/>
      <c r="AL8" s="49">
        <f>VLOOKUP(G8,VALIDACIONES!P:Q,2,0)</f>
        <v>34210219</v>
      </c>
      <c r="AM8" s="54" t="str">
        <f t="shared" si="5"/>
        <v>NADA</v>
      </c>
      <c r="AN8" s="69" t="str">
        <f t="shared" si="6"/>
        <v>NO</v>
      </c>
    </row>
    <row r="9" spans="1:40" s="54" customFormat="1">
      <c r="A9" s="141">
        <v>46185</v>
      </c>
      <c r="B9" s="139" t="str">
        <f t="shared" si="3"/>
        <v>18 A 06</v>
      </c>
      <c r="C9" s="62" t="str">
        <f t="shared" si="4"/>
        <v>00:00 a 02:00</v>
      </c>
      <c r="D9" s="62" t="s">
        <v>284</v>
      </c>
      <c r="E9" s="61">
        <v>4</v>
      </c>
      <c r="F9" s="63" t="s">
        <v>2730</v>
      </c>
      <c r="G9" s="63" t="s">
        <v>1797</v>
      </c>
      <c r="H9" s="114">
        <v>365076</v>
      </c>
      <c r="I9" s="135">
        <v>48376054</v>
      </c>
      <c r="J9" s="61" t="s">
        <v>2627</v>
      </c>
      <c r="K9" s="63" t="s">
        <v>145</v>
      </c>
      <c r="L9" s="61"/>
      <c r="M9" s="61"/>
      <c r="N9" s="61"/>
      <c r="O9" s="61" t="s">
        <v>2747</v>
      </c>
      <c r="P9" s="64" t="s">
        <v>2748</v>
      </c>
      <c r="Q9" s="65">
        <v>4.4444444444444446E-2</v>
      </c>
      <c r="R9" s="65">
        <v>4.9305555555555554E-2</v>
      </c>
      <c r="S9" s="65">
        <v>4.4444444444444446E-2</v>
      </c>
      <c r="T9" s="65" t="s">
        <v>2424</v>
      </c>
      <c r="U9" s="65" t="s">
        <v>2424</v>
      </c>
      <c r="V9" s="65" t="s">
        <v>2424</v>
      </c>
      <c r="W9" s="119" t="s">
        <v>2424</v>
      </c>
      <c r="X9" s="151" t="s">
        <v>2749</v>
      </c>
      <c r="Y9" s="122">
        <v>0</v>
      </c>
      <c r="Z9" s="67">
        <v>0</v>
      </c>
      <c r="AA9" s="67">
        <v>0</v>
      </c>
      <c r="AB9" s="108" t="s">
        <v>2750</v>
      </c>
      <c r="AC9" s="108" t="s">
        <v>2637</v>
      </c>
      <c r="AD9" s="61" t="s">
        <v>2645</v>
      </c>
      <c r="AE9" s="61" t="s">
        <v>2651</v>
      </c>
      <c r="AF9" s="106"/>
      <c r="AG9" s="68" t="s">
        <v>45</v>
      </c>
      <c r="AH9" s="63"/>
      <c r="AI9" s="105"/>
      <c r="AJ9" s="63"/>
      <c r="AK9" s="68"/>
      <c r="AL9" s="49">
        <f>VLOOKUP(G9,VALIDACIONES!P:Q,2,0)</f>
        <v>39561148</v>
      </c>
      <c r="AM9" s="54" t="str">
        <f t="shared" si="5"/>
        <v>NADA</v>
      </c>
      <c r="AN9" s="69" t="str">
        <f t="shared" si="6"/>
        <v>NO</v>
      </c>
    </row>
    <row r="10" spans="1:40" s="54" customFormat="1">
      <c r="A10" s="141">
        <v>46185</v>
      </c>
      <c r="B10" s="139" t="str">
        <f t="shared" si="3"/>
        <v>18 A 06</v>
      </c>
      <c r="C10" s="62" t="str">
        <f t="shared" si="4"/>
        <v>00:00 a 02:00</v>
      </c>
      <c r="D10" s="62" t="s">
        <v>284</v>
      </c>
      <c r="E10" s="61">
        <v>4</v>
      </c>
      <c r="F10" s="63" t="s">
        <v>2732</v>
      </c>
      <c r="G10" s="63" t="s">
        <v>1281</v>
      </c>
      <c r="H10" s="114">
        <v>365182</v>
      </c>
      <c r="I10" s="135">
        <v>48376229</v>
      </c>
      <c r="J10" s="61" t="s">
        <v>2628</v>
      </c>
      <c r="K10" s="63" t="s">
        <v>86</v>
      </c>
      <c r="L10" s="61" t="s">
        <v>173</v>
      </c>
      <c r="M10" s="61"/>
      <c r="N10" s="61"/>
      <c r="O10" s="61" t="s">
        <v>2751</v>
      </c>
      <c r="P10" s="64" t="s">
        <v>2752</v>
      </c>
      <c r="Q10" s="65">
        <v>7.9166666666666663E-2</v>
      </c>
      <c r="R10" s="65">
        <v>9.7916666666666666E-2</v>
      </c>
      <c r="S10" s="65">
        <v>7.9166666666666663E-2</v>
      </c>
      <c r="T10" s="65">
        <v>8.819444444444445E-2</v>
      </c>
      <c r="U10" s="65" t="s">
        <v>2424</v>
      </c>
      <c r="V10" s="65" t="s">
        <v>2424</v>
      </c>
      <c r="W10" s="119" t="s">
        <v>2424</v>
      </c>
      <c r="X10" s="151" t="s">
        <v>3166</v>
      </c>
      <c r="Y10" s="122">
        <v>0</v>
      </c>
      <c r="Z10" s="67">
        <v>0</v>
      </c>
      <c r="AA10" s="67">
        <v>0</v>
      </c>
      <c r="AB10" s="108" t="s">
        <v>2718</v>
      </c>
      <c r="AC10" s="108" t="s">
        <v>2637</v>
      </c>
      <c r="AD10" s="61" t="s">
        <v>2638</v>
      </c>
      <c r="AE10" s="61"/>
      <c r="AF10" s="64"/>
      <c r="AG10" s="68" t="s">
        <v>45</v>
      </c>
      <c r="AH10" s="63"/>
      <c r="AI10" s="63"/>
      <c r="AJ10" s="63"/>
      <c r="AK10" s="68"/>
      <c r="AL10" s="49">
        <f>VLOOKUP(G10,VALIDACIONES!P:Q,2,0)</f>
        <v>43987705</v>
      </c>
      <c r="AM10" s="54" t="str">
        <f t="shared" si="5"/>
        <v>NADA</v>
      </c>
      <c r="AN10" s="69" t="str">
        <f t="shared" si="6"/>
        <v>NO</v>
      </c>
    </row>
    <row r="11" spans="1:40" s="54" customFormat="1">
      <c r="A11" s="141">
        <v>46185</v>
      </c>
      <c r="B11" s="139" t="str">
        <f t="shared" si="3"/>
        <v>18 A 06</v>
      </c>
      <c r="C11" s="62" t="str">
        <f t="shared" si="4"/>
        <v>00:00 a 02:00</v>
      </c>
      <c r="D11" s="62" t="s">
        <v>284</v>
      </c>
      <c r="E11" s="61">
        <v>4</v>
      </c>
      <c r="F11" s="63" t="s">
        <v>2729</v>
      </c>
      <c r="G11" s="63" t="s">
        <v>580</v>
      </c>
      <c r="H11" s="114">
        <v>365169</v>
      </c>
      <c r="I11" s="135">
        <v>48376225</v>
      </c>
      <c r="J11" s="61" t="s">
        <v>2627</v>
      </c>
      <c r="K11" s="63" t="s">
        <v>86</v>
      </c>
      <c r="L11" s="61" t="s">
        <v>173</v>
      </c>
      <c r="M11" s="61" t="s">
        <v>173</v>
      </c>
      <c r="N11" s="61"/>
      <c r="O11" s="61" t="s">
        <v>2753</v>
      </c>
      <c r="P11" s="64" t="s">
        <v>2720</v>
      </c>
      <c r="Q11" s="65">
        <v>8.0555555555555561E-2</v>
      </c>
      <c r="R11" s="65">
        <v>9.0972222222222218E-2</v>
      </c>
      <c r="S11" s="65">
        <v>8.1250000000000003E-2</v>
      </c>
      <c r="T11" s="65" t="s">
        <v>2424</v>
      </c>
      <c r="U11" s="65" t="s">
        <v>2424</v>
      </c>
      <c r="V11" s="65" t="s">
        <v>2424</v>
      </c>
      <c r="W11" s="119" t="s">
        <v>2424</v>
      </c>
      <c r="X11" s="124" t="s">
        <v>2754</v>
      </c>
      <c r="Y11" s="122">
        <v>0</v>
      </c>
      <c r="Z11" s="67">
        <v>3</v>
      </c>
      <c r="AA11" s="67">
        <v>0</v>
      </c>
      <c r="AB11" s="108" t="s">
        <v>2644</v>
      </c>
      <c r="AC11" s="108" t="s">
        <v>2637</v>
      </c>
      <c r="AD11" s="61" t="s">
        <v>2638</v>
      </c>
      <c r="AE11" s="61"/>
      <c r="AF11" s="106" t="s">
        <v>2755</v>
      </c>
      <c r="AG11" s="68" t="s">
        <v>62</v>
      </c>
      <c r="AH11" s="125" t="s">
        <v>3153</v>
      </c>
      <c r="AI11" s="105"/>
      <c r="AJ11" s="63"/>
      <c r="AK11" s="68"/>
      <c r="AL11" s="49">
        <f>VLOOKUP(G11,VALIDACIONES!P:Q,2,0)</f>
        <v>45983709</v>
      </c>
      <c r="AM11" s="54" t="str">
        <f t="shared" si="5"/>
        <v>IMPUTADO</v>
      </c>
      <c r="AN11" s="69" t="str">
        <f t="shared" si="6"/>
        <v>NO</v>
      </c>
    </row>
    <row r="12" spans="1:40" s="54" customFormat="1">
      <c r="A12" s="141">
        <v>46185</v>
      </c>
      <c r="B12" s="139" t="str">
        <f t="shared" si="3"/>
        <v>18 A 06</v>
      </c>
      <c r="C12" s="62" t="str">
        <f t="shared" si="4"/>
        <v>02:00 a 04:00</v>
      </c>
      <c r="D12" s="62" t="s">
        <v>284</v>
      </c>
      <c r="E12" s="61">
        <v>4</v>
      </c>
      <c r="F12" s="63" t="s">
        <v>2729</v>
      </c>
      <c r="G12" s="63" t="s">
        <v>2003</v>
      </c>
      <c r="H12" s="114">
        <v>365224</v>
      </c>
      <c r="I12" s="135">
        <v>48376325</v>
      </c>
      <c r="J12" s="61" t="s">
        <v>2627</v>
      </c>
      <c r="K12" s="63" t="s">
        <v>86</v>
      </c>
      <c r="L12" s="61" t="s">
        <v>168</v>
      </c>
      <c r="M12" s="61" t="s">
        <v>135</v>
      </c>
      <c r="N12" s="61"/>
      <c r="O12" s="61" t="s">
        <v>2756</v>
      </c>
      <c r="P12" s="64" t="s">
        <v>2639</v>
      </c>
      <c r="Q12" s="65">
        <v>0.10555555555555556</v>
      </c>
      <c r="R12" s="65">
        <v>0.125</v>
      </c>
      <c r="S12" s="65">
        <v>0.10555555555555556</v>
      </c>
      <c r="T12" s="65" t="s">
        <v>2424</v>
      </c>
      <c r="U12" s="65" t="s">
        <v>2424</v>
      </c>
      <c r="V12" s="65" t="s">
        <v>2424</v>
      </c>
      <c r="W12" s="119" t="s">
        <v>2424</v>
      </c>
      <c r="X12" s="124" t="s">
        <v>2757</v>
      </c>
      <c r="Y12" s="122">
        <v>0</v>
      </c>
      <c r="Z12" s="67">
        <v>3</v>
      </c>
      <c r="AA12" s="67">
        <v>0</v>
      </c>
      <c r="AB12" s="108" t="s">
        <v>2640</v>
      </c>
      <c r="AC12" s="108" t="s">
        <v>2637</v>
      </c>
      <c r="AD12" s="61" t="s">
        <v>2645</v>
      </c>
      <c r="AE12" s="61"/>
      <c r="AF12" s="64" t="s">
        <v>2758</v>
      </c>
      <c r="AG12" s="68" t="s">
        <v>62</v>
      </c>
      <c r="AH12" s="125" t="s">
        <v>3153</v>
      </c>
      <c r="AI12" s="63"/>
      <c r="AJ12" s="63"/>
      <c r="AK12" s="61"/>
      <c r="AL12" s="49">
        <f>VLOOKUP(G12,VALIDACIONES!P:Q,2,0)</f>
        <v>38026420</v>
      </c>
      <c r="AM12" s="54" t="str">
        <f t="shared" si="5"/>
        <v>IMPUTADO</v>
      </c>
      <c r="AN12" s="69" t="str">
        <f t="shared" si="6"/>
        <v>NO</v>
      </c>
    </row>
    <row r="13" spans="1:40" s="54" customFormat="1">
      <c r="A13" s="141">
        <v>46185</v>
      </c>
      <c r="B13" s="139" t="str">
        <f t="shared" si="3"/>
        <v>18 A 06</v>
      </c>
      <c r="C13" s="62" t="str">
        <f t="shared" si="4"/>
        <v>00:00 a 02:00</v>
      </c>
      <c r="D13" s="62" t="s">
        <v>284</v>
      </c>
      <c r="E13" s="61">
        <v>4</v>
      </c>
      <c r="F13" s="63" t="s">
        <v>2730</v>
      </c>
      <c r="G13" s="63" t="s">
        <v>2227</v>
      </c>
      <c r="H13" s="114">
        <v>365215</v>
      </c>
      <c r="I13" s="135">
        <v>48376172</v>
      </c>
      <c r="J13" s="61" t="s">
        <v>2627</v>
      </c>
      <c r="K13" s="63" t="s">
        <v>145</v>
      </c>
      <c r="L13" s="61"/>
      <c r="M13" s="61"/>
      <c r="N13" s="61"/>
      <c r="O13" s="61" t="s">
        <v>2759</v>
      </c>
      <c r="P13" s="64" t="s">
        <v>2658</v>
      </c>
      <c r="Q13" s="65">
        <v>7.3611111111111113E-2</v>
      </c>
      <c r="R13" s="65">
        <v>7.7083333333333337E-2</v>
      </c>
      <c r="S13" s="65">
        <v>7.3611111111111113E-2</v>
      </c>
      <c r="T13" s="65" t="s">
        <v>2424</v>
      </c>
      <c r="U13" s="65" t="s">
        <v>2424</v>
      </c>
      <c r="V13" s="65" t="s">
        <v>2424</v>
      </c>
      <c r="W13" s="119" t="s">
        <v>2424</v>
      </c>
      <c r="X13" s="124" t="s">
        <v>2760</v>
      </c>
      <c r="Y13" s="122">
        <v>0</v>
      </c>
      <c r="Z13" s="67">
        <v>0</v>
      </c>
      <c r="AA13" s="67">
        <v>0</v>
      </c>
      <c r="AB13" s="108" t="s">
        <v>2636</v>
      </c>
      <c r="AC13" s="108" t="s">
        <v>2637</v>
      </c>
      <c r="AD13" s="61" t="s">
        <v>2638</v>
      </c>
      <c r="AE13" s="61" t="s">
        <v>2651</v>
      </c>
      <c r="AF13" s="64"/>
      <c r="AG13" s="68" t="s">
        <v>45</v>
      </c>
      <c r="AH13" s="63"/>
      <c r="AI13" s="63"/>
      <c r="AJ13" s="63"/>
      <c r="AK13" s="61"/>
      <c r="AL13" s="49">
        <f>VLOOKUP(G13,VALIDACIONES!P:Q,2,0)</f>
        <v>38862287</v>
      </c>
      <c r="AM13" s="54" t="str">
        <f t="shared" si="5"/>
        <v>NADA</v>
      </c>
      <c r="AN13" s="69" t="str">
        <f t="shared" si="6"/>
        <v>NO</v>
      </c>
    </row>
    <row r="14" spans="1:40" s="54" customFormat="1">
      <c r="A14" s="141">
        <v>46185</v>
      </c>
      <c r="B14" s="139" t="str">
        <f t="shared" si="3"/>
        <v>18 A 06</v>
      </c>
      <c r="C14" s="62" t="str">
        <f t="shared" si="4"/>
        <v>00:00 a 02:00</v>
      </c>
      <c r="D14" s="62" t="s">
        <v>284</v>
      </c>
      <c r="E14" s="61">
        <v>4</v>
      </c>
      <c r="F14" s="63" t="s">
        <v>2730</v>
      </c>
      <c r="G14" s="63" t="s">
        <v>2361</v>
      </c>
      <c r="H14" s="114">
        <v>365103</v>
      </c>
      <c r="I14" s="135">
        <v>48376230</v>
      </c>
      <c r="J14" s="61" t="s">
        <v>2627</v>
      </c>
      <c r="K14" s="63" t="s">
        <v>86</v>
      </c>
      <c r="L14" s="61" t="s">
        <v>125</v>
      </c>
      <c r="M14" s="61"/>
      <c r="N14" s="61"/>
      <c r="O14" s="61" t="s">
        <v>2761</v>
      </c>
      <c r="P14" s="64" t="s">
        <v>2661</v>
      </c>
      <c r="Q14" s="65">
        <v>8.1944444444444445E-2</v>
      </c>
      <c r="R14" s="65">
        <v>9.166666666666666E-2</v>
      </c>
      <c r="S14" s="65">
        <v>8.1944444444444445E-2</v>
      </c>
      <c r="T14" s="65" t="s">
        <v>2424</v>
      </c>
      <c r="U14" s="65" t="s">
        <v>2424</v>
      </c>
      <c r="V14" s="65" t="s">
        <v>2424</v>
      </c>
      <c r="W14" s="119" t="s">
        <v>2424</v>
      </c>
      <c r="X14" s="124" t="s">
        <v>2762</v>
      </c>
      <c r="Y14" s="122">
        <v>0</v>
      </c>
      <c r="Z14" s="67">
        <v>0</v>
      </c>
      <c r="AA14" s="67">
        <v>0</v>
      </c>
      <c r="AB14" s="108" t="s">
        <v>2654</v>
      </c>
      <c r="AC14" s="108" t="s">
        <v>2637</v>
      </c>
      <c r="AD14" s="61" t="s">
        <v>2638</v>
      </c>
      <c r="AE14" s="61"/>
      <c r="AF14" s="64"/>
      <c r="AG14" s="68" t="s">
        <v>45</v>
      </c>
      <c r="AH14" s="63"/>
      <c r="AI14" s="63"/>
      <c r="AJ14" s="63"/>
      <c r="AK14" s="68"/>
      <c r="AL14" s="49">
        <f>VLOOKUP(G14,VALIDACIONES!P:Q,2,0)</f>
        <v>43032360</v>
      </c>
      <c r="AM14" s="54" t="str">
        <f t="shared" si="5"/>
        <v>NADA</v>
      </c>
      <c r="AN14" s="69" t="str">
        <f t="shared" si="6"/>
        <v>NO</v>
      </c>
    </row>
    <row r="15" spans="1:40" s="54" customFormat="1">
      <c r="A15" s="141">
        <v>46185</v>
      </c>
      <c r="B15" s="139" t="str">
        <f t="shared" si="3"/>
        <v>18 A 06</v>
      </c>
      <c r="C15" s="62" t="str">
        <f t="shared" si="4"/>
        <v>02:00 a 04:00</v>
      </c>
      <c r="D15" s="62" t="s">
        <v>284</v>
      </c>
      <c r="E15" s="61">
        <v>4</v>
      </c>
      <c r="F15" s="63" t="s">
        <v>2730</v>
      </c>
      <c r="G15" s="63" t="s">
        <v>2122</v>
      </c>
      <c r="H15" s="114">
        <v>365245</v>
      </c>
      <c r="I15" s="135">
        <v>48376355</v>
      </c>
      <c r="J15" s="61" t="s">
        <v>2627</v>
      </c>
      <c r="K15" s="63" t="s">
        <v>86</v>
      </c>
      <c r="L15" s="61" t="s">
        <v>125</v>
      </c>
      <c r="M15" s="61"/>
      <c r="N15" s="61"/>
      <c r="O15" s="61" t="s">
        <v>2763</v>
      </c>
      <c r="P15" s="64" t="s">
        <v>2655</v>
      </c>
      <c r="Q15" s="65">
        <v>0.11666666666666667</v>
      </c>
      <c r="R15" s="65">
        <v>0.12291666666666666</v>
      </c>
      <c r="S15" s="65">
        <v>0.11666666666666667</v>
      </c>
      <c r="T15" s="65" t="s">
        <v>2424</v>
      </c>
      <c r="U15" s="65" t="s">
        <v>2424</v>
      </c>
      <c r="V15" s="65" t="s">
        <v>2424</v>
      </c>
      <c r="W15" s="119" t="s">
        <v>2424</v>
      </c>
      <c r="X15" s="124" t="s">
        <v>2764</v>
      </c>
      <c r="Y15" s="122">
        <v>0</v>
      </c>
      <c r="Z15" s="67">
        <v>0</v>
      </c>
      <c r="AA15" s="67">
        <v>0</v>
      </c>
      <c r="AB15" s="108" t="s">
        <v>2689</v>
      </c>
      <c r="AC15" s="108" t="s">
        <v>2637</v>
      </c>
      <c r="AD15" s="61" t="s">
        <v>2638</v>
      </c>
      <c r="AE15" s="61" t="s">
        <v>2651</v>
      </c>
      <c r="AF15" s="64"/>
      <c r="AG15" s="68" t="s">
        <v>45</v>
      </c>
      <c r="AH15" s="63"/>
      <c r="AI15" s="63"/>
      <c r="AJ15" s="63"/>
      <c r="AK15" s="61"/>
      <c r="AL15" s="49">
        <f>VLOOKUP(G15,VALIDACIONES!P:Q,2,0)</f>
        <v>39416059</v>
      </c>
      <c r="AM15" s="54" t="str">
        <f t="shared" si="5"/>
        <v>NADA</v>
      </c>
      <c r="AN15" s="69" t="str">
        <f t="shared" si="6"/>
        <v>NO</v>
      </c>
    </row>
    <row r="16" spans="1:40" s="54" customFormat="1">
      <c r="A16" s="141">
        <v>46185</v>
      </c>
      <c r="B16" s="139" t="str">
        <f t="shared" si="3"/>
        <v>18 A 06</v>
      </c>
      <c r="C16" s="62" t="str">
        <f t="shared" si="4"/>
        <v>00:00 a 02:00</v>
      </c>
      <c r="D16" s="62" t="s">
        <v>284</v>
      </c>
      <c r="E16" s="61">
        <v>4</v>
      </c>
      <c r="F16" s="63" t="s">
        <v>2730</v>
      </c>
      <c r="G16" s="63" t="s">
        <v>1647</v>
      </c>
      <c r="H16" s="114">
        <v>365165</v>
      </c>
      <c r="I16" s="135">
        <v>48376113</v>
      </c>
      <c r="J16" s="61" t="s">
        <v>2627</v>
      </c>
      <c r="K16" s="63" t="s">
        <v>86</v>
      </c>
      <c r="L16" s="61" t="s">
        <v>198</v>
      </c>
      <c r="M16" s="61" t="s">
        <v>53</v>
      </c>
      <c r="N16" s="61"/>
      <c r="O16" s="61" t="s">
        <v>2765</v>
      </c>
      <c r="P16" s="64" t="s">
        <v>2673</v>
      </c>
      <c r="Q16" s="65">
        <v>6.5277777777777782E-2</v>
      </c>
      <c r="R16" s="65">
        <v>0.11319444444444444</v>
      </c>
      <c r="S16" s="65">
        <v>6.5277777777777782E-2</v>
      </c>
      <c r="T16" s="65" t="s">
        <v>2424</v>
      </c>
      <c r="U16" s="65" t="s">
        <v>2424</v>
      </c>
      <c r="V16" s="65" t="s">
        <v>2424</v>
      </c>
      <c r="W16" s="119" t="s">
        <v>2424</v>
      </c>
      <c r="X16" s="124" t="s">
        <v>2766</v>
      </c>
      <c r="Y16" s="122">
        <v>0</v>
      </c>
      <c r="Z16" s="67">
        <v>1</v>
      </c>
      <c r="AA16" s="67">
        <v>0</v>
      </c>
      <c r="AB16" s="108" t="s">
        <v>2674</v>
      </c>
      <c r="AC16" s="108" t="s">
        <v>2637</v>
      </c>
      <c r="AD16" s="61" t="s">
        <v>2638</v>
      </c>
      <c r="AE16" s="61"/>
      <c r="AF16" s="64" t="s">
        <v>2711</v>
      </c>
      <c r="AG16" s="68" t="s">
        <v>62</v>
      </c>
      <c r="AH16" s="125" t="s">
        <v>3153</v>
      </c>
      <c r="AI16" s="63"/>
      <c r="AJ16" s="63"/>
      <c r="AK16" s="61"/>
      <c r="AL16" s="49">
        <f>VLOOKUP(G16,VALIDACIONES!P:Q,2,0)</f>
        <v>44508898</v>
      </c>
      <c r="AM16" s="54" t="str">
        <f t="shared" si="5"/>
        <v>IMPUTADO</v>
      </c>
      <c r="AN16" s="69" t="str">
        <f t="shared" si="6"/>
        <v>NO</v>
      </c>
    </row>
    <row r="17" spans="1:40" s="54" customFormat="1">
      <c r="A17" s="141">
        <v>46185</v>
      </c>
      <c r="B17" s="139" t="str">
        <f t="shared" si="3"/>
        <v>18 A 06</v>
      </c>
      <c r="C17" s="62" t="str">
        <f t="shared" si="4"/>
        <v>02:00 a 04:00</v>
      </c>
      <c r="D17" s="62" t="s">
        <v>284</v>
      </c>
      <c r="E17" s="61">
        <v>4</v>
      </c>
      <c r="F17" s="63" t="s">
        <v>2730</v>
      </c>
      <c r="G17" s="63" t="s">
        <v>1712</v>
      </c>
      <c r="H17" s="114">
        <v>365244</v>
      </c>
      <c r="I17" s="135">
        <v>48376410</v>
      </c>
      <c r="J17" s="61" t="s">
        <v>2627</v>
      </c>
      <c r="K17" s="63" t="s">
        <v>145</v>
      </c>
      <c r="L17" s="61"/>
      <c r="M17" s="61"/>
      <c r="N17" s="61"/>
      <c r="O17" s="61" t="s">
        <v>2767</v>
      </c>
      <c r="P17" s="64" t="s">
        <v>2768</v>
      </c>
      <c r="Q17" s="65">
        <v>0.13333333333333333</v>
      </c>
      <c r="R17" s="65">
        <v>0.14861111111111111</v>
      </c>
      <c r="S17" s="65">
        <v>0.13333333333333333</v>
      </c>
      <c r="T17" s="65" t="s">
        <v>2424</v>
      </c>
      <c r="U17" s="65" t="s">
        <v>2424</v>
      </c>
      <c r="V17" s="65" t="s">
        <v>2424</v>
      </c>
      <c r="W17" s="119" t="s">
        <v>2424</v>
      </c>
      <c r="X17" s="124" t="s">
        <v>2769</v>
      </c>
      <c r="Y17" s="122">
        <v>0</v>
      </c>
      <c r="Z17" s="67">
        <v>0</v>
      </c>
      <c r="AA17" s="67">
        <v>0</v>
      </c>
      <c r="AB17" s="108" t="s">
        <v>2650</v>
      </c>
      <c r="AC17" s="108" t="s">
        <v>2637</v>
      </c>
      <c r="AD17" s="61" t="s">
        <v>2638</v>
      </c>
      <c r="AE17" s="61" t="s">
        <v>2651</v>
      </c>
      <c r="AF17" s="64"/>
      <c r="AG17" s="68" t="s">
        <v>45</v>
      </c>
      <c r="AH17" s="63"/>
      <c r="AI17" s="63"/>
      <c r="AJ17" s="63"/>
      <c r="AK17" s="61"/>
      <c r="AL17" s="49">
        <f>VLOOKUP(G17,VALIDACIONES!P:Q,2,0)</f>
        <v>25805778</v>
      </c>
      <c r="AM17" s="54" t="str">
        <f t="shared" si="5"/>
        <v>NADA</v>
      </c>
      <c r="AN17" s="69" t="str">
        <f t="shared" si="6"/>
        <v>NO</v>
      </c>
    </row>
    <row r="18" spans="1:40" s="54" customFormat="1">
      <c r="A18" s="141">
        <v>46185</v>
      </c>
      <c r="B18" s="139" t="str">
        <f t="shared" si="3"/>
        <v>18 A 06</v>
      </c>
      <c r="C18" s="62" t="str">
        <f t="shared" si="4"/>
        <v>02:00 a 04:00</v>
      </c>
      <c r="D18" s="62" t="s">
        <v>284</v>
      </c>
      <c r="E18" s="61">
        <v>4</v>
      </c>
      <c r="F18" s="63" t="s">
        <v>2731</v>
      </c>
      <c r="G18" s="63" t="s">
        <v>1072</v>
      </c>
      <c r="H18" s="114">
        <v>365262</v>
      </c>
      <c r="I18" s="135">
        <v>48376356</v>
      </c>
      <c r="J18" s="61" t="s">
        <v>2627</v>
      </c>
      <c r="K18" s="63" t="s">
        <v>86</v>
      </c>
      <c r="L18" s="61" t="s">
        <v>185</v>
      </c>
      <c r="M18" s="61"/>
      <c r="N18" s="61"/>
      <c r="O18" s="61" t="s">
        <v>2770</v>
      </c>
      <c r="P18" s="64" t="s">
        <v>2652</v>
      </c>
      <c r="Q18" s="65">
        <v>0.12916666666666668</v>
      </c>
      <c r="R18" s="65">
        <v>0.14652777777777778</v>
      </c>
      <c r="S18" s="65">
        <v>0.12916666666666668</v>
      </c>
      <c r="T18" s="65">
        <v>0.1423611111111111</v>
      </c>
      <c r="U18" s="65" t="s">
        <v>2424</v>
      </c>
      <c r="V18" s="65" t="s">
        <v>2424</v>
      </c>
      <c r="W18" s="119" t="s">
        <v>2424</v>
      </c>
      <c r="X18" s="124" t="s">
        <v>2771</v>
      </c>
      <c r="Y18" s="122">
        <v>0</v>
      </c>
      <c r="Z18" s="67">
        <v>0</v>
      </c>
      <c r="AA18" s="67">
        <v>0</v>
      </c>
      <c r="AB18" s="108" t="s">
        <v>2660</v>
      </c>
      <c r="AC18" s="108" t="s">
        <v>2637</v>
      </c>
      <c r="AD18" s="61" t="s">
        <v>2638</v>
      </c>
      <c r="AE18" s="61" t="s">
        <v>2651</v>
      </c>
      <c r="AF18" s="64"/>
      <c r="AG18" s="68" t="s">
        <v>45</v>
      </c>
      <c r="AH18" s="63"/>
      <c r="AI18" s="63"/>
      <c r="AJ18" s="63"/>
      <c r="AK18" s="61"/>
      <c r="AL18" s="49">
        <f>VLOOKUP(G18,VALIDACIONES!P:Q,2,0)</f>
        <v>95372579</v>
      </c>
      <c r="AM18" s="54" t="str">
        <f t="shared" si="5"/>
        <v>NADA</v>
      </c>
      <c r="AN18" s="69" t="str">
        <f t="shared" si="6"/>
        <v>NO</v>
      </c>
    </row>
    <row r="19" spans="1:40" s="54" customFormat="1">
      <c r="A19" s="141">
        <v>46185</v>
      </c>
      <c r="B19" s="139" t="str">
        <f t="shared" si="3"/>
        <v>18 A 06</v>
      </c>
      <c r="C19" s="62" t="str">
        <f t="shared" si="4"/>
        <v>02:00 a 04:00</v>
      </c>
      <c r="D19" s="62" t="s">
        <v>284</v>
      </c>
      <c r="E19" s="61">
        <v>4</v>
      </c>
      <c r="F19" s="63" t="s">
        <v>2730</v>
      </c>
      <c r="G19" s="63" t="s">
        <v>1163</v>
      </c>
      <c r="H19" s="114">
        <v>365255</v>
      </c>
      <c r="I19" s="135">
        <v>48376436</v>
      </c>
      <c r="J19" s="61" t="s">
        <v>2627</v>
      </c>
      <c r="K19" s="63" t="s">
        <v>145</v>
      </c>
      <c r="L19" s="61"/>
      <c r="M19" s="61"/>
      <c r="N19" s="61"/>
      <c r="O19" s="61" t="s">
        <v>2772</v>
      </c>
      <c r="P19" s="64" t="s">
        <v>2652</v>
      </c>
      <c r="Q19" s="65">
        <v>0.13750000000000001</v>
      </c>
      <c r="R19" s="65">
        <v>0.15069444444444444</v>
      </c>
      <c r="S19" s="65">
        <v>0.14166666666666666</v>
      </c>
      <c r="T19" s="65" t="s">
        <v>2424</v>
      </c>
      <c r="U19" s="65" t="s">
        <v>2424</v>
      </c>
      <c r="V19" s="65" t="s">
        <v>2424</v>
      </c>
      <c r="W19" s="119" t="s">
        <v>2424</v>
      </c>
      <c r="X19" s="124" t="s">
        <v>2773</v>
      </c>
      <c r="Y19" s="122">
        <v>0</v>
      </c>
      <c r="Z19" s="67">
        <v>0</v>
      </c>
      <c r="AA19" s="67">
        <v>0</v>
      </c>
      <c r="AB19" s="108" t="s">
        <v>2660</v>
      </c>
      <c r="AC19" s="108" t="s">
        <v>2637</v>
      </c>
      <c r="AD19" s="61" t="s">
        <v>2638</v>
      </c>
      <c r="AE19" s="61" t="s">
        <v>2651</v>
      </c>
      <c r="AF19" s="64"/>
      <c r="AG19" s="68" t="s">
        <v>45</v>
      </c>
      <c r="AH19" s="63"/>
      <c r="AI19" s="63"/>
      <c r="AJ19" s="63"/>
      <c r="AK19" s="61"/>
      <c r="AL19" s="49">
        <f>VLOOKUP(G19,VALIDACIONES!P:Q,2,0)</f>
        <v>43629203</v>
      </c>
      <c r="AM19" s="54" t="str">
        <f t="shared" si="5"/>
        <v>NADA</v>
      </c>
      <c r="AN19" s="69" t="str">
        <f t="shared" si="6"/>
        <v>NO</v>
      </c>
    </row>
    <row r="20" spans="1:40" s="54" customFormat="1">
      <c r="A20" s="141">
        <v>46185</v>
      </c>
      <c r="B20" s="139" t="str">
        <f t="shared" si="3"/>
        <v>18 A 06</v>
      </c>
      <c r="C20" s="62" t="str">
        <f t="shared" si="4"/>
        <v>02:00 a 04:00</v>
      </c>
      <c r="D20" s="62" t="s">
        <v>284</v>
      </c>
      <c r="E20" s="61">
        <v>4</v>
      </c>
      <c r="F20" s="63" t="s">
        <v>2731</v>
      </c>
      <c r="G20" s="63" t="s">
        <v>1045</v>
      </c>
      <c r="H20" s="114">
        <v>365248</v>
      </c>
      <c r="I20" s="135">
        <v>48376470</v>
      </c>
      <c r="J20" s="61" t="s">
        <v>2627</v>
      </c>
      <c r="K20" s="63" t="s">
        <v>86</v>
      </c>
      <c r="L20" s="61" t="s">
        <v>136</v>
      </c>
      <c r="M20" s="61"/>
      <c r="N20" s="61"/>
      <c r="O20" s="61" t="s">
        <v>2774</v>
      </c>
      <c r="P20" s="64" t="s">
        <v>2652</v>
      </c>
      <c r="Q20" s="65">
        <v>0.14374999999999999</v>
      </c>
      <c r="R20" s="65">
        <v>0.14930555555555555</v>
      </c>
      <c r="S20" s="65">
        <v>0.14374999999999999</v>
      </c>
      <c r="T20" s="65" t="s">
        <v>2424</v>
      </c>
      <c r="U20" s="65" t="s">
        <v>2424</v>
      </c>
      <c r="V20" s="65" t="s">
        <v>2424</v>
      </c>
      <c r="W20" s="119" t="s">
        <v>2424</v>
      </c>
      <c r="X20" s="124" t="s">
        <v>2775</v>
      </c>
      <c r="Y20" s="122">
        <v>0</v>
      </c>
      <c r="Z20" s="67">
        <v>0</v>
      </c>
      <c r="AA20" s="67">
        <v>0</v>
      </c>
      <c r="AB20" s="108" t="s">
        <v>2653</v>
      </c>
      <c r="AC20" s="108" t="s">
        <v>2637</v>
      </c>
      <c r="AD20" s="61" t="s">
        <v>2638</v>
      </c>
      <c r="AE20" s="61" t="s">
        <v>2651</v>
      </c>
      <c r="AF20" s="64"/>
      <c r="AG20" s="68" t="s">
        <v>45</v>
      </c>
      <c r="AH20" s="63"/>
      <c r="AI20" s="63"/>
      <c r="AJ20" s="63"/>
      <c r="AK20" s="61"/>
      <c r="AL20" s="49">
        <f>VLOOKUP(G20,VALIDACIONES!P:Q,2,0)</f>
        <v>39310688</v>
      </c>
      <c r="AM20" s="54" t="str">
        <f t="shared" si="5"/>
        <v>NADA</v>
      </c>
      <c r="AN20" s="69" t="str">
        <f t="shared" si="6"/>
        <v>NO</v>
      </c>
    </row>
    <row r="21" spans="1:40" s="54" customFormat="1">
      <c r="A21" s="141">
        <v>46185</v>
      </c>
      <c r="B21" s="139" t="str">
        <f t="shared" si="3"/>
        <v>18 A 06</v>
      </c>
      <c r="C21" s="62" t="str">
        <f t="shared" si="4"/>
        <v>02:00 a 04:00</v>
      </c>
      <c r="D21" s="62" t="s">
        <v>284</v>
      </c>
      <c r="E21" s="61">
        <v>4</v>
      </c>
      <c r="F21" s="63" t="s">
        <v>2731</v>
      </c>
      <c r="G21" s="63" t="s">
        <v>2032</v>
      </c>
      <c r="H21" s="114">
        <v>365234</v>
      </c>
      <c r="I21" s="135">
        <v>48376476</v>
      </c>
      <c r="J21" s="61" t="s">
        <v>2627</v>
      </c>
      <c r="K21" s="63" t="s">
        <v>86</v>
      </c>
      <c r="L21" s="61" t="s">
        <v>131</v>
      </c>
      <c r="M21" s="61"/>
      <c r="N21" s="61"/>
      <c r="O21" s="61" t="s">
        <v>2776</v>
      </c>
      <c r="P21" s="64" t="s">
        <v>2655</v>
      </c>
      <c r="Q21" s="65">
        <v>0.14861111111111111</v>
      </c>
      <c r="R21" s="65">
        <v>0.16111111111111112</v>
      </c>
      <c r="S21" s="65">
        <v>0.14861111111111111</v>
      </c>
      <c r="T21" s="65" t="s">
        <v>2424</v>
      </c>
      <c r="U21" s="65" t="s">
        <v>2424</v>
      </c>
      <c r="V21" s="65" t="s">
        <v>2424</v>
      </c>
      <c r="W21" s="119" t="s">
        <v>2424</v>
      </c>
      <c r="X21" s="124" t="s">
        <v>2777</v>
      </c>
      <c r="Y21" s="122">
        <v>0</v>
      </c>
      <c r="Z21" s="67">
        <v>0</v>
      </c>
      <c r="AA21" s="67">
        <v>0</v>
      </c>
      <c r="AB21" s="108" t="s">
        <v>2656</v>
      </c>
      <c r="AC21" s="108" t="s">
        <v>2637</v>
      </c>
      <c r="AD21" s="61" t="s">
        <v>2638</v>
      </c>
      <c r="AE21" s="61"/>
      <c r="AF21" s="64"/>
      <c r="AG21" s="68" t="s">
        <v>45</v>
      </c>
      <c r="AH21" s="63"/>
      <c r="AI21" s="63"/>
      <c r="AJ21" s="63"/>
      <c r="AK21" s="61"/>
      <c r="AL21" s="49">
        <f>VLOOKUP(G21,VALIDACIONES!P:Q,2,0)</f>
        <v>45756657</v>
      </c>
      <c r="AM21" s="54" t="str">
        <f t="shared" si="5"/>
        <v>NADA</v>
      </c>
      <c r="AN21" s="69" t="str">
        <f t="shared" si="6"/>
        <v>NO</v>
      </c>
    </row>
    <row r="22" spans="1:40" s="54" customFormat="1">
      <c r="A22" s="141">
        <v>46185</v>
      </c>
      <c r="B22" s="139" t="str">
        <f t="shared" si="3"/>
        <v>18 A 06</v>
      </c>
      <c r="C22" s="62" t="str">
        <f t="shared" si="4"/>
        <v>00:00 a 02:00</v>
      </c>
      <c r="D22" s="62" t="s">
        <v>284</v>
      </c>
      <c r="E22" s="61">
        <v>4</v>
      </c>
      <c r="F22" s="63" t="s">
        <v>2730</v>
      </c>
      <c r="G22" s="63" t="s">
        <v>2189</v>
      </c>
      <c r="H22" s="114">
        <v>365256</v>
      </c>
      <c r="I22" s="135">
        <v>48376122</v>
      </c>
      <c r="J22" s="61" t="s">
        <v>2627</v>
      </c>
      <c r="K22" s="63" t="s">
        <v>145</v>
      </c>
      <c r="L22" s="61"/>
      <c r="M22" s="61"/>
      <c r="N22" s="61"/>
      <c r="O22" s="61" t="s">
        <v>2778</v>
      </c>
      <c r="P22" s="64" t="s">
        <v>2682</v>
      </c>
      <c r="Q22" s="65">
        <v>5.4166666666666669E-2</v>
      </c>
      <c r="R22" s="65">
        <v>8.4027777777777785E-2</v>
      </c>
      <c r="S22" s="65">
        <v>5.4166666666666669E-2</v>
      </c>
      <c r="T22" s="65" t="s">
        <v>2424</v>
      </c>
      <c r="U22" s="65" t="s">
        <v>2424</v>
      </c>
      <c r="V22" s="65" t="s">
        <v>2424</v>
      </c>
      <c r="W22" s="119" t="s">
        <v>2424</v>
      </c>
      <c r="X22" s="124" t="s">
        <v>2779</v>
      </c>
      <c r="Y22" s="122">
        <v>0</v>
      </c>
      <c r="Z22" s="67">
        <v>0</v>
      </c>
      <c r="AA22" s="67">
        <v>0</v>
      </c>
      <c r="AB22" s="108" t="s">
        <v>2683</v>
      </c>
      <c r="AC22" s="108" t="s">
        <v>2637</v>
      </c>
      <c r="AD22" s="61" t="s">
        <v>2638</v>
      </c>
      <c r="AE22" s="61" t="s">
        <v>2651</v>
      </c>
      <c r="AF22" s="64"/>
      <c r="AG22" s="68" t="s">
        <v>45</v>
      </c>
      <c r="AH22" s="63"/>
      <c r="AI22" s="63"/>
      <c r="AJ22" s="63"/>
      <c r="AK22" s="61"/>
      <c r="AL22" s="49">
        <f>VLOOKUP(G22,VALIDACIONES!P:Q,2,0)</f>
        <v>22310347</v>
      </c>
      <c r="AM22" s="54" t="str">
        <f t="shared" si="5"/>
        <v>NADA</v>
      </c>
      <c r="AN22" s="69" t="str">
        <f t="shared" si="6"/>
        <v>NO</v>
      </c>
    </row>
    <row r="23" spans="1:40" s="54" customFormat="1">
      <c r="A23" s="141">
        <v>46185</v>
      </c>
      <c r="B23" s="139" t="str">
        <f t="shared" si="3"/>
        <v>18 A 06</v>
      </c>
      <c r="C23" s="62" t="str">
        <f t="shared" si="4"/>
        <v>02:00 a 04:00</v>
      </c>
      <c r="D23" s="62" t="s">
        <v>284</v>
      </c>
      <c r="E23" s="61">
        <v>4</v>
      </c>
      <c r="F23" s="63" t="s">
        <v>2732</v>
      </c>
      <c r="G23" s="63" t="s">
        <v>396</v>
      </c>
      <c r="H23" s="114">
        <v>365207</v>
      </c>
      <c r="I23" s="135">
        <v>48376541</v>
      </c>
      <c r="J23" s="61" t="s">
        <v>2628</v>
      </c>
      <c r="K23" s="63" t="s">
        <v>145</v>
      </c>
      <c r="L23" s="61"/>
      <c r="M23" s="61"/>
      <c r="N23" s="61"/>
      <c r="O23" s="61" t="s">
        <v>2780</v>
      </c>
      <c r="P23" s="64" t="s">
        <v>2646</v>
      </c>
      <c r="Q23" s="65">
        <v>0.16180555555555556</v>
      </c>
      <c r="R23" s="65">
        <v>0.18333333333333332</v>
      </c>
      <c r="S23" s="65">
        <v>0.17152777777777778</v>
      </c>
      <c r="T23" s="65" t="s">
        <v>2424</v>
      </c>
      <c r="U23" s="65" t="s">
        <v>2424</v>
      </c>
      <c r="V23" s="65" t="s">
        <v>2424</v>
      </c>
      <c r="W23" s="119" t="s">
        <v>2424</v>
      </c>
      <c r="X23" s="124" t="s">
        <v>2781</v>
      </c>
      <c r="Y23" s="122">
        <v>0</v>
      </c>
      <c r="Z23" s="67">
        <v>0</v>
      </c>
      <c r="AA23" s="67">
        <v>0</v>
      </c>
      <c r="AB23" s="108" t="s">
        <v>2647</v>
      </c>
      <c r="AC23" s="108" t="s">
        <v>2637</v>
      </c>
      <c r="AD23" s="61" t="s">
        <v>2645</v>
      </c>
      <c r="AE23" s="61"/>
      <c r="AF23" s="64"/>
      <c r="AG23" s="68" t="s">
        <v>45</v>
      </c>
      <c r="AH23" s="63"/>
      <c r="AI23" s="63"/>
      <c r="AJ23" s="63"/>
      <c r="AK23" s="61"/>
      <c r="AL23" s="49">
        <f>VLOOKUP(G23,VALIDACIONES!P:Q,2,0)</f>
        <v>31500140</v>
      </c>
      <c r="AM23" s="54" t="str">
        <f t="shared" si="5"/>
        <v>NADA</v>
      </c>
      <c r="AN23" s="69" t="str">
        <f t="shared" si="6"/>
        <v>NO</v>
      </c>
    </row>
    <row r="24" spans="1:40" s="54" customFormat="1">
      <c r="A24" s="141">
        <v>46185</v>
      </c>
      <c r="B24" s="139" t="str">
        <f t="shared" si="3"/>
        <v>18 A 06</v>
      </c>
      <c r="C24" s="62" t="str">
        <f t="shared" si="4"/>
        <v>04:00 a 06:00</v>
      </c>
      <c r="D24" s="62" t="s">
        <v>284</v>
      </c>
      <c r="E24" s="61">
        <v>4</v>
      </c>
      <c r="F24" s="63" t="s">
        <v>2730</v>
      </c>
      <c r="G24" s="63" t="s">
        <v>1712</v>
      </c>
      <c r="H24" s="114">
        <v>365246</v>
      </c>
      <c r="I24" s="135">
        <v>48376575</v>
      </c>
      <c r="J24" s="61" t="s">
        <v>2627</v>
      </c>
      <c r="K24" s="63" t="s">
        <v>152</v>
      </c>
      <c r="L24" s="61"/>
      <c r="M24" s="61"/>
      <c r="N24" s="61"/>
      <c r="O24" s="61" t="s">
        <v>2782</v>
      </c>
      <c r="P24" s="64" t="s">
        <v>2682</v>
      </c>
      <c r="Q24" s="65">
        <v>0.18333333333333332</v>
      </c>
      <c r="R24" s="65">
        <v>0.18958333333333333</v>
      </c>
      <c r="S24" s="65">
        <v>0.18333333333333332</v>
      </c>
      <c r="T24" s="65" t="s">
        <v>2424</v>
      </c>
      <c r="U24" s="65" t="s">
        <v>2424</v>
      </c>
      <c r="V24" s="65" t="s">
        <v>2424</v>
      </c>
      <c r="W24" s="119" t="s">
        <v>2424</v>
      </c>
      <c r="X24" s="124" t="s">
        <v>2783</v>
      </c>
      <c r="Y24" s="122">
        <v>0</v>
      </c>
      <c r="Z24" s="67">
        <v>0</v>
      </c>
      <c r="AA24" s="67">
        <v>0</v>
      </c>
      <c r="AB24" s="108" t="s">
        <v>2683</v>
      </c>
      <c r="AC24" s="108" t="s">
        <v>2637</v>
      </c>
      <c r="AD24" s="61" t="s">
        <v>2638</v>
      </c>
      <c r="AE24" s="61" t="s">
        <v>2651</v>
      </c>
      <c r="AF24" s="106"/>
      <c r="AG24" s="68" t="s">
        <v>45</v>
      </c>
      <c r="AH24" s="63"/>
      <c r="AI24" s="105"/>
      <c r="AJ24" s="63"/>
      <c r="AK24" s="61"/>
      <c r="AL24" s="49">
        <f>VLOOKUP(G24,VALIDACIONES!P:Q,2,0)</f>
        <v>25805778</v>
      </c>
      <c r="AM24" s="54" t="str">
        <f t="shared" si="5"/>
        <v>NADA</v>
      </c>
      <c r="AN24" s="69" t="str">
        <f t="shared" si="6"/>
        <v>NO</v>
      </c>
    </row>
    <row r="25" spans="1:40" s="54" customFormat="1">
      <c r="A25" s="141">
        <v>46185</v>
      </c>
      <c r="B25" s="139" t="str">
        <f t="shared" si="3"/>
        <v>18 A 06</v>
      </c>
      <c r="C25" s="62" t="str">
        <f t="shared" si="4"/>
        <v>04:00 a 06:00</v>
      </c>
      <c r="D25" s="62" t="s">
        <v>284</v>
      </c>
      <c r="E25" s="61">
        <v>4</v>
      </c>
      <c r="F25" s="63" t="s">
        <v>2730</v>
      </c>
      <c r="G25" s="63" t="s">
        <v>853</v>
      </c>
      <c r="H25" s="114">
        <v>365257</v>
      </c>
      <c r="I25" s="135">
        <v>48376615</v>
      </c>
      <c r="J25" s="61" t="s">
        <v>2627</v>
      </c>
      <c r="K25" s="63" t="s">
        <v>86</v>
      </c>
      <c r="L25" s="61" t="s">
        <v>173</v>
      </c>
      <c r="M25" s="61"/>
      <c r="N25" s="61"/>
      <c r="O25" s="61" t="s">
        <v>2784</v>
      </c>
      <c r="P25" s="64" t="s">
        <v>2748</v>
      </c>
      <c r="Q25" s="65">
        <v>0.2</v>
      </c>
      <c r="R25" s="65">
        <v>0.20624999999999999</v>
      </c>
      <c r="S25" s="65">
        <v>0.2</v>
      </c>
      <c r="T25" s="65" t="s">
        <v>2424</v>
      </c>
      <c r="U25" s="65" t="s">
        <v>2424</v>
      </c>
      <c r="V25" s="65" t="s">
        <v>2424</v>
      </c>
      <c r="W25" s="119" t="s">
        <v>2424</v>
      </c>
      <c r="X25" s="124" t="s">
        <v>2785</v>
      </c>
      <c r="Y25" s="122">
        <v>0</v>
      </c>
      <c r="Z25" s="67">
        <v>0</v>
      </c>
      <c r="AA25" s="67">
        <v>0</v>
      </c>
      <c r="AB25" s="108" t="s">
        <v>2750</v>
      </c>
      <c r="AC25" s="108" t="s">
        <v>2637</v>
      </c>
      <c r="AD25" s="61" t="s">
        <v>2638</v>
      </c>
      <c r="AE25" s="61" t="s">
        <v>2651</v>
      </c>
      <c r="AF25" s="64"/>
      <c r="AG25" s="68" t="s">
        <v>45</v>
      </c>
      <c r="AH25" s="63"/>
      <c r="AI25" s="63"/>
      <c r="AJ25" s="63"/>
      <c r="AK25" s="61"/>
      <c r="AL25" s="49">
        <f>VLOOKUP(G25,VALIDACIONES!P:Q,2,0)</f>
        <v>96081789</v>
      </c>
      <c r="AM25" s="54" t="str">
        <f t="shared" si="5"/>
        <v>NADA</v>
      </c>
      <c r="AN25" s="69" t="str">
        <f t="shared" si="6"/>
        <v>NO</v>
      </c>
    </row>
    <row r="26" spans="1:40" s="54" customFormat="1">
      <c r="A26" s="141">
        <v>46185</v>
      </c>
      <c r="B26" s="139" t="str">
        <f t="shared" si="3"/>
        <v>18 A 06</v>
      </c>
      <c r="C26" s="62" t="str">
        <f t="shared" si="4"/>
        <v>04:00 a 06:00</v>
      </c>
      <c r="D26" s="62" t="s">
        <v>284</v>
      </c>
      <c r="E26" s="61">
        <v>4</v>
      </c>
      <c r="F26" s="63" t="s">
        <v>2730</v>
      </c>
      <c r="G26" s="63" t="s">
        <v>2117</v>
      </c>
      <c r="H26" s="114">
        <v>365339</v>
      </c>
      <c r="I26" s="135">
        <v>48376644</v>
      </c>
      <c r="J26" s="61" t="s">
        <v>2627</v>
      </c>
      <c r="K26" s="63" t="s">
        <v>86</v>
      </c>
      <c r="L26" s="61" t="s">
        <v>136</v>
      </c>
      <c r="M26" s="61"/>
      <c r="N26" s="61"/>
      <c r="O26" s="61" t="s">
        <v>2786</v>
      </c>
      <c r="P26" s="64" t="s">
        <v>2704</v>
      </c>
      <c r="Q26" s="65">
        <v>0.21458333333333332</v>
      </c>
      <c r="R26" s="65">
        <v>0.28888888888888886</v>
      </c>
      <c r="S26" s="65">
        <v>0.21736111111111112</v>
      </c>
      <c r="T26" s="65">
        <v>0.22777777777777777</v>
      </c>
      <c r="U26" s="65"/>
      <c r="V26" s="65"/>
      <c r="W26" s="119"/>
      <c r="X26" s="124" t="s">
        <v>2787</v>
      </c>
      <c r="Y26" s="122">
        <v>0</v>
      </c>
      <c r="Z26" s="67">
        <v>0</v>
      </c>
      <c r="AA26" s="67">
        <v>0</v>
      </c>
      <c r="AB26" s="108" t="s">
        <v>2680</v>
      </c>
      <c r="AC26" s="108" t="s">
        <v>2637</v>
      </c>
      <c r="AD26" s="61" t="s">
        <v>2638</v>
      </c>
      <c r="AE26" s="61" t="s">
        <v>2651</v>
      </c>
      <c r="AF26" s="106"/>
      <c r="AG26" s="68" t="s">
        <v>45</v>
      </c>
      <c r="AH26" s="63"/>
      <c r="AI26" s="105"/>
      <c r="AJ26" s="63"/>
      <c r="AK26" s="61"/>
      <c r="AL26" s="49">
        <f>VLOOKUP(G26,VALIDACIONES!P:Q,2,0)</f>
        <v>46421021</v>
      </c>
      <c r="AM26" s="54" t="str">
        <f t="shared" si="5"/>
        <v>NADA</v>
      </c>
      <c r="AN26" s="69" t="str">
        <f t="shared" si="6"/>
        <v>NO</v>
      </c>
    </row>
    <row r="27" spans="1:40" s="54" customFormat="1">
      <c r="A27" s="141">
        <v>46185</v>
      </c>
      <c r="B27" s="139" t="str">
        <f t="shared" si="3"/>
        <v>18 A 06</v>
      </c>
      <c r="C27" s="62" t="str">
        <f t="shared" si="4"/>
        <v>04:00 a 06:00</v>
      </c>
      <c r="D27" s="62" t="s">
        <v>284</v>
      </c>
      <c r="E27" s="61">
        <v>4</v>
      </c>
      <c r="F27" s="63" t="s">
        <v>2731</v>
      </c>
      <c r="G27" s="63" t="s">
        <v>465</v>
      </c>
      <c r="H27" s="114">
        <v>365263</v>
      </c>
      <c r="I27" s="135">
        <v>48376592</v>
      </c>
      <c r="J27" s="61" t="s">
        <v>2627</v>
      </c>
      <c r="K27" s="63" t="s">
        <v>86</v>
      </c>
      <c r="L27" s="61" t="s">
        <v>173</v>
      </c>
      <c r="M27" s="61" t="s">
        <v>173</v>
      </c>
      <c r="N27" s="61"/>
      <c r="O27" s="61" t="s">
        <v>2788</v>
      </c>
      <c r="P27" s="64" t="s">
        <v>2673</v>
      </c>
      <c r="Q27" s="65">
        <v>0.19305555555555556</v>
      </c>
      <c r="R27" s="65">
        <v>0.20972222222222223</v>
      </c>
      <c r="S27" s="65">
        <v>0.19583333333333333</v>
      </c>
      <c r="T27" s="65" t="s">
        <v>2424</v>
      </c>
      <c r="U27" s="65" t="s">
        <v>2424</v>
      </c>
      <c r="V27" s="65"/>
      <c r="W27" s="119" t="s">
        <v>2424</v>
      </c>
      <c r="X27" s="124" t="s">
        <v>2789</v>
      </c>
      <c r="Y27" s="122">
        <v>0</v>
      </c>
      <c r="Z27" s="67">
        <v>2</v>
      </c>
      <c r="AA27" s="67">
        <v>0</v>
      </c>
      <c r="AB27" s="108" t="s">
        <v>2674</v>
      </c>
      <c r="AC27" s="108" t="s">
        <v>2637</v>
      </c>
      <c r="AD27" s="61" t="s">
        <v>2638</v>
      </c>
      <c r="AE27" s="61" t="s">
        <v>2651</v>
      </c>
      <c r="AF27" s="126" t="s">
        <v>2695</v>
      </c>
      <c r="AG27" s="68" t="s">
        <v>69</v>
      </c>
      <c r="AH27" s="63"/>
      <c r="AI27" s="125" t="s">
        <v>3154</v>
      </c>
      <c r="AJ27" s="63"/>
      <c r="AK27" s="61"/>
      <c r="AL27" s="49">
        <f>VLOOKUP(G27,VALIDACIONES!P:Q,2,0)</f>
        <v>34514275</v>
      </c>
      <c r="AM27" s="54" t="str">
        <f t="shared" si="5"/>
        <v>IMPUTADO</v>
      </c>
      <c r="AN27" s="69" t="str">
        <f t="shared" si="6"/>
        <v>NO</v>
      </c>
    </row>
    <row r="28" spans="1:40" s="54" customFormat="1" hidden="1">
      <c r="A28" s="141">
        <v>46185</v>
      </c>
      <c r="B28" s="139" t="str">
        <f t="shared" si="3"/>
        <v>18 A 06</v>
      </c>
      <c r="C28" s="62" t="str">
        <f t="shared" si="4"/>
        <v>04:00 a 06:00</v>
      </c>
      <c r="D28" s="62" t="s">
        <v>284</v>
      </c>
      <c r="E28" s="61">
        <v>4</v>
      </c>
      <c r="F28" s="63" t="s">
        <v>2731</v>
      </c>
      <c r="G28" s="63" t="s">
        <v>1041</v>
      </c>
      <c r="H28" s="128" t="s">
        <v>2733</v>
      </c>
      <c r="I28" s="135">
        <v>48376719</v>
      </c>
      <c r="J28" s="61" t="s">
        <v>2627</v>
      </c>
      <c r="K28" s="63" t="s">
        <v>2407</v>
      </c>
      <c r="L28" s="61"/>
      <c r="M28" s="61"/>
      <c r="N28" s="61"/>
      <c r="O28" s="61" t="s">
        <v>2790</v>
      </c>
      <c r="P28" s="64" t="s">
        <v>2664</v>
      </c>
      <c r="Q28" s="129">
        <v>0.23194444444444443</v>
      </c>
      <c r="R28" s="129"/>
      <c r="S28" s="129"/>
      <c r="T28" s="129"/>
      <c r="U28" s="129"/>
      <c r="V28" s="129"/>
      <c r="W28" s="130"/>
      <c r="X28" s="124" t="s">
        <v>2791</v>
      </c>
      <c r="Y28" s="122">
        <v>0</v>
      </c>
      <c r="Z28" s="67">
        <v>0</v>
      </c>
      <c r="AA28" s="67">
        <v>0</v>
      </c>
      <c r="AB28" s="109" t="s">
        <v>2692</v>
      </c>
      <c r="AC28" s="108" t="s">
        <v>2637</v>
      </c>
      <c r="AD28" s="61" t="s">
        <v>2645</v>
      </c>
      <c r="AE28" s="61"/>
      <c r="AF28" s="64"/>
      <c r="AG28" s="68" t="s">
        <v>45</v>
      </c>
      <c r="AH28" s="63"/>
      <c r="AI28" s="125" t="s">
        <v>3157</v>
      </c>
      <c r="AJ28" s="63"/>
      <c r="AK28" s="61"/>
      <c r="AL28" s="49">
        <f>VLOOKUP(G28,VALIDACIONES!P:Q,2,0)</f>
        <v>44698317</v>
      </c>
      <c r="AM28" s="54" t="str">
        <f t="shared" si="5"/>
        <v>NADA</v>
      </c>
      <c r="AN28" s="69" t="str">
        <f t="shared" si="6"/>
        <v>NO</v>
      </c>
    </row>
    <row r="29" spans="1:40" s="54" customFormat="1" hidden="1">
      <c r="A29" s="141">
        <v>46185</v>
      </c>
      <c r="B29" s="139" t="str">
        <f t="shared" si="3"/>
        <v>18 A 06</v>
      </c>
      <c r="C29" s="62" t="str">
        <f t="shared" si="4"/>
        <v>04:00 a 06:00</v>
      </c>
      <c r="D29" s="62" t="s">
        <v>284</v>
      </c>
      <c r="E29" s="61">
        <v>4</v>
      </c>
      <c r="F29" s="63" t="s">
        <v>2730</v>
      </c>
      <c r="G29" s="63" t="s">
        <v>974</v>
      </c>
      <c r="H29" s="128" t="s">
        <v>2733</v>
      </c>
      <c r="I29" s="135">
        <v>48376734</v>
      </c>
      <c r="J29" s="61" t="s">
        <v>2627</v>
      </c>
      <c r="K29" s="63" t="s">
        <v>2407</v>
      </c>
      <c r="L29" s="61"/>
      <c r="M29" s="61"/>
      <c r="N29" s="61"/>
      <c r="O29" s="61" t="s">
        <v>2792</v>
      </c>
      <c r="P29" s="64" t="s">
        <v>2655</v>
      </c>
      <c r="Q29" s="131">
        <v>0.23819444444444446</v>
      </c>
      <c r="R29" s="131"/>
      <c r="S29" s="131"/>
      <c r="T29" s="131"/>
      <c r="U29" s="131"/>
      <c r="V29" s="131"/>
      <c r="W29" s="132"/>
      <c r="X29" s="124" t="s">
        <v>2793</v>
      </c>
      <c r="Y29" s="122">
        <v>0</v>
      </c>
      <c r="Z29" s="67">
        <v>0</v>
      </c>
      <c r="AA29" s="67">
        <v>0</v>
      </c>
      <c r="AB29" s="108" t="s">
        <v>2659</v>
      </c>
      <c r="AC29" s="108" t="s">
        <v>2637</v>
      </c>
      <c r="AD29" s="61" t="s">
        <v>2645</v>
      </c>
      <c r="AE29" s="61"/>
      <c r="AF29" s="64"/>
      <c r="AG29" s="68" t="s">
        <v>45</v>
      </c>
      <c r="AH29" s="63"/>
      <c r="AI29" s="125" t="s">
        <v>3157</v>
      </c>
      <c r="AJ29" s="63"/>
      <c r="AK29" s="61"/>
      <c r="AL29" s="49">
        <f>VLOOKUP(G29,VALIDACIONES!P:Q,2,0)</f>
        <v>42826754</v>
      </c>
      <c r="AM29" s="54" t="str">
        <f t="shared" si="5"/>
        <v>NADA</v>
      </c>
      <c r="AN29" s="69" t="str">
        <f t="shared" si="6"/>
        <v>NO</v>
      </c>
    </row>
    <row r="30" spans="1:40" s="54" customFormat="1" hidden="1">
      <c r="A30" s="141">
        <v>46185</v>
      </c>
      <c r="B30" s="139" t="str">
        <f t="shared" si="3"/>
        <v>18 A 06</v>
      </c>
      <c r="C30" s="62" t="str">
        <f t="shared" si="4"/>
        <v>04:00 a 06:00</v>
      </c>
      <c r="D30" s="62" t="s">
        <v>284</v>
      </c>
      <c r="E30" s="61">
        <v>4</v>
      </c>
      <c r="F30" s="63" t="s">
        <v>2731</v>
      </c>
      <c r="G30" s="63" t="s">
        <v>2441</v>
      </c>
      <c r="H30" s="128" t="s">
        <v>2733</v>
      </c>
      <c r="I30" s="135">
        <v>48376746</v>
      </c>
      <c r="J30" s="61" t="s">
        <v>2627</v>
      </c>
      <c r="K30" s="63" t="s">
        <v>2407</v>
      </c>
      <c r="L30" s="61"/>
      <c r="M30" s="61"/>
      <c r="N30" s="61"/>
      <c r="O30" s="61" t="s">
        <v>2794</v>
      </c>
      <c r="P30" s="64" t="s">
        <v>2655</v>
      </c>
      <c r="Q30" s="131">
        <v>0.23958333333333334</v>
      </c>
      <c r="R30" s="131"/>
      <c r="S30" s="131"/>
      <c r="T30" s="131"/>
      <c r="U30" s="131"/>
      <c r="V30" s="131"/>
      <c r="W30" s="132"/>
      <c r="X30" s="124" t="s">
        <v>2795</v>
      </c>
      <c r="Y30" s="122">
        <v>0</v>
      </c>
      <c r="Z30" s="67">
        <v>0</v>
      </c>
      <c r="AA30" s="67">
        <v>0</v>
      </c>
      <c r="AB30" s="108" t="s">
        <v>2656</v>
      </c>
      <c r="AC30" s="108" t="s">
        <v>2637</v>
      </c>
      <c r="AD30" s="61" t="s">
        <v>2638</v>
      </c>
      <c r="AE30" s="61"/>
      <c r="AF30" s="64"/>
      <c r="AG30" s="68" t="s">
        <v>45</v>
      </c>
      <c r="AH30" s="63"/>
      <c r="AI30" s="125" t="s">
        <v>3157</v>
      </c>
      <c r="AJ30" s="63"/>
      <c r="AK30" s="61"/>
      <c r="AL30" s="49">
        <f>VLOOKUP(G30,VALIDACIONES!P:Q,2,0)</f>
        <v>44850611</v>
      </c>
      <c r="AM30" s="54" t="str">
        <f t="shared" si="5"/>
        <v>NADA</v>
      </c>
      <c r="AN30" s="69" t="str">
        <f t="shared" si="6"/>
        <v>NO</v>
      </c>
    </row>
    <row r="31" spans="1:40" s="55" customFormat="1">
      <c r="A31" s="141">
        <v>46185</v>
      </c>
      <c r="B31" s="139" t="str">
        <f t="shared" si="3"/>
        <v>18 A 06</v>
      </c>
      <c r="C31" s="62" t="str">
        <f t="shared" si="4"/>
        <v>02:00 a 04:00</v>
      </c>
      <c r="D31" s="62" t="s">
        <v>284</v>
      </c>
      <c r="E31" s="61">
        <v>4</v>
      </c>
      <c r="F31" s="66" t="s">
        <v>310</v>
      </c>
      <c r="G31" s="63" t="s">
        <v>853</v>
      </c>
      <c r="H31" s="115">
        <v>365261</v>
      </c>
      <c r="I31" s="136">
        <v>48376419</v>
      </c>
      <c r="J31" s="70" t="s">
        <v>2627</v>
      </c>
      <c r="K31" s="66" t="s">
        <v>261</v>
      </c>
      <c r="L31" s="61"/>
      <c r="M31" s="61"/>
      <c r="N31" s="61"/>
      <c r="O31" s="70" t="s">
        <v>2796</v>
      </c>
      <c r="P31" s="70" t="s">
        <v>2671</v>
      </c>
      <c r="Q31" s="65">
        <v>0.13750000000000001</v>
      </c>
      <c r="R31" s="65">
        <v>0.15069444444444444</v>
      </c>
      <c r="S31" s="65">
        <v>0.13750000000000001</v>
      </c>
      <c r="T31" s="65" t="s">
        <v>2424</v>
      </c>
      <c r="U31" s="65" t="s">
        <v>2424</v>
      </c>
      <c r="V31" s="65" t="s">
        <v>2424</v>
      </c>
      <c r="W31" s="119" t="s">
        <v>2424</v>
      </c>
      <c r="X31" s="124" t="s">
        <v>2797</v>
      </c>
      <c r="Y31" s="123">
        <v>0</v>
      </c>
      <c r="Z31" s="71">
        <v>0</v>
      </c>
      <c r="AA31" s="71">
        <v>0</v>
      </c>
      <c r="AB31" s="110" t="s">
        <v>2685</v>
      </c>
      <c r="AC31" s="110" t="s">
        <v>2637</v>
      </c>
      <c r="AD31" s="70" t="s">
        <v>2638</v>
      </c>
      <c r="AE31" s="70"/>
      <c r="AF31" s="70"/>
      <c r="AG31" s="68" t="s">
        <v>45</v>
      </c>
      <c r="AH31" s="66"/>
      <c r="AI31" s="127" t="s">
        <v>3156</v>
      </c>
      <c r="AJ31" s="66"/>
      <c r="AK31" s="61"/>
      <c r="AL31" s="49">
        <f>VLOOKUP(G31,VALIDACIONES!P:Q,2,0)</f>
        <v>96081789</v>
      </c>
      <c r="AM31" s="54" t="str">
        <f t="shared" si="5"/>
        <v>NADA</v>
      </c>
      <c r="AN31" s="69" t="str">
        <f t="shared" si="6"/>
        <v>NO</v>
      </c>
    </row>
    <row r="32" spans="1:40" s="55" customFormat="1">
      <c r="A32" s="141">
        <v>46185</v>
      </c>
      <c r="B32" s="139" t="str">
        <f t="shared" si="3"/>
        <v>06 A 18</v>
      </c>
      <c r="C32" s="62" t="str">
        <f t="shared" si="4"/>
        <v>06:00 a 08:00</v>
      </c>
      <c r="D32" s="62" t="s">
        <v>243</v>
      </c>
      <c r="E32" s="61">
        <v>2</v>
      </c>
      <c r="F32" s="66" t="s">
        <v>163</v>
      </c>
      <c r="G32" s="63" t="s">
        <v>1408</v>
      </c>
      <c r="H32" s="115">
        <v>365468</v>
      </c>
      <c r="I32" s="136">
        <v>48376768</v>
      </c>
      <c r="J32" s="70" t="s">
        <v>2627</v>
      </c>
      <c r="K32" s="66" t="s">
        <v>86</v>
      </c>
      <c r="L32" s="61" t="s">
        <v>168</v>
      </c>
      <c r="M32" s="61" t="s">
        <v>61</v>
      </c>
      <c r="N32" s="61"/>
      <c r="O32" s="70" t="s">
        <v>2798</v>
      </c>
      <c r="P32" s="70" t="s">
        <v>2655</v>
      </c>
      <c r="Q32" s="65">
        <v>0.25208333333333333</v>
      </c>
      <c r="R32" s="65">
        <v>0.34027777777777779</v>
      </c>
      <c r="S32" s="65">
        <v>0.25208333333333333</v>
      </c>
      <c r="T32" s="65">
        <v>0.31458333333333333</v>
      </c>
      <c r="U32" s="65" t="s">
        <v>2424</v>
      </c>
      <c r="V32" s="65" t="s">
        <v>2424</v>
      </c>
      <c r="W32" s="119" t="s">
        <v>2424</v>
      </c>
      <c r="X32" s="124" t="s">
        <v>2799</v>
      </c>
      <c r="Y32" s="123">
        <v>0</v>
      </c>
      <c r="Z32" s="71">
        <v>1</v>
      </c>
      <c r="AA32" s="71">
        <v>0</v>
      </c>
      <c r="AB32" s="110" t="s">
        <v>2656</v>
      </c>
      <c r="AC32" s="110" t="s">
        <v>2637</v>
      </c>
      <c r="AD32" s="70" t="s">
        <v>2638</v>
      </c>
      <c r="AE32" s="70"/>
      <c r="AF32" s="70" t="s">
        <v>2670</v>
      </c>
      <c r="AG32" s="68" t="s">
        <v>62</v>
      </c>
      <c r="AH32" s="66"/>
      <c r="AI32" s="66"/>
      <c r="AJ32" s="66"/>
      <c r="AK32" s="61"/>
      <c r="AL32" s="49">
        <f>VLOOKUP(G32,VALIDACIONES!P:Q,2,0)</f>
        <v>43319446</v>
      </c>
      <c r="AM32" s="54" t="str">
        <f t="shared" si="5"/>
        <v>IMPUTADO</v>
      </c>
      <c r="AN32" s="69" t="str">
        <f t="shared" si="6"/>
        <v>NO</v>
      </c>
    </row>
    <row r="33" spans="1:40" s="55" customFormat="1">
      <c r="A33" s="141">
        <v>46185</v>
      </c>
      <c r="B33" s="139" t="str">
        <f t="shared" si="3"/>
        <v>06 A 18</v>
      </c>
      <c r="C33" s="62" t="str">
        <f t="shared" si="4"/>
        <v>06:00 a 08:00</v>
      </c>
      <c r="D33" s="62" t="s">
        <v>243</v>
      </c>
      <c r="E33" s="61">
        <v>2</v>
      </c>
      <c r="F33" s="66" t="s">
        <v>163</v>
      </c>
      <c r="G33" s="63" t="s">
        <v>612</v>
      </c>
      <c r="H33" s="115">
        <v>365466</v>
      </c>
      <c r="I33" s="136">
        <v>48376779</v>
      </c>
      <c r="J33" s="70" t="s">
        <v>2627</v>
      </c>
      <c r="K33" s="63" t="s">
        <v>152</v>
      </c>
      <c r="L33" s="61"/>
      <c r="M33" s="61"/>
      <c r="N33" s="61"/>
      <c r="O33" s="70" t="s">
        <v>2784</v>
      </c>
      <c r="P33" s="70" t="s">
        <v>2748</v>
      </c>
      <c r="Q33" s="65">
        <v>0.25138888888888888</v>
      </c>
      <c r="R33" s="65">
        <v>0.2590277777777778</v>
      </c>
      <c r="S33" s="65">
        <v>0.25208333333333333</v>
      </c>
      <c r="T33" s="65" t="s">
        <v>2424</v>
      </c>
      <c r="U33" s="65" t="s">
        <v>2424</v>
      </c>
      <c r="V33" s="65" t="s">
        <v>2424</v>
      </c>
      <c r="W33" s="119" t="s">
        <v>2424</v>
      </c>
      <c r="X33" s="124" t="s">
        <v>2800</v>
      </c>
      <c r="Y33" s="123">
        <v>0</v>
      </c>
      <c r="Z33" s="71">
        <v>0</v>
      </c>
      <c r="AA33" s="71">
        <v>0</v>
      </c>
      <c r="AB33" s="110" t="s">
        <v>2750</v>
      </c>
      <c r="AC33" s="110" t="s">
        <v>2637</v>
      </c>
      <c r="AD33" s="70" t="s">
        <v>2638</v>
      </c>
      <c r="AE33" s="70"/>
      <c r="AF33" s="70"/>
      <c r="AG33" s="68" t="s">
        <v>45</v>
      </c>
      <c r="AH33" s="66"/>
      <c r="AI33" s="66"/>
      <c r="AJ33" s="66"/>
      <c r="AK33" s="61"/>
      <c r="AL33" s="49">
        <f>VLOOKUP(G33,VALIDACIONES!P:Q,2,0)</f>
        <v>22819436</v>
      </c>
      <c r="AM33" s="54" t="str">
        <f t="shared" si="5"/>
        <v>NADA</v>
      </c>
      <c r="AN33" s="69" t="str">
        <f t="shared" si="6"/>
        <v>NO</v>
      </c>
    </row>
    <row r="34" spans="1:40" s="55" customFormat="1">
      <c r="A34" s="141">
        <v>46185</v>
      </c>
      <c r="B34" s="139" t="str">
        <f t="shared" si="3"/>
        <v>06 A 18</v>
      </c>
      <c r="C34" s="62" t="str">
        <f t="shared" si="4"/>
        <v>06:00 a 08:00</v>
      </c>
      <c r="D34" s="62" t="s">
        <v>243</v>
      </c>
      <c r="E34" s="61">
        <v>2</v>
      </c>
      <c r="F34" s="66" t="s">
        <v>2708</v>
      </c>
      <c r="G34" s="63" t="s">
        <v>491</v>
      </c>
      <c r="H34" s="114">
        <v>365305</v>
      </c>
      <c r="I34" s="135">
        <v>48376792</v>
      </c>
      <c r="J34" s="61" t="s">
        <v>2627</v>
      </c>
      <c r="K34" s="63" t="s">
        <v>2407</v>
      </c>
      <c r="L34" s="61"/>
      <c r="M34" s="61"/>
      <c r="N34" s="61"/>
      <c r="O34" s="61" t="s">
        <v>2801</v>
      </c>
      <c r="P34" s="64" t="s">
        <v>2716</v>
      </c>
      <c r="Q34" s="65">
        <v>0.25347222222222221</v>
      </c>
      <c r="R34" s="65">
        <v>0.26180555555555557</v>
      </c>
      <c r="S34" s="65">
        <v>0.26041666666666669</v>
      </c>
      <c r="T34" s="65" t="s">
        <v>2424</v>
      </c>
      <c r="U34" s="65" t="s">
        <v>2424</v>
      </c>
      <c r="V34" s="61" t="s">
        <v>2424</v>
      </c>
      <c r="W34" s="119" t="s">
        <v>2424</v>
      </c>
      <c r="X34" s="124" t="s">
        <v>2802</v>
      </c>
      <c r="Y34" s="122">
        <v>0</v>
      </c>
      <c r="Z34" s="67">
        <v>0</v>
      </c>
      <c r="AA34" s="67">
        <v>0</v>
      </c>
      <c r="AB34" s="108" t="s">
        <v>2650</v>
      </c>
      <c r="AC34" s="108" t="s">
        <v>2637</v>
      </c>
      <c r="AD34" s="61" t="s">
        <v>2645</v>
      </c>
      <c r="AE34" s="61"/>
      <c r="AF34" s="64"/>
      <c r="AG34" s="68" t="s">
        <v>45</v>
      </c>
      <c r="AH34" s="66"/>
      <c r="AI34" s="66"/>
      <c r="AJ34" s="66"/>
      <c r="AK34" s="61"/>
      <c r="AL34" s="49">
        <f>VLOOKUP(G34,VALIDACIONES!P:Q,2,0)</f>
        <v>26667211</v>
      </c>
      <c r="AM34" s="54" t="str">
        <f t="shared" si="5"/>
        <v>NADA</v>
      </c>
      <c r="AN34" s="69" t="str">
        <f t="shared" si="6"/>
        <v>NO</v>
      </c>
    </row>
    <row r="35" spans="1:40" s="55" customFormat="1">
      <c r="A35" s="141">
        <v>46185</v>
      </c>
      <c r="B35" s="139" t="str">
        <f t="shared" si="3"/>
        <v>06 A 18</v>
      </c>
      <c r="C35" s="62" t="str">
        <f t="shared" si="4"/>
        <v>06:00 a 08:00</v>
      </c>
      <c r="D35" s="62" t="s">
        <v>243</v>
      </c>
      <c r="E35" s="61">
        <v>2</v>
      </c>
      <c r="F35" s="66" t="s">
        <v>2709</v>
      </c>
      <c r="G35" s="63" t="s">
        <v>595</v>
      </c>
      <c r="H35" s="115">
        <v>365782</v>
      </c>
      <c r="I35" s="136">
        <v>48376852</v>
      </c>
      <c r="J35" s="70" t="s">
        <v>2627</v>
      </c>
      <c r="K35" s="66" t="s">
        <v>86</v>
      </c>
      <c r="L35" s="61" t="s">
        <v>173</v>
      </c>
      <c r="M35" s="61" t="s">
        <v>173</v>
      </c>
      <c r="N35" s="61"/>
      <c r="O35" s="70" t="s">
        <v>2803</v>
      </c>
      <c r="P35" s="70" t="s">
        <v>2641</v>
      </c>
      <c r="Q35" s="65">
        <v>0.2638888888888889</v>
      </c>
      <c r="R35" s="65">
        <v>0.39097222222222222</v>
      </c>
      <c r="S35" s="65">
        <v>0.29930555555555555</v>
      </c>
      <c r="T35" s="65" t="s">
        <v>2424</v>
      </c>
      <c r="U35" s="65" t="s">
        <v>2424</v>
      </c>
      <c r="V35" s="65" t="s">
        <v>2424</v>
      </c>
      <c r="W35" s="119" t="s">
        <v>2424</v>
      </c>
      <c r="X35" s="124" t="s">
        <v>2804</v>
      </c>
      <c r="Y35" s="123">
        <v>0</v>
      </c>
      <c r="Z35" s="71">
        <v>1</v>
      </c>
      <c r="AA35" s="71">
        <v>0</v>
      </c>
      <c r="AB35" s="110" t="s">
        <v>2642</v>
      </c>
      <c r="AC35" s="110" t="s">
        <v>2637</v>
      </c>
      <c r="AD35" s="70" t="s">
        <v>2638</v>
      </c>
      <c r="AE35" s="70"/>
      <c r="AF35" s="70" t="s">
        <v>2670</v>
      </c>
      <c r="AG35" s="68" t="s">
        <v>62</v>
      </c>
      <c r="AH35" s="127" t="s">
        <v>2727</v>
      </c>
      <c r="AI35" s="127" t="s">
        <v>3158</v>
      </c>
      <c r="AJ35" s="66"/>
      <c r="AK35" s="61"/>
      <c r="AL35" s="49">
        <f>VLOOKUP(G35,VALIDACIONES!P:Q,2,0)</f>
        <v>12435</v>
      </c>
      <c r="AM35" s="54" t="str">
        <f t="shared" si="5"/>
        <v>IMPUTADO</v>
      </c>
      <c r="AN35" s="69" t="str">
        <f t="shared" si="6"/>
        <v>NO</v>
      </c>
    </row>
    <row r="36" spans="1:40" s="55" customFormat="1">
      <c r="A36" s="141">
        <v>46185</v>
      </c>
      <c r="B36" s="139" t="str">
        <f t="shared" si="3"/>
        <v>06 A 18</v>
      </c>
      <c r="C36" s="62" t="str">
        <f t="shared" si="4"/>
        <v>06:00 a 08:00</v>
      </c>
      <c r="D36" s="62" t="s">
        <v>243</v>
      </c>
      <c r="E36" s="61">
        <v>2</v>
      </c>
      <c r="F36" s="66" t="s">
        <v>2734</v>
      </c>
      <c r="G36" s="63" t="s">
        <v>942</v>
      </c>
      <c r="H36" s="115">
        <v>365405</v>
      </c>
      <c r="I36" s="136">
        <v>48376871</v>
      </c>
      <c r="J36" s="70" t="s">
        <v>2627</v>
      </c>
      <c r="K36" s="63" t="s">
        <v>86</v>
      </c>
      <c r="L36" s="61" t="s">
        <v>136</v>
      </c>
      <c r="M36" s="61"/>
      <c r="N36" s="61"/>
      <c r="O36" s="70" t="s">
        <v>2805</v>
      </c>
      <c r="P36" s="70" t="s">
        <v>2673</v>
      </c>
      <c r="Q36" s="65">
        <v>0.27847222222222223</v>
      </c>
      <c r="R36" s="65">
        <v>0.29097222222222224</v>
      </c>
      <c r="S36" s="65">
        <v>0.27847222222222223</v>
      </c>
      <c r="T36" s="65" t="s">
        <v>2424</v>
      </c>
      <c r="U36" s="65" t="s">
        <v>2424</v>
      </c>
      <c r="V36" s="65" t="s">
        <v>2424</v>
      </c>
      <c r="W36" s="119" t="s">
        <v>2424</v>
      </c>
      <c r="X36" s="124" t="s">
        <v>2806</v>
      </c>
      <c r="Y36" s="123">
        <v>0</v>
      </c>
      <c r="Z36" s="71">
        <v>0</v>
      </c>
      <c r="AA36" s="71">
        <v>0</v>
      </c>
      <c r="AB36" s="110" t="s">
        <v>2679</v>
      </c>
      <c r="AC36" s="110" t="s">
        <v>2637</v>
      </c>
      <c r="AD36" s="70" t="s">
        <v>2645</v>
      </c>
      <c r="AE36" s="70"/>
      <c r="AF36" s="70"/>
      <c r="AG36" s="68" t="s">
        <v>45</v>
      </c>
      <c r="AH36" s="66"/>
      <c r="AI36" s="66"/>
      <c r="AJ36" s="66"/>
      <c r="AK36" s="61"/>
      <c r="AL36" s="49">
        <f>VLOOKUP(G36,VALIDACIONES!P:Q,2,0)</f>
        <v>13798</v>
      </c>
      <c r="AM36" s="54" t="str">
        <f t="shared" si="5"/>
        <v>NADA</v>
      </c>
      <c r="AN36" s="69" t="str">
        <f t="shared" si="6"/>
        <v>NO</v>
      </c>
    </row>
    <row r="37" spans="1:40" s="55" customFormat="1">
      <c r="A37" s="141">
        <v>46185</v>
      </c>
      <c r="B37" s="139" t="str">
        <f t="shared" si="3"/>
        <v>06 A 18</v>
      </c>
      <c r="C37" s="62" t="str">
        <f t="shared" si="4"/>
        <v>06:00 a 08:00</v>
      </c>
      <c r="D37" s="62" t="s">
        <v>243</v>
      </c>
      <c r="E37" s="61">
        <v>2</v>
      </c>
      <c r="F37" s="66" t="s">
        <v>163</v>
      </c>
      <c r="G37" s="63" t="s">
        <v>478</v>
      </c>
      <c r="H37" s="115">
        <v>365463</v>
      </c>
      <c r="I37" s="136">
        <v>48376834</v>
      </c>
      <c r="J37" s="70" t="s">
        <v>2627</v>
      </c>
      <c r="K37" s="66" t="s">
        <v>2407</v>
      </c>
      <c r="L37" s="61"/>
      <c r="M37" s="61"/>
      <c r="N37" s="61"/>
      <c r="O37" s="70" t="s">
        <v>2807</v>
      </c>
      <c r="P37" s="70" t="s">
        <v>2655</v>
      </c>
      <c r="Q37" s="65">
        <v>0.27083333333333331</v>
      </c>
      <c r="R37" s="65">
        <v>0.27638888888888891</v>
      </c>
      <c r="S37" s="65">
        <v>0.27430555555555558</v>
      </c>
      <c r="T37" s="65" t="s">
        <v>2424</v>
      </c>
      <c r="U37" s="65" t="s">
        <v>2424</v>
      </c>
      <c r="V37" s="65" t="s">
        <v>2424</v>
      </c>
      <c r="W37" s="119" t="s">
        <v>2424</v>
      </c>
      <c r="X37" s="124" t="s">
        <v>2808</v>
      </c>
      <c r="Y37" s="123">
        <v>0</v>
      </c>
      <c r="Z37" s="71">
        <v>0</v>
      </c>
      <c r="AA37" s="71">
        <v>0</v>
      </c>
      <c r="AB37" s="110" t="s">
        <v>2689</v>
      </c>
      <c r="AC37" s="110" t="s">
        <v>2637</v>
      </c>
      <c r="AD37" s="70" t="s">
        <v>2638</v>
      </c>
      <c r="AE37" s="70"/>
      <c r="AF37" s="70"/>
      <c r="AG37" s="68" t="s">
        <v>45</v>
      </c>
      <c r="AH37" s="66"/>
      <c r="AI37" s="66"/>
      <c r="AJ37" s="66"/>
      <c r="AK37" s="61"/>
      <c r="AL37" s="49">
        <f>VLOOKUP(G37,VALIDACIONES!P:Q,2,0)</f>
        <v>40012530</v>
      </c>
      <c r="AM37" s="54" t="str">
        <f t="shared" si="5"/>
        <v>NADA</v>
      </c>
      <c r="AN37" s="69" t="str">
        <f t="shared" si="6"/>
        <v>NO</v>
      </c>
    </row>
    <row r="38" spans="1:40" s="55" customFormat="1">
      <c r="A38" s="141">
        <v>46185</v>
      </c>
      <c r="B38" s="139" t="str">
        <f t="shared" si="3"/>
        <v>06 A 18</v>
      </c>
      <c r="C38" s="62" t="str">
        <f t="shared" si="4"/>
        <v>06:00 a 08:00</v>
      </c>
      <c r="D38" s="62" t="s">
        <v>243</v>
      </c>
      <c r="E38" s="61">
        <v>2</v>
      </c>
      <c r="F38" s="66" t="s">
        <v>2708</v>
      </c>
      <c r="G38" s="63" t="s">
        <v>365</v>
      </c>
      <c r="H38" s="115">
        <v>365666</v>
      </c>
      <c r="I38" s="136">
        <v>48376911</v>
      </c>
      <c r="J38" s="70" t="s">
        <v>2627</v>
      </c>
      <c r="K38" s="66" t="s">
        <v>2407</v>
      </c>
      <c r="L38" s="61"/>
      <c r="M38" s="61"/>
      <c r="N38" s="61"/>
      <c r="O38" s="70" t="s">
        <v>2809</v>
      </c>
      <c r="P38" s="70" t="s">
        <v>2696</v>
      </c>
      <c r="Q38" s="65">
        <v>0.27291666666666664</v>
      </c>
      <c r="R38" s="65">
        <v>0.29652777777777778</v>
      </c>
      <c r="S38" s="65">
        <v>0.29236111111111113</v>
      </c>
      <c r="T38" s="65" t="s">
        <v>2424</v>
      </c>
      <c r="U38" s="65" t="s">
        <v>2424</v>
      </c>
      <c r="V38" s="65" t="s">
        <v>2424</v>
      </c>
      <c r="W38" s="119" t="s">
        <v>2424</v>
      </c>
      <c r="X38" s="124" t="s">
        <v>2810</v>
      </c>
      <c r="Y38" s="123">
        <v>0</v>
      </c>
      <c r="Z38" s="71">
        <v>0</v>
      </c>
      <c r="AA38" s="71">
        <v>0</v>
      </c>
      <c r="AB38" s="110" t="s">
        <v>2697</v>
      </c>
      <c r="AC38" s="110" t="s">
        <v>2637</v>
      </c>
      <c r="AD38" s="70" t="s">
        <v>2645</v>
      </c>
      <c r="AE38" s="70"/>
      <c r="AF38" s="70"/>
      <c r="AG38" s="68" t="s">
        <v>45</v>
      </c>
      <c r="AH38" s="66"/>
      <c r="AI38" s="66"/>
      <c r="AJ38" s="66"/>
      <c r="AK38" s="61"/>
      <c r="AL38" s="49">
        <f>VLOOKUP(G38,VALIDACIONES!P:Q,2,0)</f>
        <v>32445282</v>
      </c>
      <c r="AM38" s="54" t="str">
        <f t="shared" si="5"/>
        <v>NADA</v>
      </c>
      <c r="AN38" s="69" t="str">
        <f t="shared" si="6"/>
        <v>NO</v>
      </c>
    </row>
    <row r="39" spans="1:40" s="55" customFormat="1">
      <c r="A39" s="141">
        <v>46185</v>
      </c>
      <c r="B39" s="139" t="str">
        <f t="shared" si="3"/>
        <v>18 A 06</v>
      </c>
      <c r="C39" s="62" t="str">
        <f t="shared" si="4"/>
        <v>00:00 a 02:00</v>
      </c>
      <c r="D39" s="62" t="s">
        <v>243</v>
      </c>
      <c r="E39" s="61">
        <v>2</v>
      </c>
      <c r="F39" s="66" t="s">
        <v>163</v>
      </c>
      <c r="G39" s="63" t="s">
        <v>595</v>
      </c>
      <c r="H39" s="115">
        <v>365489</v>
      </c>
      <c r="I39" s="136">
        <v>48376966</v>
      </c>
      <c r="J39" s="70" t="s">
        <v>2627</v>
      </c>
      <c r="K39" s="66" t="s">
        <v>86</v>
      </c>
      <c r="L39" s="61" t="s">
        <v>168</v>
      </c>
      <c r="M39" s="61" t="s">
        <v>173</v>
      </c>
      <c r="N39" s="61"/>
      <c r="O39" s="70" t="s">
        <v>2811</v>
      </c>
      <c r="P39" s="70" t="s">
        <v>2639</v>
      </c>
      <c r="Q39" s="65"/>
      <c r="R39" s="65"/>
      <c r="S39" s="65"/>
      <c r="T39" s="65" t="s">
        <v>2424</v>
      </c>
      <c r="U39" s="65" t="s">
        <v>2424</v>
      </c>
      <c r="V39" s="65" t="s">
        <v>2424</v>
      </c>
      <c r="W39" s="119" t="s">
        <v>2424</v>
      </c>
      <c r="X39" s="124" t="s">
        <v>2812</v>
      </c>
      <c r="Y39" s="123">
        <v>0</v>
      </c>
      <c r="Z39" s="71">
        <v>1</v>
      </c>
      <c r="AA39" s="71">
        <v>0</v>
      </c>
      <c r="AB39" s="110" t="s">
        <v>2640</v>
      </c>
      <c r="AC39" s="110" t="s">
        <v>2637</v>
      </c>
      <c r="AD39" s="70" t="s">
        <v>2638</v>
      </c>
      <c r="AE39" s="70"/>
      <c r="AF39" s="70" t="s">
        <v>2670</v>
      </c>
      <c r="AG39" s="68" t="s">
        <v>69</v>
      </c>
      <c r="AH39" s="66"/>
      <c r="AI39" s="127" t="s">
        <v>3155</v>
      </c>
      <c r="AJ39" s="66"/>
      <c r="AK39" s="61"/>
      <c r="AL39" s="49">
        <f>VLOOKUP(G39,VALIDACIONES!P:Q,2,0)</f>
        <v>12435</v>
      </c>
      <c r="AM39" s="54" t="str">
        <f t="shared" si="5"/>
        <v>IMPUTADO</v>
      </c>
      <c r="AN39" s="69" t="str">
        <f t="shared" si="6"/>
        <v>NO</v>
      </c>
    </row>
    <row r="40" spans="1:40" s="55" customFormat="1">
      <c r="A40" s="141">
        <v>46185</v>
      </c>
      <c r="B40" s="139" t="str">
        <f t="shared" si="3"/>
        <v>06 A 18</v>
      </c>
      <c r="C40" s="62" t="str">
        <f t="shared" si="4"/>
        <v>06:00 a 08:00</v>
      </c>
      <c r="D40" s="62" t="s">
        <v>243</v>
      </c>
      <c r="E40" s="61">
        <v>2</v>
      </c>
      <c r="F40" s="66" t="s">
        <v>2708</v>
      </c>
      <c r="G40" s="63" t="s">
        <v>1158</v>
      </c>
      <c r="H40" s="115">
        <v>365604</v>
      </c>
      <c r="I40" s="136">
        <v>48376961</v>
      </c>
      <c r="J40" s="70" t="s">
        <v>2627</v>
      </c>
      <c r="K40" s="66" t="s">
        <v>2407</v>
      </c>
      <c r="L40" s="61"/>
      <c r="M40" s="61"/>
      <c r="N40" s="61"/>
      <c r="O40" s="70" t="s">
        <v>2712</v>
      </c>
      <c r="P40" s="70" t="s">
        <v>2655</v>
      </c>
      <c r="Q40" s="65">
        <v>0.29791666666666666</v>
      </c>
      <c r="R40" s="65">
        <v>0.3034722222222222</v>
      </c>
      <c r="S40" s="65">
        <v>0.30069444444444443</v>
      </c>
      <c r="T40" s="65" t="s">
        <v>2424</v>
      </c>
      <c r="U40" s="65" t="s">
        <v>2424</v>
      </c>
      <c r="V40" s="65" t="s">
        <v>2424</v>
      </c>
      <c r="W40" s="119" t="s">
        <v>2424</v>
      </c>
      <c r="X40" s="124" t="s">
        <v>2813</v>
      </c>
      <c r="Y40" s="123">
        <v>0</v>
      </c>
      <c r="Z40" s="71">
        <v>0</v>
      </c>
      <c r="AA40" s="71">
        <v>0</v>
      </c>
      <c r="AB40" s="110" t="s">
        <v>2656</v>
      </c>
      <c r="AC40" s="110" t="s">
        <v>2637</v>
      </c>
      <c r="AD40" s="70" t="s">
        <v>2645</v>
      </c>
      <c r="AE40" s="70"/>
      <c r="AF40" s="70"/>
      <c r="AG40" s="68" t="s">
        <v>45</v>
      </c>
      <c r="AH40" s="66"/>
      <c r="AI40" s="66"/>
      <c r="AJ40" s="66"/>
      <c r="AK40" s="61"/>
      <c r="AL40" s="49">
        <f>VLOOKUP(G40,VALIDACIONES!P:Q,2,0)</f>
        <v>44940129</v>
      </c>
      <c r="AM40" s="54" t="str">
        <f t="shared" si="5"/>
        <v>NADA</v>
      </c>
      <c r="AN40" s="69" t="str">
        <f t="shared" si="6"/>
        <v>NO</v>
      </c>
    </row>
    <row r="41" spans="1:40" s="55" customFormat="1">
      <c r="A41" s="141">
        <v>46185</v>
      </c>
      <c r="B41" s="139" t="str">
        <f t="shared" si="3"/>
        <v>06 A 18</v>
      </c>
      <c r="C41" s="62" t="str">
        <f t="shared" si="4"/>
        <v>06:00 a 08:00</v>
      </c>
      <c r="D41" s="62" t="s">
        <v>243</v>
      </c>
      <c r="E41" s="61">
        <v>2</v>
      </c>
      <c r="F41" s="66" t="s">
        <v>2708</v>
      </c>
      <c r="G41" s="63" t="s">
        <v>1095</v>
      </c>
      <c r="H41" s="115">
        <v>365492</v>
      </c>
      <c r="I41" s="136">
        <v>48376971</v>
      </c>
      <c r="J41" s="70" t="s">
        <v>2627</v>
      </c>
      <c r="K41" s="66" t="s">
        <v>2407</v>
      </c>
      <c r="L41" s="61"/>
      <c r="M41" s="61"/>
      <c r="N41" s="61"/>
      <c r="O41" s="70" t="s">
        <v>2814</v>
      </c>
      <c r="P41" s="70" t="s">
        <v>2671</v>
      </c>
      <c r="Q41" s="65">
        <v>0.29791666666666666</v>
      </c>
      <c r="R41" s="65">
        <v>0.30833333333333335</v>
      </c>
      <c r="S41" s="65">
        <v>0.30486111111111114</v>
      </c>
      <c r="T41" s="65" t="s">
        <v>2424</v>
      </c>
      <c r="U41" s="65" t="s">
        <v>2424</v>
      </c>
      <c r="V41" s="65" t="s">
        <v>2424</v>
      </c>
      <c r="W41" s="119" t="s">
        <v>2424</v>
      </c>
      <c r="X41" s="124" t="s">
        <v>2815</v>
      </c>
      <c r="Y41" s="123">
        <v>0</v>
      </c>
      <c r="Z41" s="71">
        <v>0</v>
      </c>
      <c r="AA41" s="71">
        <v>0</v>
      </c>
      <c r="AB41" s="110" t="s">
        <v>2672</v>
      </c>
      <c r="AC41" s="110" t="s">
        <v>2637</v>
      </c>
      <c r="AD41" s="70" t="s">
        <v>2645</v>
      </c>
      <c r="AE41" s="70"/>
      <c r="AF41" s="70"/>
      <c r="AG41" s="68" t="s">
        <v>45</v>
      </c>
      <c r="AH41" s="66"/>
      <c r="AI41" s="66"/>
      <c r="AJ41" s="66"/>
      <c r="AK41" s="61"/>
      <c r="AL41" s="49">
        <f>VLOOKUP(G41,VALIDACIONES!P:Q,2,0)</f>
        <v>25512003</v>
      </c>
      <c r="AM41" s="54" t="str">
        <f t="shared" si="5"/>
        <v>NADA</v>
      </c>
      <c r="AN41" s="69" t="str">
        <f t="shared" si="6"/>
        <v>NO</v>
      </c>
    </row>
    <row r="42" spans="1:40" s="55" customFormat="1">
      <c r="A42" s="141">
        <v>46185</v>
      </c>
      <c r="B42" s="139" t="str">
        <f t="shared" si="3"/>
        <v>06 A 18</v>
      </c>
      <c r="C42" s="62" t="str">
        <f t="shared" si="4"/>
        <v>06:00 a 08:00</v>
      </c>
      <c r="D42" s="62" t="s">
        <v>243</v>
      </c>
      <c r="E42" s="61">
        <v>2</v>
      </c>
      <c r="F42" s="66" t="s">
        <v>2708</v>
      </c>
      <c r="G42" s="63" t="s">
        <v>415</v>
      </c>
      <c r="H42" s="115">
        <v>366113</v>
      </c>
      <c r="I42" s="136">
        <v>48376997</v>
      </c>
      <c r="J42" s="70" t="s">
        <v>2627</v>
      </c>
      <c r="K42" s="66" t="s">
        <v>2407</v>
      </c>
      <c r="L42" s="61"/>
      <c r="M42" s="61"/>
      <c r="N42" s="61"/>
      <c r="O42" s="70" t="s">
        <v>2816</v>
      </c>
      <c r="P42" s="70" t="s">
        <v>2664</v>
      </c>
      <c r="Q42" s="65">
        <v>0.30902777777777779</v>
      </c>
      <c r="R42" s="65">
        <v>0.32083333333333336</v>
      </c>
      <c r="S42" s="65">
        <v>0.31597222222222221</v>
      </c>
      <c r="T42" s="65" t="s">
        <v>2424</v>
      </c>
      <c r="U42" s="65" t="s">
        <v>2424</v>
      </c>
      <c r="V42" s="65" t="s">
        <v>2424</v>
      </c>
      <c r="W42" s="119" t="s">
        <v>2424</v>
      </c>
      <c r="X42" s="124" t="s">
        <v>2817</v>
      </c>
      <c r="Y42" s="123">
        <v>0</v>
      </c>
      <c r="Z42" s="71">
        <v>0</v>
      </c>
      <c r="AA42" s="71">
        <v>0</v>
      </c>
      <c r="AB42" s="110" t="s">
        <v>2665</v>
      </c>
      <c r="AC42" s="110" t="s">
        <v>2637</v>
      </c>
      <c r="AD42" s="70" t="s">
        <v>2645</v>
      </c>
      <c r="AE42" s="70"/>
      <c r="AF42" s="70"/>
      <c r="AG42" s="68" t="s">
        <v>45</v>
      </c>
      <c r="AH42" s="66"/>
      <c r="AI42" s="66"/>
      <c r="AJ42" s="66"/>
      <c r="AK42" s="61"/>
      <c r="AL42" s="49">
        <f>VLOOKUP(G42,VALIDACIONES!P:Q,2,0)</f>
        <v>21474952</v>
      </c>
      <c r="AM42" s="54" t="str">
        <f t="shared" si="5"/>
        <v>NADA</v>
      </c>
      <c r="AN42" s="69" t="str">
        <f t="shared" si="6"/>
        <v>NO</v>
      </c>
    </row>
    <row r="43" spans="1:40" s="55" customFormat="1">
      <c r="A43" s="141">
        <v>46185</v>
      </c>
      <c r="B43" s="139" t="str">
        <f t="shared" si="3"/>
        <v>06 A 18</v>
      </c>
      <c r="C43" s="62" t="str">
        <f t="shared" si="4"/>
        <v>06:00 a 08:00</v>
      </c>
      <c r="D43" s="62" t="s">
        <v>243</v>
      </c>
      <c r="E43" s="61">
        <v>2</v>
      </c>
      <c r="F43" s="66" t="s">
        <v>2708</v>
      </c>
      <c r="G43" s="63" t="s">
        <v>632</v>
      </c>
      <c r="H43" s="115">
        <v>365672</v>
      </c>
      <c r="I43" s="136">
        <v>48376940</v>
      </c>
      <c r="J43" s="70" t="s">
        <v>2627</v>
      </c>
      <c r="K43" s="63" t="s">
        <v>86</v>
      </c>
      <c r="L43" s="61" t="s">
        <v>136</v>
      </c>
      <c r="M43" s="61"/>
      <c r="N43" s="61"/>
      <c r="O43" s="70" t="s">
        <v>2818</v>
      </c>
      <c r="P43" s="70" t="s">
        <v>2655</v>
      </c>
      <c r="Q43" s="65">
        <v>0.30555555555555558</v>
      </c>
      <c r="R43" s="65">
        <v>0.30833333333333335</v>
      </c>
      <c r="S43" s="65">
        <v>0.30555555555555558</v>
      </c>
      <c r="T43" s="65" t="s">
        <v>2424</v>
      </c>
      <c r="U43" s="65" t="s">
        <v>2424</v>
      </c>
      <c r="V43" s="65" t="s">
        <v>2424</v>
      </c>
      <c r="W43" s="119" t="s">
        <v>2424</v>
      </c>
      <c r="X43" s="124" t="s">
        <v>2819</v>
      </c>
      <c r="Y43" s="123">
        <v>0</v>
      </c>
      <c r="Z43" s="71">
        <v>0</v>
      </c>
      <c r="AA43" s="71">
        <v>0</v>
      </c>
      <c r="AB43" s="110" t="s">
        <v>2656</v>
      </c>
      <c r="AC43" s="110" t="s">
        <v>2637</v>
      </c>
      <c r="AD43" s="70" t="s">
        <v>2638</v>
      </c>
      <c r="AE43" s="70"/>
      <c r="AF43" s="70"/>
      <c r="AG43" s="68" t="s">
        <v>45</v>
      </c>
      <c r="AH43" s="66"/>
      <c r="AI43" s="66"/>
      <c r="AJ43" s="66"/>
      <c r="AK43" s="61"/>
      <c r="AL43" s="49">
        <f>VLOOKUP(G43,VALIDACIONES!P:Q,2,0)</f>
        <v>34949458</v>
      </c>
      <c r="AM43" s="54" t="str">
        <f t="shared" si="5"/>
        <v>NADA</v>
      </c>
      <c r="AN43" s="69" t="str">
        <f t="shared" si="6"/>
        <v>NO</v>
      </c>
    </row>
    <row r="44" spans="1:40" s="55" customFormat="1">
      <c r="A44" s="141">
        <v>46185</v>
      </c>
      <c r="B44" s="139" t="str">
        <f t="shared" si="3"/>
        <v>06 A 18</v>
      </c>
      <c r="C44" s="62" t="str">
        <f t="shared" si="4"/>
        <v>06:00 a 08:00</v>
      </c>
      <c r="D44" s="62" t="s">
        <v>243</v>
      </c>
      <c r="E44" s="61">
        <v>2</v>
      </c>
      <c r="F44" s="66" t="s">
        <v>2708</v>
      </c>
      <c r="G44" s="63" t="s">
        <v>2268</v>
      </c>
      <c r="H44" s="115">
        <v>365374</v>
      </c>
      <c r="I44" s="137">
        <v>48377030</v>
      </c>
      <c r="J44" s="70" t="s">
        <v>2627</v>
      </c>
      <c r="K44" s="66" t="s">
        <v>2407</v>
      </c>
      <c r="L44" s="61"/>
      <c r="M44" s="61"/>
      <c r="N44" s="61"/>
      <c r="O44" s="70" t="s">
        <v>2820</v>
      </c>
      <c r="P44" s="70" t="s">
        <v>2658</v>
      </c>
      <c r="Q44" s="65">
        <v>0.3125</v>
      </c>
      <c r="R44" s="65">
        <v>0.32569444444444445</v>
      </c>
      <c r="S44" s="65">
        <v>0.3215277777777778</v>
      </c>
      <c r="T44" s="65" t="s">
        <v>2424</v>
      </c>
      <c r="U44" s="65" t="s">
        <v>2424</v>
      </c>
      <c r="V44" s="65" t="s">
        <v>2424</v>
      </c>
      <c r="W44" s="119" t="s">
        <v>2424</v>
      </c>
      <c r="X44" s="124" t="s">
        <v>2821</v>
      </c>
      <c r="Y44" s="123">
        <v>0</v>
      </c>
      <c r="Z44" s="71">
        <v>0</v>
      </c>
      <c r="AA44" s="71">
        <v>0</v>
      </c>
      <c r="AB44" s="110" t="s">
        <v>2636</v>
      </c>
      <c r="AC44" s="110" t="s">
        <v>2637</v>
      </c>
      <c r="AD44" s="70" t="s">
        <v>2645</v>
      </c>
      <c r="AE44" s="70"/>
      <c r="AF44" s="70"/>
      <c r="AG44" s="68" t="s">
        <v>45</v>
      </c>
      <c r="AH44" s="66"/>
      <c r="AI44" s="66"/>
      <c r="AJ44" s="66"/>
      <c r="AK44" s="61"/>
      <c r="AL44" s="49">
        <f>VLOOKUP(G44,VALIDACIONES!P:Q,2,0)</f>
        <v>29157382</v>
      </c>
      <c r="AM44" s="54" t="str">
        <f t="shared" si="5"/>
        <v>NADA</v>
      </c>
      <c r="AN44" s="69" t="str">
        <f t="shared" si="6"/>
        <v>NO</v>
      </c>
    </row>
    <row r="45" spans="1:40" s="55" customFormat="1">
      <c r="A45" s="141">
        <v>46185</v>
      </c>
      <c r="B45" s="139" t="str">
        <f t="shared" si="3"/>
        <v>06 A 18</v>
      </c>
      <c r="C45" s="62" t="str">
        <f t="shared" si="4"/>
        <v>06:00 a 08:00</v>
      </c>
      <c r="D45" s="62" t="s">
        <v>243</v>
      </c>
      <c r="E45" s="61">
        <v>2</v>
      </c>
      <c r="F45" s="66" t="s">
        <v>2709</v>
      </c>
      <c r="G45" s="63" t="s">
        <v>1841</v>
      </c>
      <c r="H45" s="115">
        <v>365420</v>
      </c>
      <c r="I45" s="136">
        <v>48377109</v>
      </c>
      <c r="J45" s="70" t="s">
        <v>2627</v>
      </c>
      <c r="K45" s="66" t="s">
        <v>66</v>
      </c>
      <c r="L45" s="61"/>
      <c r="M45" s="61" t="s">
        <v>135</v>
      </c>
      <c r="N45" s="61"/>
      <c r="O45" s="70" t="s">
        <v>2822</v>
      </c>
      <c r="P45" s="70" t="s">
        <v>2639</v>
      </c>
      <c r="Q45" s="65">
        <v>0.32777777777777778</v>
      </c>
      <c r="R45" s="65">
        <v>0.36180555555555555</v>
      </c>
      <c r="S45" s="65">
        <v>0.33124999999999999</v>
      </c>
      <c r="T45" s="65" t="s">
        <v>2424</v>
      </c>
      <c r="U45" s="65" t="s">
        <v>2424</v>
      </c>
      <c r="V45" s="65" t="s">
        <v>2424</v>
      </c>
      <c r="W45" s="119" t="s">
        <v>2424</v>
      </c>
      <c r="X45" s="124" t="s">
        <v>2823</v>
      </c>
      <c r="Y45" s="123">
        <v>0</v>
      </c>
      <c r="Z45" s="71">
        <v>1</v>
      </c>
      <c r="AA45" s="71">
        <v>0</v>
      </c>
      <c r="AB45" s="110" t="s">
        <v>2640</v>
      </c>
      <c r="AC45" s="110" t="s">
        <v>2637</v>
      </c>
      <c r="AD45" s="70" t="s">
        <v>2645</v>
      </c>
      <c r="AE45" s="70"/>
      <c r="AF45" s="70" t="s">
        <v>2714</v>
      </c>
      <c r="AG45" s="68" t="s">
        <v>54</v>
      </c>
      <c r="AH45" s="66"/>
      <c r="AI45" s="66"/>
      <c r="AJ45" s="66"/>
      <c r="AK45" s="61"/>
      <c r="AL45" s="49">
        <f>VLOOKUP(G45,VALIDACIONES!P:Q,2,0)</f>
        <v>33106</v>
      </c>
      <c r="AM45" s="54" t="str">
        <f t="shared" si="5"/>
        <v>IMPUTADO</v>
      </c>
      <c r="AN45" s="69" t="str">
        <f t="shared" si="6"/>
        <v>NO</v>
      </c>
    </row>
    <row r="46" spans="1:40" s="55" customFormat="1">
      <c r="A46" s="141">
        <v>46185</v>
      </c>
      <c r="B46" s="139" t="str">
        <f t="shared" si="3"/>
        <v>06 A 18</v>
      </c>
      <c r="C46" s="62" t="str">
        <f t="shared" si="4"/>
        <v>06:00 a 08:00</v>
      </c>
      <c r="D46" s="62" t="s">
        <v>243</v>
      </c>
      <c r="E46" s="61">
        <v>2</v>
      </c>
      <c r="F46" s="66" t="s">
        <v>163</v>
      </c>
      <c r="G46" s="63" t="s">
        <v>1841</v>
      </c>
      <c r="H46" s="115">
        <v>365378</v>
      </c>
      <c r="I46" s="136">
        <v>48376863</v>
      </c>
      <c r="J46" s="70" t="s">
        <v>2627</v>
      </c>
      <c r="K46" s="66" t="s">
        <v>86</v>
      </c>
      <c r="L46" s="61" t="s">
        <v>19</v>
      </c>
      <c r="M46" s="61"/>
      <c r="N46" s="61"/>
      <c r="O46" s="70" t="s">
        <v>2824</v>
      </c>
      <c r="P46" s="70" t="s">
        <v>2667</v>
      </c>
      <c r="Q46" s="65">
        <v>0.31319444444444444</v>
      </c>
      <c r="R46" s="65">
        <v>0.32430555555555557</v>
      </c>
      <c r="S46" s="65" t="s">
        <v>2424</v>
      </c>
      <c r="T46" s="65" t="s">
        <v>2424</v>
      </c>
      <c r="U46" s="65" t="s">
        <v>2424</v>
      </c>
      <c r="V46" s="65" t="s">
        <v>2424</v>
      </c>
      <c r="W46" s="119" t="s">
        <v>2424</v>
      </c>
      <c r="X46" s="124" t="s">
        <v>2825</v>
      </c>
      <c r="Y46" s="123">
        <v>0</v>
      </c>
      <c r="Z46" s="71">
        <v>0</v>
      </c>
      <c r="AA46" s="71">
        <v>0</v>
      </c>
      <c r="AB46" s="110" t="s">
        <v>2680</v>
      </c>
      <c r="AC46" s="110" t="s">
        <v>2637</v>
      </c>
      <c r="AD46" s="70" t="s">
        <v>2638</v>
      </c>
      <c r="AE46" s="70" t="s">
        <v>2651</v>
      </c>
      <c r="AF46" s="70"/>
      <c r="AG46" s="68" t="s">
        <v>45</v>
      </c>
      <c r="AH46" s="66"/>
      <c r="AI46" s="66"/>
      <c r="AJ46" s="66"/>
      <c r="AK46" s="61"/>
      <c r="AL46" s="49">
        <f>VLOOKUP(G46,VALIDACIONES!P:Q,2,0)</f>
        <v>33106</v>
      </c>
      <c r="AM46" s="54" t="str">
        <f t="shared" si="5"/>
        <v>NADA</v>
      </c>
      <c r="AN46" s="69" t="str">
        <f t="shared" si="6"/>
        <v>NO</v>
      </c>
    </row>
    <row r="47" spans="1:40" s="55" customFormat="1">
      <c r="A47" s="141">
        <v>46185</v>
      </c>
      <c r="B47" s="139" t="str">
        <f t="shared" si="3"/>
        <v>06 A 18</v>
      </c>
      <c r="C47" s="62" t="str">
        <f t="shared" si="4"/>
        <v>06:00 a 08:00</v>
      </c>
      <c r="D47" s="62" t="s">
        <v>243</v>
      </c>
      <c r="E47" s="61">
        <v>2</v>
      </c>
      <c r="F47" s="66" t="s">
        <v>2708</v>
      </c>
      <c r="G47" s="63" t="s">
        <v>700</v>
      </c>
      <c r="H47" s="115">
        <v>365839</v>
      </c>
      <c r="I47" s="136">
        <v>48377069</v>
      </c>
      <c r="J47" s="70" t="s">
        <v>2627</v>
      </c>
      <c r="K47" s="63" t="s">
        <v>2407</v>
      </c>
      <c r="L47" s="61"/>
      <c r="M47" s="61"/>
      <c r="N47" s="61"/>
      <c r="O47" s="70" t="s">
        <v>2826</v>
      </c>
      <c r="P47" s="70" t="s">
        <v>2704</v>
      </c>
      <c r="Q47" s="65">
        <v>0.31944444444444442</v>
      </c>
      <c r="R47" s="65">
        <v>0.3298611111111111</v>
      </c>
      <c r="S47" s="65">
        <v>0.32500000000000001</v>
      </c>
      <c r="T47" s="65" t="s">
        <v>2424</v>
      </c>
      <c r="U47" s="65" t="s">
        <v>2424</v>
      </c>
      <c r="V47" s="65" t="s">
        <v>2424</v>
      </c>
      <c r="W47" s="119" t="s">
        <v>2424</v>
      </c>
      <c r="X47" s="124" t="s">
        <v>2827</v>
      </c>
      <c r="Y47" s="123">
        <v>0</v>
      </c>
      <c r="Z47" s="71">
        <v>0</v>
      </c>
      <c r="AA47" s="71">
        <v>0</v>
      </c>
      <c r="AB47" s="110" t="s">
        <v>2672</v>
      </c>
      <c r="AC47" s="110" t="s">
        <v>2637</v>
      </c>
      <c r="AD47" s="70" t="s">
        <v>2645</v>
      </c>
      <c r="AE47" s="70"/>
      <c r="AF47" s="70"/>
      <c r="AG47" s="68" t="s">
        <v>45</v>
      </c>
      <c r="AH47" s="66"/>
      <c r="AI47" s="66"/>
      <c r="AJ47" s="66"/>
      <c r="AK47" s="61"/>
      <c r="AL47" s="49">
        <f>VLOOKUP(G47,VALIDACIONES!P:Q,2,0)</f>
        <v>20384196</v>
      </c>
      <c r="AM47" s="54" t="str">
        <f t="shared" si="5"/>
        <v>NADA</v>
      </c>
      <c r="AN47" s="69" t="str">
        <f t="shared" si="6"/>
        <v>NO</v>
      </c>
    </row>
    <row r="48" spans="1:40" s="55" customFormat="1">
      <c r="A48" s="141">
        <v>46185</v>
      </c>
      <c r="B48" s="139" t="str">
        <f t="shared" si="3"/>
        <v>06 A 18</v>
      </c>
      <c r="C48" s="62" t="str">
        <f t="shared" si="4"/>
        <v>06:00 a 08:00</v>
      </c>
      <c r="D48" s="62" t="s">
        <v>243</v>
      </c>
      <c r="E48" s="61">
        <v>2</v>
      </c>
      <c r="F48" s="66" t="s">
        <v>163</v>
      </c>
      <c r="G48" s="63" t="s">
        <v>2214</v>
      </c>
      <c r="H48" s="115">
        <v>365590</v>
      </c>
      <c r="I48" s="136">
        <v>48377084</v>
      </c>
      <c r="J48" s="70" t="s">
        <v>2627</v>
      </c>
      <c r="K48" s="66" t="s">
        <v>2407</v>
      </c>
      <c r="L48" s="61"/>
      <c r="M48" s="61"/>
      <c r="N48" s="61"/>
      <c r="O48" s="70" t="s">
        <v>2828</v>
      </c>
      <c r="P48" s="70" t="s">
        <v>2666</v>
      </c>
      <c r="Q48" s="65">
        <v>0.3215277777777778</v>
      </c>
      <c r="R48" s="65">
        <v>0.39305555555555555</v>
      </c>
      <c r="S48" s="65" t="s">
        <v>2424</v>
      </c>
      <c r="T48" s="65" t="s">
        <v>2424</v>
      </c>
      <c r="U48" s="65" t="s">
        <v>2424</v>
      </c>
      <c r="V48" s="65" t="s">
        <v>2424</v>
      </c>
      <c r="W48" s="119" t="s">
        <v>2424</v>
      </c>
      <c r="X48" s="124" t="s">
        <v>2829</v>
      </c>
      <c r="Y48" s="123">
        <v>0</v>
      </c>
      <c r="Z48" s="71">
        <v>0</v>
      </c>
      <c r="AA48" s="71">
        <v>0</v>
      </c>
      <c r="AB48" s="110" t="s">
        <v>2654</v>
      </c>
      <c r="AC48" s="110" t="s">
        <v>2637</v>
      </c>
      <c r="AD48" s="70" t="s">
        <v>2645</v>
      </c>
      <c r="AE48" s="70"/>
      <c r="AF48" s="70"/>
      <c r="AG48" s="68" t="s">
        <v>45</v>
      </c>
      <c r="AH48" s="66"/>
      <c r="AI48" s="66"/>
      <c r="AJ48" s="66"/>
      <c r="AK48" s="61"/>
      <c r="AL48" s="49">
        <f>VLOOKUP(G48,VALIDACIONES!P:Q,2,0)</f>
        <v>33972</v>
      </c>
      <c r="AM48" s="54" t="str">
        <f t="shared" si="5"/>
        <v>NADA</v>
      </c>
      <c r="AN48" s="69" t="str">
        <f t="shared" si="6"/>
        <v>NO</v>
      </c>
    </row>
    <row r="49" spans="1:40" s="55" customFormat="1">
      <c r="A49" s="141">
        <v>46185</v>
      </c>
      <c r="B49" s="139" t="str">
        <f t="shared" si="3"/>
        <v>06 A 18</v>
      </c>
      <c r="C49" s="62" t="str">
        <f t="shared" si="4"/>
        <v>06:00 a 08:00</v>
      </c>
      <c r="D49" s="62" t="s">
        <v>243</v>
      </c>
      <c r="E49" s="61">
        <v>2</v>
      </c>
      <c r="F49" s="66" t="s">
        <v>163</v>
      </c>
      <c r="G49" s="63" t="s">
        <v>380</v>
      </c>
      <c r="H49" s="115">
        <v>365487</v>
      </c>
      <c r="I49" s="136">
        <v>48377028</v>
      </c>
      <c r="J49" s="70" t="s">
        <v>2627</v>
      </c>
      <c r="K49" s="66" t="s">
        <v>208</v>
      </c>
      <c r="L49" s="61"/>
      <c r="M49" s="61"/>
      <c r="N49" s="61"/>
      <c r="O49" s="70" t="s">
        <v>2830</v>
      </c>
      <c r="P49" s="70" t="s">
        <v>2673</v>
      </c>
      <c r="Q49" s="65">
        <v>0.31597222222222221</v>
      </c>
      <c r="R49" s="65">
        <v>0.33263888888888887</v>
      </c>
      <c r="S49" s="65">
        <v>0.31805555555555554</v>
      </c>
      <c r="T49" s="65">
        <v>0.32291666666666669</v>
      </c>
      <c r="U49" s="65" t="s">
        <v>2424</v>
      </c>
      <c r="V49" s="65" t="s">
        <v>2424</v>
      </c>
      <c r="W49" s="119" t="s">
        <v>2424</v>
      </c>
      <c r="X49" s="124" t="s">
        <v>2831</v>
      </c>
      <c r="Y49" s="123">
        <v>0</v>
      </c>
      <c r="Z49" s="71">
        <v>0</v>
      </c>
      <c r="AA49" s="71">
        <v>0</v>
      </c>
      <c r="AB49" s="110" t="s">
        <v>2679</v>
      </c>
      <c r="AC49" s="110" t="s">
        <v>2637</v>
      </c>
      <c r="AD49" s="70" t="s">
        <v>2638</v>
      </c>
      <c r="AE49" s="70"/>
      <c r="AF49" s="70"/>
      <c r="AG49" s="68" t="s">
        <v>45</v>
      </c>
      <c r="AH49" s="66"/>
      <c r="AI49" s="107"/>
      <c r="AJ49" s="66"/>
      <c r="AK49" s="61"/>
      <c r="AL49" s="49">
        <f>VLOOKUP(G49,VALIDACIONES!P:Q,2,0)</f>
        <v>32003476</v>
      </c>
      <c r="AM49" s="54" t="str">
        <f t="shared" si="5"/>
        <v>NADA</v>
      </c>
      <c r="AN49" s="69" t="str">
        <f t="shared" si="6"/>
        <v>NO</v>
      </c>
    </row>
    <row r="50" spans="1:40" s="55" customFormat="1">
      <c r="A50" s="141">
        <v>46185</v>
      </c>
      <c r="B50" s="139" t="str">
        <f t="shared" si="3"/>
        <v>06 A 18</v>
      </c>
      <c r="C50" s="62" t="str">
        <f t="shared" si="4"/>
        <v>08:00 a 10:00</v>
      </c>
      <c r="D50" s="62" t="s">
        <v>243</v>
      </c>
      <c r="E50" s="61">
        <v>2</v>
      </c>
      <c r="F50" s="66" t="s">
        <v>2734</v>
      </c>
      <c r="G50" s="63" t="s">
        <v>365</v>
      </c>
      <c r="H50" s="115">
        <v>365784</v>
      </c>
      <c r="I50" s="136">
        <v>48377119</v>
      </c>
      <c r="J50" s="70" t="s">
        <v>2627</v>
      </c>
      <c r="K50" s="66" t="s">
        <v>274</v>
      </c>
      <c r="L50" s="61"/>
      <c r="M50" s="61" t="s">
        <v>245</v>
      </c>
      <c r="N50" s="61"/>
      <c r="O50" s="70" t="s">
        <v>2832</v>
      </c>
      <c r="P50" s="70" t="s">
        <v>2673</v>
      </c>
      <c r="Q50" s="65">
        <v>0.34027777777777779</v>
      </c>
      <c r="R50" s="65">
        <v>0.40972222222222221</v>
      </c>
      <c r="S50" s="65">
        <v>0.34513888888888888</v>
      </c>
      <c r="T50" s="65" t="s">
        <v>2424</v>
      </c>
      <c r="U50" s="65" t="s">
        <v>2424</v>
      </c>
      <c r="V50" s="65" t="s">
        <v>2424</v>
      </c>
      <c r="W50" s="119" t="s">
        <v>2424</v>
      </c>
      <c r="X50" s="124" t="s">
        <v>2833</v>
      </c>
      <c r="Y50" s="123">
        <v>1</v>
      </c>
      <c r="Z50" s="71">
        <v>0</v>
      </c>
      <c r="AA50" s="71">
        <v>0</v>
      </c>
      <c r="AB50" s="110" t="s">
        <v>2679</v>
      </c>
      <c r="AC50" s="110" t="s">
        <v>2637</v>
      </c>
      <c r="AD50" s="70" t="s">
        <v>2645</v>
      </c>
      <c r="AE50" s="70"/>
      <c r="AF50" s="70" t="s">
        <v>2834</v>
      </c>
      <c r="AG50" s="68" t="s">
        <v>54</v>
      </c>
      <c r="AH50" s="66"/>
      <c r="AI50" s="66"/>
      <c r="AJ50" s="66"/>
      <c r="AK50" s="61"/>
      <c r="AL50" s="49">
        <f>VLOOKUP(G50,VALIDACIONES!P:Q,2,0)</f>
        <v>32445282</v>
      </c>
      <c r="AM50" s="54" t="str">
        <f t="shared" si="5"/>
        <v>IMPUTADO</v>
      </c>
      <c r="AN50" s="69" t="str">
        <f t="shared" si="6"/>
        <v>NO</v>
      </c>
    </row>
    <row r="51" spans="1:40" s="55" customFormat="1">
      <c r="A51" s="141">
        <v>46185</v>
      </c>
      <c r="B51" s="139" t="str">
        <f t="shared" si="3"/>
        <v>06 A 18</v>
      </c>
      <c r="C51" s="62" t="str">
        <f t="shared" si="4"/>
        <v>08:00 a 10:00</v>
      </c>
      <c r="D51" s="62" t="s">
        <v>243</v>
      </c>
      <c r="E51" s="61">
        <v>2</v>
      </c>
      <c r="F51" s="66" t="s">
        <v>163</v>
      </c>
      <c r="G51" s="66" t="s">
        <v>478</v>
      </c>
      <c r="H51" s="110">
        <v>365494</v>
      </c>
      <c r="I51" s="136">
        <v>48377158</v>
      </c>
      <c r="J51" s="70" t="s">
        <v>2627</v>
      </c>
      <c r="K51" s="66" t="s">
        <v>2407</v>
      </c>
      <c r="L51" s="61"/>
      <c r="M51" s="61"/>
      <c r="N51" s="61"/>
      <c r="O51" s="70" t="s">
        <v>2835</v>
      </c>
      <c r="P51" s="70" t="s">
        <v>2655</v>
      </c>
      <c r="Q51" s="65">
        <v>0.33750000000000002</v>
      </c>
      <c r="R51" s="65">
        <v>0.34722222222222221</v>
      </c>
      <c r="S51" s="65">
        <v>0.34305555555555556</v>
      </c>
      <c r="T51" s="65" t="s">
        <v>2424</v>
      </c>
      <c r="U51" s="65" t="s">
        <v>2424</v>
      </c>
      <c r="V51" s="72" t="s">
        <v>2424</v>
      </c>
      <c r="W51" s="119" t="s">
        <v>2424</v>
      </c>
      <c r="X51" s="124" t="s">
        <v>2836</v>
      </c>
      <c r="Y51" s="123">
        <v>0</v>
      </c>
      <c r="Z51" s="71">
        <v>0</v>
      </c>
      <c r="AA51" s="74">
        <v>0</v>
      </c>
      <c r="AB51" s="111" t="s">
        <v>2689</v>
      </c>
      <c r="AC51" s="111" t="s">
        <v>2637</v>
      </c>
      <c r="AD51" s="73" t="s">
        <v>2645</v>
      </c>
      <c r="AE51" s="73"/>
      <c r="AF51" s="73"/>
      <c r="AG51" s="68" t="s">
        <v>45</v>
      </c>
      <c r="AH51" s="66"/>
      <c r="AI51" s="66"/>
      <c r="AJ51" s="66"/>
      <c r="AK51" s="61"/>
      <c r="AL51" s="49">
        <f>VLOOKUP(G51,VALIDACIONES!P:Q,2,0)</f>
        <v>40012530</v>
      </c>
      <c r="AM51" s="55" t="str">
        <f t="shared" si="5"/>
        <v>NADA</v>
      </c>
      <c r="AN51" s="99" t="str">
        <f t="shared" si="6"/>
        <v>NO</v>
      </c>
    </row>
    <row r="52" spans="1:40" s="55" customFormat="1">
      <c r="A52" s="141">
        <v>46185</v>
      </c>
      <c r="B52" s="139" t="str">
        <f t="shared" si="3"/>
        <v>06 A 18</v>
      </c>
      <c r="C52" s="62" t="str">
        <f t="shared" si="4"/>
        <v>06:00 a 08:00</v>
      </c>
      <c r="D52" s="62" t="s">
        <v>243</v>
      </c>
      <c r="E52" s="61">
        <v>2</v>
      </c>
      <c r="F52" s="66" t="s">
        <v>2707</v>
      </c>
      <c r="G52" s="66" t="s">
        <v>657</v>
      </c>
      <c r="H52" s="115">
        <v>365495</v>
      </c>
      <c r="I52" s="136">
        <v>48376891</v>
      </c>
      <c r="J52" s="70" t="s">
        <v>2628</v>
      </c>
      <c r="K52" s="66" t="s">
        <v>86</v>
      </c>
      <c r="L52" s="61" t="s">
        <v>185</v>
      </c>
      <c r="M52" s="61"/>
      <c r="N52" s="61"/>
      <c r="O52" s="70" t="s">
        <v>2837</v>
      </c>
      <c r="P52" s="70" t="s">
        <v>2686</v>
      </c>
      <c r="Q52" s="65">
        <v>0.30694444444444446</v>
      </c>
      <c r="R52" s="65">
        <v>0.34444444444444444</v>
      </c>
      <c r="S52" s="65">
        <v>0.30694444444444446</v>
      </c>
      <c r="T52" s="65">
        <v>0.31944444444444442</v>
      </c>
      <c r="U52" s="65" t="s">
        <v>2424</v>
      </c>
      <c r="V52" s="65" t="s">
        <v>2424</v>
      </c>
      <c r="W52" s="119" t="s">
        <v>2424</v>
      </c>
      <c r="X52" s="124" t="s">
        <v>2838</v>
      </c>
      <c r="Y52" s="123">
        <v>0</v>
      </c>
      <c r="Z52" s="71">
        <v>0</v>
      </c>
      <c r="AA52" s="71">
        <v>0</v>
      </c>
      <c r="AB52" s="110" t="s">
        <v>2687</v>
      </c>
      <c r="AC52" s="110" t="s">
        <v>2637</v>
      </c>
      <c r="AD52" s="70" t="s">
        <v>2690</v>
      </c>
      <c r="AE52" s="70"/>
      <c r="AF52" s="70"/>
      <c r="AG52" s="68" t="s">
        <v>45</v>
      </c>
      <c r="AH52" s="66"/>
      <c r="AI52" s="66"/>
      <c r="AJ52" s="66"/>
      <c r="AK52" s="61"/>
      <c r="AL52" s="49">
        <f>VLOOKUP(G52,VALIDACIONES!P:Q,2,0)</f>
        <v>45316966</v>
      </c>
      <c r="AM52" s="55" t="str">
        <f t="shared" si="5"/>
        <v>NADA</v>
      </c>
      <c r="AN52" s="99" t="str">
        <f t="shared" si="6"/>
        <v>NO</v>
      </c>
    </row>
    <row r="53" spans="1:40" s="55" customFormat="1">
      <c r="A53" s="141">
        <v>46185</v>
      </c>
      <c r="B53" s="139" t="str">
        <f t="shared" si="3"/>
        <v>06 A 18</v>
      </c>
      <c r="C53" s="62" t="str">
        <f t="shared" si="4"/>
        <v>08:00 a 10:00</v>
      </c>
      <c r="D53" s="62" t="s">
        <v>243</v>
      </c>
      <c r="E53" s="61">
        <v>2</v>
      </c>
      <c r="F53" s="66" t="s">
        <v>163</v>
      </c>
      <c r="G53" s="66" t="s">
        <v>1173</v>
      </c>
      <c r="H53" s="115">
        <v>365599</v>
      </c>
      <c r="I53" s="136">
        <v>48377145</v>
      </c>
      <c r="J53" s="70" t="s">
        <v>2627</v>
      </c>
      <c r="K53" s="66" t="s">
        <v>86</v>
      </c>
      <c r="L53" s="61" t="s">
        <v>76</v>
      </c>
      <c r="M53" s="61" t="s">
        <v>130</v>
      </c>
      <c r="N53" s="61"/>
      <c r="O53" s="70" t="s">
        <v>2839</v>
      </c>
      <c r="P53" s="70" t="s">
        <v>2652</v>
      </c>
      <c r="Q53" s="65">
        <v>0.34097222222222223</v>
      </c>
      <c r="R53" s="65">
        <v>0.35069444444444442</v>
      </c>
      <c r="S53" s="65">
        <v>0.34166666666666667</v>
      </c>
      <c r="T53" s="65">
        <v>0.34305555555555556</v>
      </c>
      <c r="U53" s="65" t="s">
        <v>2424</v>
      </c>
      <c r="V53" s="65" t="s">
        <v>2424</v>
      </c>
      <c r="W53" s="119" t="s">
        <v>2424</v>
      </c>
      <c r="X53" s="124" t="s">
        <v>2840</v>
      </c>
      <c r="Y53" s="123">
        <v>0</v>
      </c>
      <c r="Z53" s="71">
        <v>1</v>
      </c>
      <c r="AA53" s="71">
        <v>1</v>
      </c>
      <c r="AB53" s="110" t="s">
        <v>2657</v>
      </c>
      <c r="AC53" s="110" t="s">
        <v>2637</v>
      </c>
      <c r="AD53" s="70" t="s">
        <v>2638</v>
      </c>
      <c r="AE53" s="70"/>
      <c r="AF53" s="70" t="s">
        <v>2841</v>
      </c>
      <c r="AG53" s="68" t="s">
        <v>62</v>
      </c>
      <c r="AH53" s="127" t="s">
        <v>3153</v>
      </c>
      <c r="AI53" s="66"/>
      <c r="AJ53" s="66"/>
      <c r="AK53" s="61"/>
      <c r="AL53" s="49">
        <f>VLOOKUP(G53,VALIDACIONES!P:Q,2,0)</f>
        <v>42192687</v>
      </c>
      <c r="AM53" s="55" t="str">
        <f t="shared" si="5"/>
        <v>IMPUTADO</v>
      </c>
      <c r="AN53" s="99" t="str">
        <f t="shared" si="6"/>
        <v>NO</v>
      </c>
    </row>
    <row r="54" spans="1:40" s="55" customFormat="1">
      <c r="A54" s="141">
        <v>46185</v>
      </c>
      <c r="B54" s="139" t="str">
        <f t="shared" si="3"/>
        <v>06 A 18</v>
      </c>
      <c r="C54" s="62" t="str">
        <f t="shared" si="4"/>
        <v>06:00 a 08:00</v>
      </c>
      <c r="D54" s="62" t="s">
        <v>243</v>
      </c>
      <c r="E54" s="61">
        <v>2</v>
      </c>
      <c r="F54" s="66" t="s">
        <v>2707</v>
      </c>
      <c r="G54" s="66" t="s">
        <v>540</v>
      </c>
      <c r="H54" s="115">
        <v>365504</v>
      </c>
      <c r="I54" s="136">
        <v>48377049</v>
      </c>
      <c r="J54" s="70" t="s">
        <v>2628</v>
      </c>
      <c r="K54" s="66" t="s">
        <v>86</v>
      </c>
      <c r="L54" s="61" t="s">
        <v>173</v>
      </c>
      <c r="M54" s="61"/>
      <c r="N54" s="61"/>
      <c r="O54" s="70" t="s">
        <v>2842</v>
      </c>
      <c r="P54" s="70" t="s">
        <v>2646</v>
      </c>
      <c r="Q54" s="65">
        <v>0.32430555555555557</v>
      </c>
      <c r="R54" s="65">
        <v>0.34930555555555554</v>
      </c>
      <c r="S54" s="65">
        <v>0.33055555555555555</v>
      </c>
      <c r="T54" s="65" t="s">
        <v>2424</v>
      </c>
      <c r="U54" s="65" t="s">
        <v>2424</v>
      </c>
      <c r="V54" s="65" t="s">
        <v>2424</v>
      </c>
      <c r="W54" s="119" t="s">
        <v>2424</v>
      </c>
      <c r="X54" s="124" t="s">
        <v>2843</v>
      </c>
      <c r="Y54" s="123">
        <v>0</v>
      </c>
      <c r="Z54" s="71">
        <v>0</v>
      </c>
      <c r="AA54" s="71">
        <v>0</v>
      </c>
      <c r="AB54" s="110" t="s">
        <v>2647</v>
      </c>
      <c r="AC54" s="110" t="s">
        <v>2637</v>
      </c>
      <c r="AD54" s="70" t="s">
        <v>2638</v>
      </c>
      <c r="AE54" s="70"/>
      <c r="AF54" s="70"/>
      <c r="AG54" s="68" t="s">
        <v>45</v>
      </c>
      <c r="AH54" s="66"/>
      <c r="AI54" s="66"/>
      <c r="AJ54" s="66"/>
      <c r="AK54" s="61"/>
      <c r="AL54" s="49">
        <f>VLOOKUP(G54,VALIDACIONES!P:Q,2,0)</f>
        <v>41248020</v>
      </c>
      <c r="AM54" s="55" t="str">
        <f t="shared" si="5"/>
        <v>NADA</v>
      </c>
      <c r="AN54" s="99" t="str">
        <f t="shared" si="6"/>
        <v>NO</v>
      </c>
    </row>
    <row r="55" spans="1:40" s="55" customFormat="1">
      <c r="A55" s="141">
        <v>46185</v>
      </c>
      <c r="B55" s="139" t="str">
        <f t="shared" si="3"/>
        <v>06 A 18</v>
      </c>
      <c r="C55" s="62" t="str">
        <f t="shared" si="4"/>
        <v>08:00 a 10:00</v>
      </c>
      <c r="D55" s="62" t="s">
        <v>243</v>
      </c>
      <c r="E55" s="61">
        <v>2</v>
      </c>
      <c r="F55" s="66" t="s">
        <v>2734</v>
      </c>
      <c r="G55" s="66" t="s">
        <v>612</v>
      </c>
      <c r="H55" s="115">
        <v>365847</v>
      </c>
      <c r="I55" s="136">
        <v>48377208</v>
      </c>
      <c r="J55" s="70" t="s">
        <v>2627</v>
      </c>
      <c r="K55" s="66" t="s">
        <v>100</v>
      </c>
      <c r="L55" s="61"/>
      <c r="M55" s="61"/>
      <c r="N55" s="61"/>
      <c r="O55" s="70" t="s">
        <v>2844</v>
      </c>
      <c r="P55" s="70" t="s">
        <v>2693</v>
      </c>
      <c r="Q55" s="65">
        <v>0.34583333333333333</v>
      </c>
      <c r="R55" s="65">
        <v>0.35625000000000001</v>
      </c>
      <c r="S55" s="65">
        <v>0.35347222222222224</v>
      </c>
      <c r="T55" s="65" t="s">
        <v>2424</v>
      </c>
      <c r="U55" s="65" t="s">
        <v>2424</v>
      </c>
      <c r="V55" s="65" t="s">
        <v>2424</v>
      </c>
      <c r="W55" s="119" t="s">
        <v>2424</v>
      </c>
      <c r="X55" s="124" t="s">
        <v>2845</v>
      </c>
      <c r="Y55" s="123">
        <v>0</v>
      </c>
      <c r="Z55" s="71">
        <v>0</v>
      </c>
      <c r="AA55" s="71">
        <v>0</v>
      </c>
      <c r="AB55" s="110" t="s">
        <v>2694</v>
      </c>
      <c r="AC55" s="110" t="s">
        <v>2637</v>
      </c>
      <c r="AD55" s="70" t="s">
        <v>2645</v>
      </c>
      <c r="AE55" s="70"/>
      <c r="AF55" s="70"/>
      <c r="AG55" s="68" t="s">
        <v>45</v>
      </c>
      <c r="AH55" s="66"/>
      <c r="AI55" s="66"/>
      <c r="AJ55" s="66"/>
      <c r="AK55" s="61"/>
      <c r="AL55" s="49">
        <f>VLOOKUP(G55,VALIDACIONES!P:Q,2,0)</f>
        <v>22819436</v>
      </c>
      <c r="AM55" s="55" t="str">
        <f t="shared" si="5"/>
        <v>NADA</v>
      </c>
      <c r="AN55" s="99" t="str">
        <f t="shared" si="6"/>
        <v>NO</v>
      </c>
    </row>
    <row r="56" spans="1:40" s="55" customFormat="1">
      <c r="A56" s="141">
        <v>46185</v>
      </c>
      <c r="B56" s="139" t="str">
        <f t="shared" si="3"/>
        <v>06 A 18</v>
      </c>
      <c r="C56" s="62" t="str">
        <f t="shared" si="4"/>
        <v>08:00 a 10:00</v>
      </c>
      <c r="D56" s="62" t="s">
        <v>243</v>
      </c>
      <c r="E56" s="61">
        <v>2</v>
      </c>
      <c r="F56" s="66" t="s">
        <v>2734</v>
      </c>
      <c r="G56" s="66" t="s">
        <v>2214</v>
      </c>
      <c r="H56" s="115">
        <v>365863</v>
      </c>
      <c r="I56" s="136">
        <v>48377196</v>
      </c>
      <c r="J56" s="70" t="s">
        <v>2627</v>
      </c>
      <c r="K56" s="66" t="s">
        <v>2407</v>
      </c>
      <c r="L56" s="61"/>
      <c r="M56" s="61"/>
      <c r="N56" s="61"/>
      <c r="O56" s="70" t="s">
        <v>2846</v>
      </c>
      <c r="P56" s="70" t="s">
        <v>2666</v>
      </c>
      <c r="Q56" s="65">
        <v>0.34097222222222223</v>
      </c>
      <c r="R56" s="65">
        <v>0.35138888888888886</v>
      </c>
      <c r="S56" s="65">
        <v>0.34861111111111109</v>
      </c>
      <c r="T56" s="65" t="s">
        <v>2424</v>
      </c>
      <c r="U56" s="65" t="s">
        <v>2424</v>
      </c>
      <c r="V56" s="65" t="s">
        <v>2424</v>
      </c>
      <c r="W56" s="119" t="s">
        <v>2424</v>
      </c>
      <c r="X56" s="124" t="s">
        <v>2847</v>
      </c>
      <c r="Y56" s="123">
        <v>0</v>
      </c>
      <c r="Z56" s="71">
        <v>0</v>
      </c>
      <c r="AA56" s="71">
        <v>0</v>
      </c>
      <c r="AB56" s="110" t="s">
        <v>2654</v>
      </c>
      <c r="AC56" s="110" t="s">
        <v>2637</v>
      </c>
      <c r="AD56" s="70" t="s">
        <v>2645</v>
      </c>
      <c r="AE56" s="70"/>
      <c r="AF56" s="70"/>
      <c r="AG56" s="68" t="s">
        <v>45</v>
      </c>
      <c r="AH56" s="66"/>
      <c r="AI56" s="66"/>
      <c r="AJ56" s="66"/>
      <c r="AK56" s="61"/>
      <c r="AL56" s="49">
        <f>VLOOKUP(G56,VALIDACIONES!P:Q,2,0)</f>
        <v>33972</v>
      </c>
      <c r="AM56" s="55" t="str">
        <f t="shared" si="5"/>
        <v>NADA</v>
      </c>
      <c r="AN56" s="99" t="str">
        <f t="shared" si="6"/>
        <v>NO</v>
      </c>
    </row>
    <row r="57" spans="1:40" s="55" customFormat="1">
      <c r="A57" s="141">
        <v>46185</v>
      </c>
      <c r="B57" s="139" t="str">
        <f t="shared" si="3"/>
        <v>06 A 18</v>
      </c>
      <c r="C57" s="62" t="str">
        <f t="shared" si="4"/>
        <v>08:00 a 10:00</v>
      </c>
      <c r="D57" s="62" t="s">
        <v>243</v>
      </c>
      <c r="E57" s="61">
        <v>2</v>
      </c>
      <c r="F57" s="66" t="s">
        <v>2708</v>
      </c>
      <c r="G57" s="66" t="s">
        <v>937</v>
      </c>
      <c r="H57" s="115">
        <v>365415</v>
      </c>
      <c r="I57" s="136">
        <v>48377247</v>
      </c>
      <c r="J57" s="70" t="s">
        <v>2627</v>
      </c>
      <c r="K57" s="66" t="s">
        <v>86</v>
      </c>
      <c r="L57" s="61" t="s">
        <v>19</v>
      </c>
      <c r="M57" s="61"/>
      <c r="N57" s="61"/>
      <c r="O57" s="70" t="s">
        <v>2848</v>
      </c>
      <c r="P57" s="70" t="s">
        <v>2673</v>
      </c>
      <c r="Q57" s="65">
        <v>0.34513888888888888</v>
      </c>
      <c r="R57" s="65">
        <v>0.36666666666666664</v>
      </c>
      <c r="S57" s="65" t="s">
        <v>2424</v>
      </c>
      <c r="T57" s="65" t="s">
        <v>2424</v>
      </c>
      <c r="U57" s="65" t="s">
        <v>2424</v>
      </c>
      <c r="V57" s="65" t="s">
        <v>2424</v>
      </c>
      <c r="W57" s="119" t="s">
        <v>2424</v>
      </c>
      <c r="X57" s="124" t="s">
        <v>2849</v>
      </c>
      <c r="Y57" s="123">
        <v>0</v>
      </c>
      <c r="Z57" s="71">
        <v>0</v>
      </c>
      <c r="AA57" s="71">
        <v>0</v>
      </c>
      <c r="AB57" s="110" t="s">
        <v>2674</v>
      </c>
      <c r="AC57" s="110" t="s">
        <v>2637</v>
      </c>
      <c r="AD57" s="70" t="s">
        <v>2645</v>
      </c>
      <c r="AE57" s="70"/>
      <c r="AF57" s="70"/>
      <c r="AG57" s="68" t="s">
        <v>45</v>
      </c>
      <c r="AH57" s="66"/>
      <c r="AI57" s="66"/>
      <c r="AJ57" s="66"/>
      <c r="AK57" s="61"/>
      <c r="AL57" s="49">
        <f>VLOOKUP(G57,VALIDACIONES!P:Q,2,0)</f>
        <v>37113734</v>
      </c>
      <c r="AM57" s="55" t="str">
        <f t="shared" si="5"/>
        <v>NADA</v>
      </c>
      <c r="AN57" s="99" t="str">
        <f t="shared" si="6"/>
        <v>NO</v>
      </c>
    </row>
    <row r="58" spans="1:40" s="55" customFormat="1">
      <c r="A58" s="141">
        <v>46185</v>
      </c>
      <c r="B58" s="139" t="str">
        <f t="shared" si="3"/>
        <v>06 A 18</v>
      </c>
      <c r="C58" s="62" t="str">
        <f t="shared" si="4"/>
        <v>08:00 a 10:00</v>
      </c>
      <c r="D58" s="62" t="s">
        <v>243</v>
      </c>
      <c r="E58" s="61">
        <v>2</v>
      </c>
      <c r="F58" s="66" t="s">
        <v>2707</v>
      </c>
      <c r="G58" s="66" t="s">
        <v>582</v>
      </c>
      <c r="H58" s="115">
        <v>365499</v>
      </c>
      <c r="I58" s="136">
        <v>48377160</v>
      </c>
      <c r="J58" s="70" t="s">
        <v>2628</v>
      </c>
      <c r="K58" s="66" t="s">
        <v>86</v>
      </c>
      <c r="L58" s="61" t="s">
        <v>131</v>
      </c>
      <c r="M58" s="61"/>
      <c r="N58" s="61"/>
      <c r="O58" s="70" t="s">
        <v>2850</v>
      </c>
      <c r="P58" s="70" t="s">
        <v>2851</v>
      </c>
      <c r="Q58" s="65">
        <v>0.34236111111111112</v>
      </c>
      <c r="R58" s="65">
        <v>0.35555555555555557</v>
      </c>
      <c r="S58" s="65">
        <v>0.34236111111111112</v>
      </c>
      <c r="T58" s="65" t="s">
        <v>2424</v>
      </c>
      <c r="U58" s="65" t="s">
        <v>2424</v>
      </c>
      <c r="V58" s="65" t="s">
        <v>2424</v>
      </c>
      <c r="W58" s="119" t="s">
        <v>2424</v>
      </c>
      <c r="X58" s="124" t="s">
        <v>2852</v>
      </c>
      <c r="Y58" s="123">
        <v>0</v>
      </c>
      <c r="Z58" s="71">
        <v>0</v>
      </c>
      <c r="AA58" s="71">
        <v>0</v>
      </c>
      <c r="AB58" s="110" t="s">
        <v>2676</v>
      </c>
      <c r="AC58" s="110" t="s">
        <v>2637</v>
      </c>
      <c r="AD58" s="70" t="s">
        <v>2638</v>
      </c>
      <c r="AE58" s="70"/>
      <c r="AF58" s="70"/>
      <c r="AG58" s="68" t="s">
        <v>45</v>
      </c>
      <c r="AH58" s="66"/>
      <c r="AI58" s="66"/>
      <c r="AJ58" s="66"/>
      <c r="AK58" s="61"/>
      <c r="AL58" s="49">
        <f>VLOOKUP(G58,VALIDACIONES!P:Q,2,0)</f>
        <v>45777770</v>
      </c>
      <c r="AM58" s="55" t="str">
        <f t="shared" si="5"/>
        <v>NADA</v>
      </c>
      <c r="AN58" s="99" t="str">
        <f t="shared" si="6"/>
        <v>NO</v>
      </c>
    </row>
    <row r="59" spans="1:40" s="55" customFormat="1">
      <c r="A59" s="141">
        <v>46185</v>
      </c>
      <c r="B59" s="139" t="str">
        <f t="shared" si="3"/>
        <v>06 A 18</v>
      </c>
      <c r="C59" s="62" t="str">
        <f t="shared" si="4"/>
        <v>08:00 a 10:00</v>
      </c>
      <c r="D59" s="62" t="s">
        <v>243</v>
      </c>
      <c r="E59" s="61">
        <v>2</v>
      </c>
      <c r="F59" s="66" t="s">
        <v>163</v>
      </c>
      <c r="G59" s="66" t="s">
        <v>2436</v>
      </c>
      <c r="H59" s="114">
        <v>365859</v>
      </c>
      <c r="I59" s="138">
        <v>48377200</v>
      </c>
      <c r="J59" s="66" t="s">
        <v>2627</v>
      </c>
      <c r="K59" s="66" t="s">
        <v>86</v>
      </c>
      <c r="L59" s="61" t="s">
        <v>76</v>
      </c>
      <c r="M59" s="61" t="s">
        <v>130</v>
      </c>
      <c r="N59" s="61"/>
      <c r="O59" s="66" t="s">
        <v>2853</v>
      </c>
      <c r="P59" s="66" t="s">
        <v>2652</v>
      </c>
      <c r="Q59" s="65">
        <v>0.35</v>
      </c>
      <c r="R59" s="65">
        <v>0.39513888888888887</v>
      </c>
      <c r="S59" s="65">
        <v>0.35</v>
      </c>
      <c r="T59" s="65">
        <v>0.3527777777777778</v>
      </c>
      <c r="U59" s="65" t="s">
        <v>2424</v>
      </c>
      <c r="V59" s="65" t="s">
        <v>2424</v>
      </c>
      <c r="W59" s="119" t="s">
        <v>2424</v>
      </c>
      <c r="X59" s="124" t="s">
        <v>2854</v>
      </c>
      <c r="Y59" s="122">
        <v>0</v>
      </c>
      <c r="Z59" s="67">
        <v>1</v>
      </c>
      <c r="AA59" s="67">
        <v>0</v>
      </c>
      <c r="AB59" s="108" t="s">
        <v>2660</v>
      </c>
      <c r="AC59" s="108" t="s">
        <v>2637</v>
      </c>
      <c r="AD59" s="66" t="s">
        <v>2638</v>
      </c>
      <c r="AE59" s="66"/>
      <c r="AF59" s="66" t="s">
        <v>2681</v>
      </c>
      <c r="AG59" s="68" t="s">
        <v>62</v>
      </c>
      <c r="AH59" s="66"/>
      <c r="AI59" s="66"/>
      <c r="AJ59" s="66"/>
      <c r="AK59" s="66"/>
      <c r="AL59" s="49">
        <f>VLOOKUP(G59,VALIDACIONES!P:Q,2,0)</f>
        <v>45322664</v>
      </c>
      <c r="AM59" s="55" t="str">
        <f t="shared" si="5"/>
        <v>IMPUTADO</v>
      </c>
      <c r="AN59" s="99" t="str">
        <f t="shared" si="6"/>
        <v>NO</v>
      </c>
    </row>
    <row r="60" spans="1:40" s="55" customFormat="1">
      <c r="A60" s="141">
        <v>46185</v>
      </c>
      <c r="B60" s="139" t="str">
        <f t="shared" si="3"/>
        <v>06 A 18</v>
      </c>
      <c r="C60" s="62" t="str">
        <f t="shared" si="4"/>
        <v>08:00 a 10:00</v>
      </c>
      <c r="D60" s="62" t="s">
        <v>243</v>
      </c>
      <c r="E60" s="61">
        <v>2</v>
      </c>
      <c r="F60" s="66" t="s">
        <v>163</v>
      </c>
      <c r="G60" s="66" t="s">
        <v>503</v>
      </c>
      <c r="H60" s="114">
        <v>365595</v>
      </c>
      <c r="I60" s="138">
        <v>48377226</v>
      </c>
      <c r="J60" s="66" t="s">
        <v>2627</v>
      </c>
      <c r="K60" s="66" t="s">
        <v>208</v>
      </c>
      <c r="L60" s="61"/>
      <c r="M60" s="61"/>
      <c r="N60" s="61"/>
      <c r="O60" s="66" t="s">
        <v>2855</v>
      </c>
      <c r="P60" s="66" t="s">
        <v>2655</v>
      </c>
      <c r="Q60" s="65">
        <v>0.35972222222222222</v>
      </c>
      <c r="R60" s="65">
        <v>0.36319444444444443</v>
      </c>
      <c r="S60" s="65">
        <v>0.35972222222222222</v>
      </c>
      <c r="T60" s="65">
        <v>0.35972222222222222</v>
      </c>
      <c r="U60" s="65" t="s">
        <v>2424</v>
      </c>
      <c r="V60" s="65" t="s">
        <v>2424</v>
      </c>
      <c r="W60" s="119" t="s">
        <v>2424</v>
      </c>
      <c r="X60" s="124" t="s">
        <v>2856</v>
      </c>
      <c r="Y60" s="122">
        <v>0</v>
      </c>
      <c r="Z60" s="67">
        <v>0</v>
      </c>
      <c r="AA60" s="67">
        <v>1</v>
      </c>
      <c r="AB60" s="108" t="s">
        <v>2656</v>
      </c>
      <c r="AC60" s="108" t="s">
        <v>2637</v>
      </c>
      <c r="AD60" s="66" t="s">
        <v>2645</v>
      </c>
      <c r="AE60" s="66"/>
      <c r="AF60" s="66" t="s">
        <v>2669</v>
      </c>
      <c r="AG60" s="68" t="s">
        <v>45</v>
      </c>
      <c r="AH60" s="66"/>
      <c r="AI60" s="66"/>
      <c r="AJ60" s="66"/>
      <c r="AK60" s="66"/>
      <c r="AL60" s="49">
        <f>VLOOKUP(G60,VALIDACIONES!P:Q,2,0)</f>
        <v>42373340</v>
      </c>
      <c r="AM60" s="55" t="str">
        <f t="shared" si="5"/>
        <v>NADA</v>
      </c>
      <c r="AN60" s="99" t="str">
        <f t="shared" si="6"/>
        <v>NO</v>
      </c>
    </row>
    <row r="61" spans="1:40" s="55" customFormat="1">
      <c r="A61" s="141">
        <v>46185</v>
      </c>
      <c r="B61" s="139" t="str">
        <f t="shared" si="3"/>
        <v>06 A 18</v>
      </c>
      <c r="C61" s="62" t="str">
        <f t="shared" si="4"/>
        <v>08:00 a 10:00</v>
      </c>
      <c r="D61" s="62" t="s">
        <v>243</v>
      </c>
      <c r="E61" s="61">
        <v>2</v>
      </c>
      <c r="F61" s="66" t="s">
        <v>2734</v>
      </c>
      <c r="G61" s="66" t="s">
        <v>1326</v>
      </c>
      <c r="H61" s="115">
        <v>366128</v>
      </c>
      <c r="I61" s="136">
        <v>48377316</v>
      </c>
      <c r="J61" s="70" t="s">
        <v>2627</v>
      </c>
      <c r="K61" s="66" t="s">
        <v>2407</v>
      </c>
      <c r="L61" s="61"/>
      <c r="M61" s="61"/>
      <c r="N61" s="61"/>
      <c r="O61" s="70" t="s">
        <v>2857</v>
      </c>
      <c r="P61" s="70" t="s">
        <v>2658</v>
      </c>
      <c r="Q61" s="65">
        <v>0.36527777777777776</v>
      </c>
      <c r="R61" s="65">
        <v>0.36944444444444446</v>
      </c>
      <c r="S61" s="65">
        <v>0.36666666666666664</v>
      </c>
      <c r="T61" s="65" t="s">
        <v>2424</v>
      </c>
      <c r="U61" s="65" t="s">
        <v>2424</v>
      </c>
      <c r="V61" s="65" t="s">
        <v>2424</v>
      </c>
      <c r="W61" s="119" t="s">
        <v>2424</v>
      </c>
      <c r="X61" s="124" t="s">
        <v>2858</v>
      </c>
      <c r="Y61" s="123">
        <v>0</v>
      </c>
      <c r="Z61" s="71">
        <v>0</v>
      </c>
      <c r="AA61" s="71">
        <v>0</v>
      </c>
      <c r="AB61" s="110" t="s">
        <v>2659</v>
      </c>
      <c r="AC61" s="110" t="s">
        <v>2637</v>
      </c>
      <c r="AD61" s="70" t="s">
        <v>2645</v>
      </c>
      <c r="AE61" s="70"/>
      <c r="AF61" s="70"/>
      <c r="AG61" s="68" t="s">
        <v>45</v>
      </c>
      <c r="AH61" s="66"/>
      <c r="AI61" s="66"/>
      <c r="AJ61" s="66"/>
      <c r="AK61" s="61"/>
      <c r="AL61" s="49">
        <f>VLOOKUP(G61,VALIDACIONES!P:Q,2,0)</f>
        <v>32784025</v>
      </c>
      <c r="AM61" s="55" t="str">
        <f t="shared" si="5"/>
        <v>NADA</v>
      </c>
      <c r="AN61" s="99" t="str">
        <f t="shared" si="6"/>
        <v>NO</v>
      </c>
    </row>
    <row r="62" spans="1:40" s="55" customFormat="1">
      <c r="A62" s="141">
        <v>46185</v>
      </c>
      <c r="B62" s="139" t="str">
        <f t="shared" si="3"/>
        <v>06 A 18</v>
      </c>
      <c r="C62" s="62" t="str">
        <f t="shared" si="4"/>
        <v>08:00 a 10:00</v>
      </c>
      <c r="D62" s="62" t="s">
        <v>243</v>
      </c>
      <c r="E62" s="61">
        <v>2</v>
      </c>
      <c r="F62" s="66" t="s">
        <v>163</v>
      </c>
      <c r="G62" s="66" t="s">
        <v>942</v>
      </c>
      <c r="H62" s="114">
        <v>365696</v>
      </c>
      <c r="I62" s="138">
        <v>48377212</v>
      </c>
      <c r="J62" s="66" t="s">
        <v>2627</v>
      </c>
      <c r="K62" s="66" t="s">
        <v>86</v>
      </c>
      <c r="L62" s="61" t="s">
        <v>173</v>
      </c>
      <c r="M62" s="61"/>
      <c r="N62" s="61"/>
      <c r="O62" s="66" t="s">
        <v>2859</v>
      </c>
      <c r="P62" s="66" t="s">
        <v>2673</v>
      </c>
      <c r="Q62" s="65">
        <v>0.3527777777777778</v>
      </c>
      <c r="R62" s="65">
        <v>0.35555555555555557</v>
      </c>
      <c r="S62" s="65">
        <v>0.3527777777777778</v>
      </c>
      <c r="T62" s="65" t="s">
        <v>2424</v>
      </c>
      <c r="U62" s="65" t="s">
        <v>2424</v>
      </c>
      <c r="V62" s="65" t="s">
        <v>2424</v>
      </c>
      <c r="W62" s="119" t="s">
        <v>2424</v>
      </c>
      <c r="X62" s="124" t="s">
        <v>2860</v>
      </c>
      <c r="Y62" s="122">
        <v>0</v>
      </c>
      <c r="Z62" s="67">
        <v>0</v>
      </c>
      <c r="AA62" s="67">
        <v>0</v>
      </c>
      <c r="AB62" s="108" t="s">
        <v>2674</v>
      </c>
      <c r="AC62" s="108" t="s">
        <v>2637</v>
      </c>
      <c r="AD62" s="66" t="s">
        <v>2690</v>
      </c>
      <c r="AE62" s="66"/>
      <c r="AF62" s="66"/>
      <c r="AG62" s="68" t="s">
        <v>45</v>
      </c>
      <c r="AH62" s="66"/>
      <c r="AI62" s="66"/>
      <c r="AJ62" s="66"/>
      <c r="AK62" s="66"/>
      <c r="AL62" s="49">
        <f>VLOOKUP(G62,VALIDACIONES!P:Q,2,0)</f>
        <v>13798</v>
      </c>
      <c r="AM62" s="55" t="str">
        <f t="shared" si="5"/>
        <v>NADA</v>
      </c>
      <c r="AN62" s="99" t="str">
        <f t="shared" si="6"/>
        <v>NO</v>
      </c>
    </row>
    <row r="63" spans="1:40" s="55" customFormat="1">
      <c r="A63" s="141">
        <v>46185</v>
      </c>
      <c r="B63" s="139" t="str">
        <f t="shared" si="3"/>
        <v>06 A 18</v>
      </c>
      <c r="C63" s="62" t="str">
        <f t="shared" si="4"/>
        <v>08:00 a 10:00</v>
      </c>
      <c r="D63" s="62" t="s">
        <v>243</v>
      </c>
      <c r="E63" s="61">
        <v>2</v>
      </c>
      <c r="F63" s="66" t="s">
        <v>2709</v>
      </c>
      <c r="G63" s="66" t="s">
        <v>1841</v>
      </c>
      <c r="H63" s="114">
        <v>365669</v>
      </c>
      <c r="I63" s="138">
        <v>48377429</v>
      </c>
      <c r="J63" s="66" t="s">
        <v>2627</v>
      </c>
      <c r="K63" s="66" t="s">
        <v>145</v>
      </c>
      <c r="L63" s="61"/>
      <c r="M63" s="61"/>
      <c r="N63" s="61"/>
      <c r="O63" s="66" t="s">
        <v>2725</v>
      </c>
      <c r="P63" s="66" t="s">
        <v>2639</v>
      </c>
      <c r="Q63" s="65">
        <v>0.37847222222222221</v>
      </c>
      <c r="R63" s="65">
        <v>0.43194444444444446</v>
      </c>
      <c r="S63" s="65">
        <v>0.38194444444444442</v>
      </c>
      <c r="T63" s="65" t="s">
        <v>2424</v>
      </c>
      <c r="U63" s="65" t="s">
        <v>2424</v>
      </c>
      <c r="V63" s="65" t="s">
        <v>2424</v>
      </c>
      <c r="W63" s="119" t="s">
        <v>2424</v>
      </c>
      <c r="X63" s="124" t="s">
        <v>2861</v>
      </c>
      <c r="Y63" s="122">
        <v>0</v>
      </c>
      <c r="Z63" s="67">
        <v>0</v>
      </c>
      <c r="AA63" s="67">
        <v>0</v>
      </c>
      <c r="AB63" s="108" t="s">
        <v>2640</v>
      </c>
      <c r="AC63" s="108" t="s">
        <v>2637</v>
      </c>
      <c r="AD63" s="66" t="s">
        <v>2645</v>
      </c>
      <c r="AE63" s="66"/>
      <c r="AF63" s="66"/>
      <c r="AG63" s="68" t="s">
        <v>45</v>
      </c>
      <c r="AH63" s="66"/>
      <c r="AI63" s="66"/>
      <c r="AJ63" s="66"/>
      <c r="AK63" s="66"/>
      <c r="AL63" s="49">
        <f>VLOOKUP(G63,VALIDACIONES!P:Q,2,0)</f>
        <v>33106</v>
      </c>
      <c r="AM63" s="55" t="str">
        <f t="shared" si="5"/>
        <v>NADA</v>
      </c>
      <c r="AN63" s="99" t="str">
        <f t="shared" si="6"/>
        <v>NO</v>
      </c>
    </row>
    <row r="64" spans="1:40" s="55" customFormat="1">
      <c r="A64" s="141">
        <v>46185</v>
      </c>
      <c r="B64" s="139" t="str">
        <f t="shared" si="3"/>
        <v>06 A 18</v>
      </c>
      <c r="C64" s="62" t="str">
        <f t="shared" si="4"/>
        <v>08:00 a 10:00</v>
      </c>
      <c r="D64" s="62" t="s">
        <v>243</v>
      </c>
      <c r="E64" s="61">
        <v>2</v>
      </c>
      <c r="F64" s="66" t="s">
        <v>2707</v>
      </c>
      <c r="G64" s="66" t="s">
        <v>540</v>
      </c>
      <c r="H64" s="115">
        <v>365511</v>
      </c>
      <c r="I64" s="136">
        <v>48377192</v>
      </c>
      <c r="J64" s="70" t="s">
        <v>2628</v>
      </c>
      <c r="K64" s="66" t="s">
        <v>86</v>
      </c>
      <c r="L64" s="61" t="s">
        <v>136</v>
      </c>
      <c r="M64" s="61"/>
      <c r="N64" s="61"/>
      <c r="O64" s="70" t="s">
        <v>2862</v>
      </c>
      <c r="P64" s="70" t="s">
        <v>2648</v>
      </c>
      <c r="Q64" s="65">
        <v>0.37569444444444444</v>
      </c>
      <c r="R64" s="65">
        <v>0.38124999999999998</v>
      </c>
      <c r="S64" s="65">
        <v>0.37569444444444444</v>
      </c>
      <c r="T64" s="65" t="s">
        <v>2424</v>
      </c>
      <c r="U64" s="65" t="s">
        <v>2424</v>
      </c>
      <c r="V64" s="65" t="s">
        <v>2424</v>
      </c>
      <c r="W64" s="119" t="s">
        <v>2424</v>
      </c>
      <c r="X64" s="124" t="s">
        <v>2863</v>
      </c>
      <c r="Y64" s="123">
        <v>0</v>
      </c>
      <c r="Z64" s="71">
        <v>0</v>
      </c>
      <c r="AA64" s="71">
        <v>0</v>
      </c>
      <c r="AB64" s="110" t="s">
        <v>2649</v>
      </c>
      <c r="AC64" s="110" t="s">
        <v>2637</v>
      </c>
      <c r="AD64" s="70" t="s">
        <v>2638</v>
      </c>
      <c r="AE64" s="70"/>
      <c r="AF64" s="70"/>
      <c r="AG64" s="68" t="s">
        <v>45</v>
      </c>
      <c r="AH64" s="66"/>
      <c r="AI64" s="66"/>
      <c r="AJ64" s="66"/>
      <c r="AK64" s="61"/>
      <c r="AL64" s="49">
        <f>VLOOKUP(G64,VALIDACIONES!P:Q,2,0)</f>
        <v>41248020</v>
      </c>
      <c r="AM64" s="55" t="str">
        <f t="shared" si="5"/>
        <v>NADA</v>
      </c>
      <c r="AN64" s="99" t="str">
        <f t="shared" si="6"/>
        <v>NO</v>
      </c>
    </row>
    <row r="65" spans="1:40" s="55" customFormat="1">
      <c r="A65" s="141">
        <v>46185</v>
      </c>
      <c r="B65" s="139" t="str">
        <f t="shared" si="3"/>
        <v>06 A 18</v>
      </c>
      <c r="C65" s="62" t="str">
        <f t="shared" si="4"/>
        <v>06:00 a 08:00</v>
      </c>
      <c r="D65" s="62" t="s">
        <v>243</v>
      </c>
      <c r="E65" s="61">
        <v>2</v>
      </c>
      <c r="F65" s="66" t="s">
        <v>2709</v>
      </c>
      <c r="G65" s="66" t="s">
        <v>2602</v>
      </c>
      <c r="H65" s="115">
        <v>365832</v>
      </c>
      <c r="I65" s="136">
        <v>48376989</v>
      </c>
      <c r="J65" s="70" t="s">
        <v>2627</v>
      </c>
      <c r="K65" s="66" t="s">
        <v>86</v>
      </c>
      <c r="L65" s="61" t="s">
        <v>168</v>
      </c>
      <c r="M65" s="61" t="s">
        <v>157</v>
      </c>
      <c r="N65" s="61"/>
      <c r="O65" s="70" t="s">
        <v>2864</v>
      </c>
      <c r="P65" s="70" t="s">
        <v>2639</v>
      </c>
      <c r="Q65" s="65">
        <v>0.30972222222222223</v>
      </c>
      <c r="R65" s="65">
        <v>0.31527777777777777</v>
      </c>
      <c r="S65" s="65" t="s">
        <v>2424</v>
      </c>
      <c r="T65" s="65" t="s">
        <v>2424</v>
      </c>
      <c r="U65" s="65" t="s">
        <v>2424</v>
      </c>
      <c r="V65" s="65" t="s">
        <v>2424</v>
      </c>
      <c r="W65" s="119" t="s">
        <v>2424</v>
      </c>
      <c r="X65" s="124" t="s">
        <v>2865</v>
      </c>
      <c r="Y65" s="123">
        <v>0</v>
      </c>
      <c r="Z65" s="71">
        <v>1</v>
      </c>
      <c r="AA65" s="71">
        <v>0</v>
      </c>
      <c r="AB65" s="110" t="s">
        <v>2640</v>
      </c>
      <c r="AC65" s="110" t="s">
        <v>2637</v>
      </c>
      <c r="AD65" s="70" t="s">
        <v>2638</v>
      </c>
      <c r="AE65" s="70"/>
      <c r="AF65" s="70" t="s">
        <v>2670</v>
      </c>
      <c r="AG65" s="68" t="s">
        <v>62</v>
      </c>
      <c r="AH65" s="127" t="s">
        <v>3153</v>
      </c>
      <c r="AI65" s="66"/>
      <c r="AJ65" s="66"/>
      <c r="AK65" s="66"/>
      <c r="AL65" s="49">
        <f>VLOOKUP(G65,VALIDACIONES!P:Q,2,0)</f>
        <v>40097155</v>
      </c>
      <c r="AM65" s="55" t="str">
        <f t="shared" si="5"/>
        <v>IMPUTADO</v>
      </c>
      <c r="AN65" s="99" t="str">
        <f t="shared" si="6"/>
        <v>NO</v>
      </c>
    </row>
    <row r="66" spans="1:40" s="55" customFormat="1">
      <c r="A66" s="141">
        <v>46185</v>
      </c>
      <c r="B66" s="139" t="str">
        <f t="shared" si="3"/>
        <v>06 A 18</v>
      </c>
      <c r="C66" s="62" t="str">
        <f t="shared" si="4"/>
        <v>08:00 a 10:00</v>
      </c>
      <c r="D66" s="62" t="s">
        <v>243</v>
      </c>
      <c r="E66" s="61">
        <v>2</v>
      </c>
      <c r="F66" s="66" t="s">
        <v>2709</v>
      </c>
      <c r="G66" s="66" t="s">
        <v>2602</v>
      </c>
      <c r="H66" s="114">
        <v>365844</v>
      </c>
      <c r="I66" s="138">
        <v>48377585</v>
      </c>
      <c r="J66" s="66" t="s">
        <v>2627</v>
      </c>
      <c r="K66" s="66" t="s">
        <v>86</v>
      </c>
      <c r="L66" s="61" t="s">
        <v>125</v>
      </c>
      <c r="M66" s="61"/>
      <c r="N66" s="61"/>
      <c r="O66" s="66" t="s">
        <v>2866</v>
      </c>
      <c r="P66" s="66" t="s">
        <v>2639</v>
      </c>
      <c r="Q66" s="65">
        <v>0.4</v>
      </c>
      <c r="R66" s="65">
        <v>0.40486111111111112</v>
      </c>
      <c r="S66" s="65">
        <v>0.4</v>
      </c>
      <c r="T66" s="65" t="s">
        <v>2424</v>
      </c>
      <c r="U66" s="65" t="s">
        <v>2424</v>
      </c>
      <c r="V66" s="65" t="s">
        <v>2424</v>
      </c>
      <c r="W66" s="119" t="s">
        <v>2424</v>
      </c>
      <c r="X66" s="124" t="s">
        <v>2867</v>
      </c>
      <c r="Y66" s="122">
        <v>0</v>
      </c>
      <c r="Z66" s="67">
        <v>0</v>
      </c>
      <c r="AA66" s="67">
        <v>0</v>
      </c>
      <c r="AB66" s="108" t="s">
        <v>2640</v>
      </c>
      <c r="AC66" s="108" t="s">
        <v>2637</v>
      </c>
      <c r="AD66" s="66" t="s">
        <v>2645</v>
      </c>
      <c r="AE66" s="66"/>
      <c r="AF66" s="66"/>
      <c r="AG66" s="68" t="s">
        <v>45</v>
      </c>
      <c r="AH66" s="66"/>
      <c r="AI66" s="66"/>
      <c r="AJ66" s="66"/>
      <c r="AK66" s="66"/>
      <c r="AL66" s="49">
        <f>VLOOKUP(G66,VALIDACIONES!P:Q,2,0)</f>
        <v>40097155</v>
      </c>
      <c r="AM66" s="55" t="str">
        <f t="shared" si="5"/>
        <v>NADA</v>
      </c>
      <c r="AN66" s="99" t="str">
        <f t="shared" si="6"/>
        <v>NO</v>
      </c>
    </row>
    <row r="67" spans="1:40" s="55" customFormat="1">
      <c r="A67" s="141">
        <v>46185</v>
      </c>
      <c r="B67" s="139" t="str">
        <f t="shared" ref="B67:B130" si="7">IF(AND(VALUE(Q67)&gt;=VALUE("06:00"),VALUE(Q67)&lt;=VALUE("17:59")),"06 A 18","18 A 06")</f>
        <v>06 A 18</v>
      </c>
      <c r="C67" s="62" t="str">
        <f t="shared" ref="C67:C130" si="8">IF(AND(VALUE(Q67)&gt;=VALUE("00:00"),VALUE(Q67)&lt;=VALUE("01:59")),"00:00 a 02:00",IF(AND(VALUE(Q67)&gt;=VALUE("02:00"),VALUE(Q67)&lt;=VALUE("03:59")),"02:00 a 04:00",IF(AND(VALUE(Q67)&gt;=VALUE("04:00"),VALUE(Q67)&lt;=VALUE("05:59")),"04:00 a 06:00",IF(AND(VALUE(Q67)&gt;=VALUE("06:00"),VALUE(Q67)&lt;=VALUE("07:59")),"06:00 a 08:00",IF(AND(VALUE(Q67)&gt;=VALUE("08:00"),VALUE(Q67)&lt;=VALUE("09:59")),"08:00 a 10:00",IF(AND(VALUE(Q67)&gt;=VALUE("10:00"),VALUE(Q67)&lt;=VALUE("11:59")),"10:00 a 12:00",IF(AND(VALUE(Q67)&gt;=VALUE("12:00"),VALUE(Q67)&lt;=VALUE("13:59")),"12:00 a 14:00",IF(AND(VALUE(Q67)&gt;=VALUE("14:00"),VALUE(Q67)&lt;=VALUE("15:59")),"14:00 a 16:00",IF(AND(VALUE(Q67)&gt;=VALUE("16:00"),VALUE(Q67)&lt;=VALUE("17:59")),"16:00 a 18:00",IF(AND(VALUE(Q67)&gt;=VALUE("18:00"),VALUE(Q67)&lt;=VALUE("19:59")),"18:00 a 20:00",IF(AND(VALUE(Q67)&gt;=VALUE("20:00"),VALUE(Q67)&lt;=VALUE("21:59")),"20:00 a 22:00",IF(AND(VALUE(Q67)&gt;=VALUE("22:00"),VALUE(Q67)&lt;=VALUE("23:59")),"22:00 a 00:00","no corresponde"))))))))))))</f>
        <v>08:00 a 10:00</v>
      </c>
      <c r="D67" s="62" t="s">
        <v>243</v>
      </c>
      <c r="E67" s="61">
        <v>2</v>
      </c>
      <c r="F67" s="66" t="s">
        <v>2734</v>
      </c>
      <c r="G67" s="66" t="s">
        <v>700</v>
      </c>
      <c r="H67" s="115">
        <v>365972</v>
      </c>
      <c r="I67" s="136">
        <v>48377559</v>
      </c>
      <c r="J67" s="70" t="s">
        <v>2627</v>
      </c>
      <c r="K67" s="66" t="s">
        <v>2407</v>
      </c>
      <c r="L67" s="61"/>
      <c r="M67" s="61"/>
      <c r="N67" s="61"/>
      <c r="O67" s="70" t="s">
        <v>2868</v>
      </c>
      <c r="P67" s="70" t="s">
        <v>2717</v>
      </c>
      <c r="Q67" s="65">
        <v>0.39652777777777776</v>
      </c>
      <c r="R67" s="65">
        <v>0.40972222222222221</v>
      </c>
      <c r="S67" s="65">
        <v>0.40416666666666667</v>
      </c>
      <c r="T67" s="65" t="s">
        <v>2424</v>
      </c>
      <c r="U67" s="65" t="s">
        <v>2424</v>
      </c>
      <c r="V67" s="65" t="s">
        <v>2424</v>
      </c>
      <c r="W67" s="119" t="s">
        <v>2424</v>
      </c>
      <c r="X67" s="124" t="s">
        <v>2869</v>
      </c>
      <c r="Y67" s="123">
        <v>0</v>
      </c>
      <c r="Z67" s="71">
        <v>0</v>
      </c>
      <c r="AA67" s="71">
        <v>0</v>
      </c>
      <c r="AB67" s="110" t="s">
        <v>2657</v>
      </c>
      <c r="AC67" s="110" t="s">
        <v>2637</v>
      </c>
      <c r="AD67" s="70" t="s">
        <v>2645</v>
      </c>
      <c r="AE67" s="70"/>
      <c r="AF67" s="70"/>
      <c r="AG67" s="68" t="s">
        <v>45</v>
      </c>
      <c r="AH67" s="66"/>
      <c r="AI67" s="66"/>
      <c r="AJ67" s="66"/>
      <c r="AK67" s="66"/>
      <c r="AL67" s="49">
        <f>VLOOKUP(G67,VALIDACIONES!P:Q,2,0)</f>
        <v>20384196</v>
      </c>
      <c r="AM67" s="55" t="str">
        <f t="shared" ref="AM67:AM130" si="9">IF(OR(Z67&gt;0,Y67&gt;0),"IMPUTADO","NADA")</f>
        <v>NADA</v>
      </c>
      <c r="AN67" s="99" t="str">
        <f t="shared" ref="AN67:AN130" si="10">IF(AND(AM67="IMPUTADO",ISBLANK(M67)),"FALTO","NO")</f>
        <v>NO</v>
      </c>
    </row>
    <row r="68" spans="1:40" s="55" customFormat="1">
      <c r="A68" s="141">
        <v>46185</v>
      </c>
      <c r="B68" s="139" t="str">
        <f t="shared" si="7"/>
        <v>06 A 18</v>
      </c>
      <c r="C68" s="62" t="str">
        <f t="shared" si="8"/>
        <v>08:00 a 10:00</v>
      </c>
      <c r="D68" s="62" t="s">
        <v>243</v>
      </c>
      <c r="E68" s="61">
        <v>2</v>
      </c>
      <c r="F68" s="66" t="s">
        <v>215</v>
      </c>
      <c r="G68" s="66" t="s">
        <v>2449</v>
      </c>
      <c r="H68" s="115">
        <v>366190</v>
      </c>
      <c r="I68" s="136">
        <v>48377548</v>
      </c>
      <c r="J68" s="70" t="s">
        <v>2629</v>
      </c>
      <c r="K68" s="66" t="s">
        <v>86</v>
      </c>
      <c r="L68" s="61" t="s">
        <v>76</v>
      </c>
      <c r="M68" s="61" t="s">
        <v>130</v>
      </c>
      <c r="N68" s="61"/>
      <c r="O68" s="70" t="s">
        <v>2870</v>
      </c>
      <c r="P68" s="70" t="s">
        <v>2664</v>
      </c>
      <c r="Q68" s="65">
        <v>0.40277777777777779</v>
      </c>
      <c r="R68" s="65"/>
      <c r="S68" s="65">
        <v>0.41249999999999998</v>
      </c>
      <c r="T68" s="65">
        <v>0.41111111111111109</v>
      </c>
      <c r="U68" s="65" t="s">
        <v>2424</v>
      </c>
      <c r="V68" s="65" t="s">
        <v>2424</v>
      </c>
      <c r="W68" s="119" t="s">
        <v>2424</v>
      </c>
      <c r="X68" s="124" t="s">
        <v>2871</v>
      </c>
      <c r="Y68" s="123">
        <v>0</v>
      </c>
      <c r="Z68" s="71">
        <v>1</v>
      </c>
      <c r="AA68" s="71">
        <v>0</v>
      </c>
      <c r="AB68" s="110" t="s">
        <v>2692</v>
      </c>
      <c r="AC68" s="110" t="s">
        <v>2637</v>
      </c>
      <c r="AD68" s="70" t="s">
        <v>2638</v>
      </c>
      <c r="AE68" s="70"/>
      <c r="AF68" s="70" t="s">
        <v>2681</v>
      </c>
      <c r="AG68" s="68" t="s">
        <v>62</v>
      </c>
      <c r="AH68" s="66"/>
      <c r="AI68" s="66"/>
      <c r="AJ68" s="66"/>
      <c r="AK68" s="66"/>
      <c r="AL68" s="49">
        <f>VLOOKUP(G68,VALIDACIONES!P:Q,2,0)</f>
        <v>47344153</v>
      </c>
      <c r="AM68" s="55" t="str">
        <f t="shared" si="9"/>
        <v>IMPUTADO</v>
      </c>
      <c r="AN68" s="99" t="str">
        <f t="shared" si="10"/>
        <v>NO</v>
      </c>
    </row>
    <row r="69" spans="1:40" s="55" customFormat="1">
      <c r="A69" s="141">
        <v>46185</v>
      </c>
      <c r="B69" s="139" t="str">
        <f t="shared" si="7"/>
        <v>06 A 18</v>
      </c>
      <c r="C69" s="62" t="str">
        <f t="shared" si="8"/>
        <v>08:00 a 10:00</v>
      </c>
      <c r="D69" s="62" t="s">
        <v>243</v>
      </c>
      <c r="E69" s="61">
        <v>2</v>
      </c>
      <c r="F69" s="66" t="s">
        <v>163</v>
      </c>
      <c r="G69" s="66" t="s">
        <v>1841</v>
      </c>
      <c r="H69" s="115">
        <v>366176</v>
      </c>
      <c r="I69" s="136">
        <v>48377672</v>
      </c>
      <c r="J69" s="70" t="s">
        <v>2627</v>
      </c>
      <c r="K69" s="66" t="s">
        <v>173</v>
      </c>
      <c r="L69" s="61"/>
      <c r="M69" s="61" t="s">
        <v>173</v>
      </c>
      <c r="N69" s="61" t="s">
        <v>2414</v>
      </c>
      <c r="O69" s="70" t="s">
        <v>2872</v>
      </c>
      <c r="P69" s="70" t="s">
        <v>2639</v>
      </c>
      <c r="Q69" s="65">
        <v>0.41249999999999998</v>
      </c>
      <c r="R69" s="65">
        <v>0.5395833333333333</v>
      </c>
      <c r="S69" s="65">
        <v>0.41249999999999998</v>
      </c>
      <c r="T69" s="65" t="s">
        <v>2424</v>
      </c>
      <c r="U69" s="65" t="s">
        <v>2424</v>
      </c>
      <c r="V69" s="65" t="s">
        <v>2424</v>
      </c>
      <c r="W69" s="119" t="s">
        <v>2424</v>
      </c>
      <c r="X69" s="124" t="s">
        <v>2873</v>
      </c>
      <c r="Y69" s="123">
        <v>0</v>
      </c>
      <c r="Z69" s="71">
        <v>1</v>
      </c>
      <c r="AA69" s="71">
        <v>0</v>
      </c>
      <c r="AB69" s="110" t="s">
        <v>2640</v>
      </c>
      <c r="AC69" s="110" t="s">
        <v>2637</v>
      </c>
      <c r="AD69" s="70" t="s">
        <v>2645</v>
      </c>
      <c r="AE69" s="70"/>
      <c r="AF69" s="70" t="s">
        <v>2714</v>
      </c>
      <c r="AG69" s="68" t="s">
        <v>54</v>
      </c>
      <c r="AH69" s="66"/>
      <c r="AI69" s="66"/>
      <c r="AJ69" s="66"/>
      <c r="AK69" s="133" t="s">
        <v>3159</v>
      </c>
      <c r="AL69" s="49">
        <f>VLOOKUP(G69,VALIDACIONES!P:Q,2,0)</f>
        <v>33106</v>
      </c>
      <c r="AM69" s="55" t="str">
        <f t="shared" si="9"/>
        <v>IMPUTADO</v>
      </c>
      <c r="AN69" s="99" t="str">
        <f t="shared" si="10"/>
        <v>NO</v>
      </c>
    </row>
    <row r="70" spans="1:40" s="55" customFormat="1">
      <c r="A70" s="141">
        <v>46185</v>
      </c>
      <c r="B70" s="139" t="str">
        <f t="shared" si="7"/>
        <v>06 A 18</v>
      </c>
      <c r="C70" s="62" t="str">
        <f t="shared" si="8"/>
        <v>08:00 a 10:00</v>
      </c>
      <c r="D70" s="62" t="s">
        <v>243</v>
      </c>
      <c r="E70" s="61">
        <v>2</v>
      </c>
      <c r="F70" s="66" t="s">
        <v>2734</v>
      </c>
      <c r="G70" s="66" t="s">
        <v>415</v>
      </c>
      <c r="H70" s="115">
        <v>366218</v>
      </c>
      <c r="I70" s="136">
        <v>48377538</v>
      </c>
      <c r="J70" s="70" t="s">
        <v>2627</v>
      </c>
      <c r="K70" s="66" t="s">
        <v>2407</v>
      </c>
      <c r="L70" s="61"/>
      <c r="M70" s="61"/>
      <c r="N70" s="61"/>
      <c r="O70" s="70" t="s">
        <v>2874</v>
      </c>
      <c r="P70" s="70" t="s">
        <v>2677</v>
      </c>
      <c r="Q70" s="65">
        <v>0.3923611111111111</v>
      </c>
      <c r="R70" s="65">
        <v>0.39305555555555555</v>
      </c>
      <c r="S70" s="65" t="s">
        <v>2424</v>
      </c>
      <c r="T70" s="65" t="s">
        <v>2424</v>
      </c>
      <c r="U70" s="65" t="s">
        <v>2424</v>
      </c>
      <c r="V70" s="65" t="s">
        <v>2424</v>
      </c>
      <c r="W70" s="119" t="s">
        <v>2424</v>
      </c>
      <c r="X70" s="124" t="s">
        <v>2875</v>
      </c>
      <c r="Y70" s="123">
        <v>0</v>
      </c>
      <c r="Z70" s="71">
        <v>0</v>
      </c>
      <c r="AA70" s="71">
        <v>0</v>
      </c>
      <c r="AB70" s="110" t="s">
        <v>2640</v>
      </c>
      <c r="AC70" s="110" t="s">
        <v>2637</v>
      </c>
      <c r="AD70" s="70" t="s">
        <v>2645</v>
      </c>
      <c r="AE70" s="70"/>
      <c r="AF70" s="70"/>
      <c r="AG70" s="68" t="s">
        <v>45</v>
      </c>
      <c r="AH70" s="66"/>
      <c r="AI70" s="66"/>
      <c r="AJ70" s="66"/>
      <c r="AK70" s="66"/>
      <c r="AL70" s="49">
        <f>VLOOKUP(G70,VALIDACIONES!P:Q,2,0)</f>
        <v>21474952</v>
      </c>
      <c r="AM70" s="55" t="str">
        <f t="shared" si="9"/>
        <v>NADA</v>
      </c>
      <c r="AN70" s="99" t="str">
        <f t="shared" si="10"/>
        <v>NO</v>
      </c>
    </row>
    <row r="71" spans="1:40" s="55" customFormat="1">
      <c r="A71" s="141">
        <v>46185</v>
      </c>
      <c r="B71" s="139" t="str">
        <f t="shared" si="7"/>
        <v>06 A 18</v>
      </c>
      <c r="C71" s="62" t="str">
        <f t="shared" si="8"/>
        <v>08:00 a 10:00</v>
      </c>
      <c r="D71" s="62" t="s">
        <v>243</v>
      </c>
      <c r="E71" s="61">
        <v>2</v>
      </c>
      <c r="F71" s="66" t="s">
        <v>163</v>
      </c>
      <c r="G71" s="66" t="s">
        <v>1987</v>
      </c>
      <c r="H71" s="115">
        <v>365937</v>
      </c>
      <c r="I71" s="136">
        <v>48377533</v>
      </c>
      <c r="J71" s="70" t="s">
        <v>2627</v>
      </c>
      <c r="K71" s="66" t="s">
        <v>194</v>
      </c>
      <c r="L71" s="61"/>
      <c r="M71" s="61"/>
      <c r="N71" s="61"/>
      <c r="O71" s="70" t="s">
        <v>2876</v>
      </c>
      <c r="P71" s="70" t="s">
        <v>2652</v>
      </c>
      <c r="Q71" s="65">
        <v>0.39861111111111114</v>
      </c>
      <c r="R71" s="65">
        <v>0.42569444444444443</v>
      </c>
      <c r="S71" s="65">
        <v>0.40138888888888891</v>
      </c>
      <c r="T71" s="65" t="s">
        <v>2424</v>
      </c>
      <c r="U71" s="65" t="s">
        <v>2424</v>
      </c>
      <c r="V71" s="65" t="s">
        <v>2424</v>
      </c>
      <c r="W71" s="119" t="s">
        <v>2424</v>
      </c>
      <c r="X71" s="124" t="s">
        <v>2877</v>
      </c>
      <c r="Y71" s="123">
        <v>0</v>
      </c>
      <c r="Z71" s="71">
        <v>0</v>
      </c>
      <c r="AA71" s="71">
        <v>0</v>
      </c>
      <c r="AB71" s="110" t="s">
        <v>2660</v>
      </c>
      <c r="AC71" s="110" t="s">
        <v>2637</v>
      </c>
      <c r="AD71" s="70" t="s">
        <v>2645</v>
      </c>
      <c r="AE71" s="70"/>
      <c r="AF71" s="70"/>
      <c r="AG71" s="68" t="s">
        <v>45</v>
      </c>
      <c r="AH71" s="66"/>
      <c r="AI71" s="66"/>
      <c r="AJ71" s="66"/>
      <c r="AK71" s="66"/>
      <c r="AL71" s="49">
        <f>VLOOKUP(G71,VALIDACIONES!P:Q,2,0)</f>
        <v>47257254</v>
      </c>
      <c r="AM71" s="55" t="str">
        <f t="shared" si="9"/>
        <v>NADA</v>
      </c>
      <c r="AN71" s="99" t="str">
        <f t="shared" si="10"/>
        <v>NO</v>
      </c>
    </row>
    <row r="72" spans="1:40" s="55" customFormat="1">
      <c r="A72" s="141">
        <v>46185</v>
      </c>
      <c r="B72" s="139" t="str">
        <f t="shared" si="7"/>
        <v>06 A 18</v>
      </c>
      <c r="C72" s="62" t="str">
        <f t="shared" si="8"/>
        <v>08:00 a 10:00</v>
      </c>
      <c r="D72" s="62" t="s">
        <v>243</v>
      </c>
      <c r="E72" s="61">
        <v>2</v>
      </c>
      <c r="F72" s="66" t="s">
        <v>163</v>
      </c>
      <c r="G72" s="66" t="s">
        <v>1408</v>
      </c>
      <c r="H72" s="115">
        <v>365850</v>
      </c>
      <c r="I72" s="136">
        <v>48377591</v>
      </c>
      <c r="J72" s="70" t="s">
        <v>2627</v>
      </c>
      <c r="K72" s="66" t="s">
        <v>19</v>
      </c>
      <c r="L72" s="61"/>
      <c r="M72" s="61"/>
      <c r="N72" s="61"/>
      <c r="O72" s="70" t="s">
        <v>2878</v>
      </c>
      <c r="P72" s="70" t="s">
        <v>2655</v>
      </c>
      <c r="Q72" s="65">
        <v>0.40694444444444444</v>
      </c>
      <c r="R72" s="65">
        <v>0.40972222222222221</v>
      </c>
      <c r="S72" s="65">
        <v>0.40902777777777777</v>
      </c>
      <c r="T72" s="65" t="s">
        <v>2424</v>
      </c>
      <c r="U72" s="65" t="s">
        <v>2424</v>
      </c>
      <c r="V72" s="65" t="s">
        <v>2424</v>
      </c>
      <c r="W72" s="119" t="s">
        <v>2424</v>
      </c>
      <c r="X72" s="124" t="s">
        <v>2879</v>
      </c>
      <c r="Y72" s="123">
        <v>0</v>
      </c>
      <c r="Z72" s="71">
        <v>0</v>
      </c>
      <c r="AA72" s="71">
        <v>0</v>
      </c>
      <c r="AB72" s="110" t="s">
        <v>2656</v>
      </c>
      <c r="AC72" s="110" t="s">
        <v>2637</v>
      </c>
      <c r="AD72" s="70" t="s">
        <v>2638</v>
      </c>
      <c r="AE72" s="70"/>
      <c r="AF72" s="70"/>
      <c r="AG72" s="68" t="s">
        <v>45</v>
      </c>
      <c r="AH72" s="66"/>
      <c r="AI72" s="66"/>
      <c r="AJ72" s="66"/>
      <c r="AK72" s="66"/>
      <c r="AL72" s="49">
        <f>VLOOKUP(G72,VALIDACIONES!P:Q,2,0)</f>
        <v>43319446</v>
      </c>
      <c r="AM72" s="55" t="str">
        <f t="shared" si="9"/>
        <v>NADA</v>
      </c>
      <c r="AN72" s="99" t="str">
        <f t="shared" si="10"/>
        <v>NO</v>
      </c>
    </row>
    <row r="73" spans="1:40" s="55" customFormat="1">
      <c r="A73" s="141">
        <v>46185</v>
      </c>
      <c r="B73" s="139" t="str">
        <f t="shared" si="7"/>
        <v>06 A 18</v>
      </c>
      <c r="C73" s="62" t="str">
        <f t="shared" si="8"/>
        <v>08:00 a 10:00</v>
      </c>
      <c r="D73" s="62" t="s">
        <v>243</v>
      </c>
      <c r="E73" s="61">
        <v>2</v>
      </c>
      <c r="F73" s="66" t="s">
        <v>163</v>
      </c>
      <c r="G73" s="66" t="s">
        <v>495</v>
      </c>
      <c r="H73" s="114">
        <v>365703</v>
      </c>
      <c r="I73" s="138">
        <v>48377445</v>
      </c>
      <c r="J73" s="66" t="s">
        <v>2627</v>
      </c>
      <c r="K73" s="66" t="s">
        <v>173</v>
      </c>
      <c r="L73" s="61"/>
      <c r="M73" s="61"/>
      <c r="N73" s="61" t="s">
        <v>2413</v>
      </c>
      <c r="O73" s="66" t="s">
        <v>2880</v>
      </c>
      <c r="P73" s="66" t="s">
        <v>2655</v>
      </c>
      <c r="Q73" s="65">
        <v>0.38750000000000001</v>
      </c>
      <c r="R73" s="65">
        <v>0.39583333333333331</v>
      </c>
      <c r="S73" s="65" t="s">
        <v>2424</v>
      </c>
      <c r="T73" s="65" t="s">
        <v>2424</v>
      </c>
      <c r="U73" s="65" t="s">
        <v>2424</v>
      </c>
      <c r="V73" s="65" t="s">
        <v>2424</v>
      </c>
      <c r="W73" s="119" t="s">
        <v>2424</v>
      </c>
      <c r="X73" s="124" t="s">
        <v>2881</v>
      </c>
      <c r="Y73" s="122">
        <v>0</v>
      </c>
      <c r="Z73" s="67">
        <v>0</v>
      </c>
      <c r="AA73" s="67">
        <v>0</v>
      </c>
      <c r="AB73" s="108" t="s">
        <v>2672</v>
      </c>
      <c r="AC73" s="108" t="s">
        <v>2637</v>
      </c>
      <c r="AD73" s="66" t="s">
        <v>2638</v>
      </c>
      <c r="AE73" s="66"/>
      <c r="AF73" s="66"/>
      <c r="AG73" s="68" t="s">
        <v>45</v>
      </c>
      <c r="AH73" s="66"/>
      <c r="AI73" s="66"/>
      <c r="AJ73" s="66"/>
      <c r="AK73" s="66"/>
      <c r="AL73" s="49">
        <f>VLOOKUP(G73,VALIDACIONES!P:Q,2,0)</f>
        <v>45077746</v>
      </c>
      <c r="AM73" s="55" t="str">
        <f t="shared" si="9"/>
        <v>NADA</v>
      </c>
      <c r="AN73" s="99" t="str">
        <f t="shared" si="10"/>
        <v>NO</v>
      </c>
    </row>
    <row r="74" spans="1:40" s="55" customFormat="1">
      <c r="A74" s="141">
        <v>46185</v>
      </c>
      <c r="B74" s="139" t="str">
        <f t="shared" si="7"/>
        <v>06 A 18</v>
      </c>
      <c r="C74" s="62" t="str">
        <f t="shared" si="8"/>
        <v>08:00 a 10:00</v>
      </c>
      <c r="D74" s="62" t="s">
        <v>2710</v>
      </c>
      <c r="E74" s="61">
        <v>6</v>
      </c>
      <c r="F74" s="66" t="s">
        <v>356</v>
      </c>
      <c r="G74" s="66" t="s">
        <v>1575</v>
      </c>
      <c r="H74" s="114">
        <v>366885</v>
      </c>
      <c r="I74" s="138">
        <v>48377611</v>
      </c>
      <c r="J74" s="66" t="s">
        <v>2627</v>
      </c>
      <c r="K74" s="66" t="s">
        <v>173</v>
      </c>
      <c r="L74" s="61"/>
      <c r="M74" s="61" t="s">
        <v>173</v>
      </c>
      <c r="N74" s="61" t="s">
        <v>2431</v>
      </c>
      <c r="O74" s="66" t="s">
        <v>2882</v>
      </c>
      <c r="P74" s="66" t="s">
        <v>2662</v>
      </c>
      <c r="Q74" s="65">
        <v>0.40347222222222223</v>
      </c>
      <c r="R74" s="65">
        <v>0.40763888888888888</v>
      </c>
      <c r="S74" s="65">
        <v>0.40625</v>
      </c>
      <c r="T74" s="65" t="s">
        <v>2424</v>
      </c>
      <c r="U74" s="65" t="s">
        <v>2424</v>
      </c>
      <c r="V74" s="65" t="s">
        <v>2424</v>
      </c>
      <c r="W74" s="119" t="s">
        <v>2424</v>
      </c>
      <c r="X74" s="124" t="s">
        <v>2883</v>
      </c>
      <c r="Y74" s="122">
        <v>0</v>
      </c>
      <c r="Z74" s="67">
        <v>1</v>
      </c>
      <c r="AA74" s="67">
        <v>0</v>
      </c>
      <c r="AB74" s="108" t="s">
        <v>2663</v>
      </c>
      <c r="AC74" s="108" t="s">
        <v>2637</v>
      </c>
      <c r="AD74" s="66" t="s">
        <v>2645</v>
      </c>
      <c r="AE74" s="66"/>
      <c r="AF74" s="66" t="s">
        <v>2884</v>
      </c>
      <c r="AG74" s="68" t="s">
        <v>54</v>
      </c>
      <c r="AH74" s="66"/>
      <c r="AI74" s="66"/>
      <c r="AJ74" s="66"/>
      <c r="AK74" s="66"/>
      <c r="AL74" s="49">
        <f>VLOOKUP(G74,VALIDACIONES!P:Q,2,0)</f>
        <v>37019337</v>
      </c>
      <c r="AM74" s="55" t="str">
        <f t="shared" si="9"/>
        <v>IMPUTADO</v>
      </c>
      <c r="AN74" s="99" t="str">
        <f t="shared" si="10"/>
        <v>NO</v>
      </c>
    </row>
    <row r="75" spans="1:40" s="55" customFormat="1">
      <c r="A75" s="141">
        <v>46185</v>
      </c>
      <c r="B75" s="139" t="str">
        <f t="shared" si="7"/>
        <v>06 A 18</v>
      </c>
      <c r="C75" s="62" t="str">
        <f t="shared" si="8"/>
        <v>08:00 a 10:00</v>
      </c>
      <c r="D75" s="62" t="s">
        <v>243</v>
      </c>
      <c r="E75" s="61">
        <v>2</v>
      </c>
      <c r="F75" s="66" t="s">
        <v>2707</v>
      </c>
      <c r="G75" s="66" t="s">
        <v>730</v>
      </c>
      <c r="H75" s="114">
        <v>365734</v>
      </c>
      <c r="I75" s="138">
        <v>48377564</v>
      </c>
      <c r="J75" s="66" t="s">
        <v>2628</v>
      </c>
      <c r="K75" s="66" t="s">
        <v>145</v>
      </c>
      <c r="L75" s="61"/>
      <c r="M75" s="61"/>
      <c r="N75" s="61"/>
      <c r="O75" s="66" t="s">
        <v>2885</v>
      </c>
      <c r="P75" s="66" t="s">
        <v>2648</v>
      </c>
      <c r="Q75" s="65">
        <v>0.39444444444444443</v>
      </c>
      <c r="R75" s="65">
        <v>0.4201388888888889</v>
      </c>
      <c r="S75" s="65">
        <v>0.39444444444444443</v>
      </c>
      <c r="T75" s="65" t="s">
        <v>2424</v>
      </c>
      <c r="U75" s="65" t="s">
        <v>2424</v>
      </c>
      <c r="V75" s="65" t="s">
        <v>2424</v>
      </c>
      <c r="W75" s="119" t="s">
        <v>2424</v>
      </c>
      <c r="X75" s="124" t="s">
        <v>2886</v>
      </c>
      <c r="Y75" s="122">
        <v>0</v>
      </c>
      <c r="Z75" s="67">
        <v>0</v>
      </c>
      <c r="AA75" s="67">
        <v>0</v>
      </c>
      <c r="AB75" s="108" t="s">
        <v>2649</v>
      </c>
      <c r="AC75" s="108" t="s">
        <v>2637</v>
      </c>
      <c r="AD75" s="66" t="s">
        <v>2638</v>
      </c>
      <c r="AE75" s="66"/>
      <c r="AF75" s="66"/>
      <c r="AG75" s="68" t="s">
        <v>45</v>
      </c>
      <c r="AH75" s="66"/>
      <c r="AI75" s="66"/>
      <c r="AJ75" s="66"/>
      <c r="AK75" s="66"/>
      <c r="AL75" s="49">
        <f>VLOOKUP(G75,VALIDACIONES!P:Q,2,0)</f>
        <v>28596818</v>
      </c>
      <c r="AM75" s="55" t="str">
        <f t="shared" si="9"/>
        <v>NADA</v>
      </c>
      <c r="AN75" s="99" t="str">
        <f t="shared" si="10"/>
        <v>NO</v>
      </c>
    </row>
    <row r="76" spans="1:40" s="55" customFormat="1">
      <c r="A76" s="141">
        <v>46185</v>
      </c>
      <c r="B76" s="139" t="str">
        <f t="shared" si="7"/>
        <v>06 A 18</v>
      </c>
      <c r="C76" s="62" t="str">
        <f t="shared" si="8"/>
        <v>10:00 a 12:00</v>
      </c>
      <c r="D76" s="62" t="s">
        <v>243</v>
      </c>
      <c r="E76" s="61">
        <v>2</v>
      </c>
      <c r="F76" s="66" t="s">
        <v>163</v>
      </c>
      <c r="G76" s="66" t="s">
        <v>1628</v>
      </c>
      <c r="H76" s="114">
        <v>365870</v>
      </c>
      <c r="I76" s="138">
        <v>48377722</v>
      </c>
      <c r="J76" s="66" t="s">
        <v>2627</v>
      </c>
      <c r="K76" s="66" t="s">
        <v>86</v>
      </c>
      <c r="L76" s="61" t="s">
        <v>55</v>
      </c>
      <c r="M76" s="61" t="s">
        <v>135</v>
      </c>
      <c r="N76" s="61"/>
      <c r="O76" s="66" t="s">
        <v>2887</v>
      </c>
      <c r="P76" s="66" t="s">
        <v>2639</v>
      </c>
      <c r="Q76" s="65">
        <v>0.4236111111111111</v>
      </c>
      <c r="R76" s="65">
        <v>0.4909722222222222</v>
      </c>
      <c r="S76" s="65">
        <v>0.4236111111111111</v>
      </c>
      <c r="T76" s="65" t="s">
        <v>2424</v>
      </c>
      <c r="U76" s="65" t="s">
        <v>2424</v>
      </c>
      <c r="V76" s="65" t="s">
        <v>2424</v>
      </c>
      <c r="W76" s="119" t="s">
        <v>2424</v>
      </c>
      <c r="X76" s="124" t="s">
        <v>2888</v>
      </c>
      <c r="Y76" s="122">
        <v>0</v>
      </c>
      <c r="Z76" s="67">
        <v>1</v>
      </c>
      <c r="AA76" s="67">
        <v>0</v>
      </c>
      <c r="AB76" s="108" t="s">
        <v>2640</v>
      </c>
      <c r="AC76" s="108" t="s">
        <v>2637</v>
      </c>
      <c r="AD76" s="66" t="s">
        <v>2638</v>
      </c>
      <c r="AE76" s="66"/>
      <c r="AF76" s="107" t="s">
        <v>2714</v>
      </c>
      <c r="AG76" s="68" t="s">
        <v>62</v>
      </c>
      <c r="AH76" s="66"/>
      <c r="AI76" s="107"/>
      <c r="AJ76" s="66"/>
      <c r="AK76" s="66"/>
      <c r="AL76" s="49">
        <f>VLOOKUP(G76,VALIDACIONES!P:Q,2,0)</f>
        <v>43998966</v>
      </c>
      <c r="AM76" s="55" t="str">
        <f t="shared" si="9"/>
        <v>IMPUTADO</v>
      </c>
      <c r="AN76" s="99" t="str">
        <f t="shared" si="10"/>
        <v>NO</v>
      </c>
    </row>
    <row r="77" spans="1:40" s="55" customFormat="1">
      <c r="A77" s="141">
        <v>46185</v>
      </c>
      <c r="B77" s="139" t="str">
        <f t="shared" si="7"/>
        <v>06 A 18</v>
      </c>
      <c r="C77" s="62" t="str">
        <f t="shared" si="8"/>
        <v>10:00 a 12:00</v>
      </c>
      <c r="D77" s="62" t="s">
        <v>243</v>
      </c>
      <c r="E77" s="61">
        <v>2</v>
      </c>
      <c r="F77" s="66" t="s">
        <v>163</v>
      </c>
      <c r="G77" s="66" t="s">
        <v>897</v>
      </c>
      <c r="H77" s="114">
        <v>365960</v>
      </c>
      <c r="I77" s="138">
        <v>48377709</v>
      </c>
      <c r="J77" s="66" t="s">
        <v>2627</v>
      </c>
      <c r="K77" s="66" t="s">
        <v>86</v>
      </c>
      <c r="L77" s="61" t="s">
        <v>103</v>
      </c>
      <c r="M77" s="61"/>
      <c r="N77" s="61"/>
      <c r="O77" s="66" t="s">
        <v>2889</v>
      </c>
      <c r="P77" s="66" t="s">
        <v>2662</v>
      </c>
      <c r="Q77" s="65">
        <v>0.42708333333333331</v>
      </c>
      <c r="R77" s="65">
        <v>0.51111111111111107</v>
      </c>
      <c r="S77" s="65">
        <v>0.42708333333333331</v>
      </c>
      <c r="T77" s="65" t="s">
        <v>2424</v>
      </c>
      <c r="U77" s="65">
        <v>0.42708333333333331</v>
      </c>
      <c r="V77" s="65" t="s">
        <v>2424</v>
      </c>
      <c r="W77" s="119" t="s">
        <v>2424</v>
      </c>
      <c r="X77" s="124" t="s">
        <v>2890</v>
      </c>
      <c r="Y77" s="122">
        <v>0</v>
      </c>
      <c r="Z77" s="67">
        <v>0</v>
      </c>
      <c r="AA77" s="67">
        <v>0</v>
      </c>
      <c r="AB77" s="108" t="s">
        <v>2642</v>
      </c>
      <c r="AC77" s="108" t="s">
        <v>2637</v>
      </c>
      <c r="AD77" s="66" t="s">
        <v>2638</v>
      </c>
      <c r="AE77" s="66"/>
      <c r="AF77" s="66"/>
      <c r="AG77" s="68" t="s">
        <v>45</v>
      </c>
      <c r="AH77" s="66"/>
      <c r="AI77" s="66"/>
      <c r="AJ77" s="66"/>
      <c r="AK77" s="66"/>
      <c r="AL77" s="49">
        <f>VLOOKUP(G77,VALIDACIONES!P:Q,2,0)</f>
        <v>43444086</v>
      </c>
      <c r="AM77" s="55" t="str">
        <f t="shared" si="9"/>
        <v>NADA</v>
      </c>
      <c r="AN77" s="99" t="str">
        <f t="shared" si="10"/>
        <v>NO</v>
      </c>
    </row>
    <row r="78" spans="1:40" s="55" customFormat="1">
      <c r="A78" s="141">
        <v>46185</v>
      </c>
      <c r="B78" s="139" t="str">
        <f t="shared" si="7"/>
        <v>06 A 18</v>
      </c>
      <c r="C78" s="62" t="str">
        <f t="shared" si="8"/>
        <v>10:00 a 12:00</v>
      </c>
      <c r="D78" s="62" t="s">
        <v>243</v>
      </c>
      <c r="E78" s="61">
        <v>2</v>
      </c>
      <c r="F78" s="66" t="s">
        <v>163</v>
      </c>
      <c r="G78" s="66" t="s">
        <v>1558</v>
      </c>
      <c r="H78" s="114">
        <v>365698</v>
      </c>
      <c r="I78" s="138">
        <v>48377734</v>
      </c>
      <c r="J78" s="66" t="s">
        <v>2627</v>
      </c>
      <c r="K78" s="66" t="s">
        <v>2407</v>
      </c>
      <c r="L78" s="61"/>
      <c r="M78" s="61"/>
      <c r="N78" s="61"/>
      <c r="O78" s="66" t="s">
        <v>2721</v>
      </c>
      <c r="P78" s="66" t="s">
        <v>2682</v>
      </c>
      <c r="Q78" s="65">
        <v>0.41805555555555557</v>
      </c>
      <c r="R78" s="65">
        <v>0.4375</v>
      </c>
      <c r="S78" s="65" t="s">
        <v>2424</v>
      </c>
      <c r="T78" s="65" t="s">
        <v>2424</v>
      </c>
      <c r="U78" s="65" t="s">
        <v>2424</v>
      </c>
      <c r="V78" s="65" t="s">
        <v>2424</v>
      </c>
      <c r="W78" s="119" t="s">
        <v>2424</v>
      </c>
      <c r="X78" s="124" t="s">
        <v>2891</v>
      </c>
      <c r="Y78" s="122">
        <v>0</v>
      </c>
      <c r="Z78" s="67">
        <v>0</v>
      </c>
      <c r="AA78" s="67">
        <v>0</v>
      </c>
      <c r="AB78" s="108" t="s">
        <v>2683</v>
      </c>
      <c r="AC78" s="108" t="s">
        <v>2637</v>
      </c>
      <c r="AD78" s="66" t="s">
        <v>2645</v>
      </c>
      <c r="AE78" s="66"/>
      <c r="AF78" s="66"/>
      <c r="AG78" s="68" t="s">
        <v>45</v>
      </c>
      <c r="AH78" s="66"/>
      <c r="AI78" s="66"/>
      <c r="AJ78" s="66"/>
      <c r="AK78" s="66"/>
      <c r="AL78" s="49">
        <f>VLOOKUP(G78,VALIDACIONES!P:Q,2,0)</f>
        <v>39467782</v>
      </c>
      <c r="AM78" s="55" t="str">
        <f t="shared" si="9"/>
        <v>NADA</v>
      </c>
      <c r="AN78" s="99" t="str">
        <f t="shared" si="10"/>
        <v>NO</v>
      </c>
    </row>
    <row r="79" spans="1:40" s="55" customFormat="1">
      <c r="A79" s="141">
        <v>46185</v>
      </c>
      <c r="B79" s="139" t="str">
        <f t="shared" si="7"/>
        <v>06 A 18</v>
      </c>
      <c r="C79" s="62" t="str">
        <f t="shared" si="8"/>
        <v>10:00 a 12:00</v>
      </c>
      <c r="D79" s="62" t="s">
        <v>243</v>
      </c>
      <c r="E79" s="61">
        <v>2</v>
      </c>
      <c r="F79" s="66" t="s">
        <v>2734</v>
      </c>
      <c r="G79" s="66" t="s">
        <v>1558</v>
      </c>
      <c r="H79" s="114">
        <v>365708</v>
      </c>
      <c r="I79" s="138">
        <v>48377720</v>
      </c>
      <c r="J79" s="66" t="s">
        <v>2627</v>
      </c>
      <c r="K79" s="66" t="s">
        <v>2407</v>
      </c>
      <c r="L79" s="61"/>
      <c r="M79" s="61"/>
      <c r="N79" s="61"/>
      <c r="O79" s="66" t="s">
        <v>2892</v>
      </c>
      <c r="P79" s="66" t="s">
        <v>2893</v>
      </c>
      <c r="Q79" s="65">
        <v>0.41875000000000001</v>
      </c>
      <c r="R79" s="65">
        <v>0.43819444444444444</v>
      </c>
      <c r="S79" s="65" t="s">
        <v>2424</v>
      </c>
      <c r="T79" s="65" t="s">
        <v>2424</v>
      </c>
      <c r="U79" s="65" t="s">
        <v>2424</v>
      </c>
      <c r="V79" s="65" t="s">
        <v>2424</v>
      </c>
      <c r="W79" s="119" t="s">
        <v>2424</v>
      </c>
      <c r="X79" s="124" t="s">
        <v>2875</v>
      </c>
      <c r="Y79" s="122">
        <v>0</v>
      </c>
      <c r="Z79" s="67">
        <v>0</v>
      </c>
      <c r="AA79" s="67">
        <v>0</v>
      </c>
      <c r="AB79" s="108" t="s">
        <v>2683</v>
      </c>
      <c r="AC79" s="108" t="s">
        <v>2637</v>
      </c>
      <c r="AD79" s="66" t="s">
        <v>2645</v>
      </c>
      <c r="AE79" s="66"/>
      <c r="AF79" s="66"/>
      <c r="AG79" s="68" t="s">
        <v>45</v>
      </c>
      <c r="AH79" s="66"/>
      <c r="AI79" s="66"/>
      <c r="AJ79" s="66"/>
      <c r="AK79" s="66"/>
      <c r="AL79" s="49">
        <f>VLOOKUP(G79,VALIDACIONES!P:Q,2,0)</f>
        <v>39467782</v>
      </c>
      <c r="AM79" s="55" t="str">
        <f t="shared" si="9"/>
        <v>NADA</v>
      </c>
      <c r="AN79" s="99" t="str">
        <f t="shared" si="10"/>
        <v>NO</v>
      </c>
    </row>
    <row r="80" spans="1:40" s="55" customFormat="1">
      <c r="A80" s="141">
        <v>46185</v>
      </c>
      <c r="B80" s="139" t="str">
        <f t="shared" si="7"/>
        <v>06 A 18</v>
      </c>
      <c r="C80" s="62" t="str">
        <f t="shared" si="8"/>
        <v>10:00 a 12:00</v>
      </c>
      <c r="D80" s="62" t="s">
        <v>243</v>
      </c>
      <c r="E80" s="61">
        <v>2</v>
      </c>
      <c r="F80" s="66" t="s">
        <v>2734</v>
      </c>
      <c r="G80" s="66" t="s">
        <v>632</v>
      </c>
      <c r="H80" s="114">
        <v>366142</v>
      </c>
      <c r="I80" s="138">
        <v>48377716</v>
      </c>
      <c r="J80" s="66" t="s">
        <v>2627</v>
      </c>
      <c r="K80" s="66" t="s">
        <v>145</v>
      </c>
      <c r="L80" s="61"/>
      <c r="M80" s="61"/>
      <c r="N80" s="61"/>
      <c r="O80" s="66" t="s">
        <v>2894</v>
      </c>
      <c r="P80" s="66" t="s">
        <v>2655</v>
      </c>
      <c r="Q80" s="65">
        <v>0.42083333333333334</v>
      </c>
      <c r="R80" s="65">
        <v>0.43263888888888891</v>
      </c>
      <c r="S80" s="65">
        <v>0.42222222222222222</v>
      </c>
      <c r="T80" s="65" t="s">
        <v>2424</v>
      </c>
      <c r="U80" s="65" t="s">
        <v>2424</v>
      </c>
      <c r="V80" s="65" t="s">
        <v>2424</v>
      </c>
      <c r="W80" s="119" t="s">
        <v>2424</v>
      </c>
      <c r="X80" s="124" t="s">
        <v>2895</v>
      </c>
      <c r="Y80" s="122">
        <v>0</v>
      </c>
      <c r="Z80" s="67">
        <v>0</v>
      </c>
      <c r="AA80" s="67">
        <v>0</v>
      </c>
      <c r="AB80" s="108" t="s">
        <v>2680</v>
      </c>
      <c r="AC80" s="108" t="s">
        <v>2637</v>
      </c>
      <c r="AD80" s="66" t="s">
        <v>2645</v>
      </c>
      <c r="AE80" s="66"/>
      <c r="AF80" s="66"/>
      <c r="AG80" s="68" t="s">
        <v>45</v>
      </c>
      <c r="AH80" s="66"/>
      <c r="AI80" s="107"/>
      <c r="AJ80" s="66"/>
      <c r="AK80" s="66"/>
      <c r="AL80" s="49">
        <f>VLOOKUP(G80,VALIDACIONES!P:Q,2,0)</f>
        <v>34949458</v>
      </c>
      <c r="AM80" s="55" t="str">
        <f t="shared" si="9"/>
        <v>NADA</v>
      </c>
      <c r="AN80" s="99" t="str">
        <f t="shared" si="10"/>
        <v>NO</v>
      </c>
    </row>
    <row r="81" spans="1:40" s="55" customFormat="1">
      <c r="A81" s="141">
        <v>46185</v>
      </c>
      <c r="B81" s="139" t="str">
        <f t="shared" si="7"/>
        <v>06 A 18</v>
      </c>
      <c r="C81" s="62" t="str">
        <f t="shared" si="8"/>
        <v>10:00 a 12:00</v>
      </c>
      <c r="D81" s="62" t="s">
        <v>243</v>
      </c>
      <c r="E81" s="61">
        <v>2</v>
      </c>
      <c r="F81" s="66" t="s">
        <v>2734</v>
      </c>
      <c r="G81" s="66" t="s">
        <v>612</v>
      </c>
      <c r="H81" s="114">
        <v>365855</v>
      </c>
      <c r="I81" s="138">
        <v>48377742</v>
      </c>
      <c r="J81" s="66" t="s">
        <v>2627</v>
      </c>
      <c r="K81" s="66" t="s">
        <v>145</v>
      </c>
      <c r="L81" s="61"/>
      <c r="M81" s="61"/>
      <c r="N81" s="61"/>
      <c r="O81" s="66" t="s">
        <v>2896</v>
      </c>
      <c r="P81" s="66" t="s">
        <v>2897</v>
      </c>
      <c r="Q81" s="65">
        <v>0.42083333333333334</v>
      </c>
      <c r="R81" s="65">
        <v>0.42708333333333331</v>
      </c>
      <c r="S81" s="65" t="s">
        <v>2424</v>
      </c>
      <c r="T81" s="65" t="s">
        <v>2424</v>
      </c>
      <c r="U81" s="65" t="s">
        <v>2424</v>
      </c>
      <c r="V81" s="65" t="s">
        <v>2424</v>
      </c>
      <c r="W81" s="119" t="s">
        <v>2424</v>
      </c>
      <c r="X81" s="124" t="s">
        <v>2898</v>
      </c>
      <c r="Y81" s="122">
        <v>0</v>
      </c>
      <c r="Z81" s="67">
        <v>0</v>
      </c>
      <c r="AA81" s="67">
        <v>0</v>
      </c>
      <c r="AB81" s="108" t="s">
        <v>2694</v>
      </c>
      <c r="AC81" s="108" t="s">
        <v>2637</v>
      </c>
      <c r="AD81" s="66" t="s">
        <v>2645</v>
      </c>
      <c r="AE81" s="66"/>
      <c r="AF81" s="66"/>
      <c r="AG81" s="68" t="s">
        <v>45</v>
      </c>
      <c r="AH81" s="66"/>
      <c r="AI81" s="66"/>
      <c r="AJ81" s="66"/>
      <c r="AK81" s="66"/>
      <c r="AL81" s="49">
        <f>VLOOKUP(G81,VALIDACIONES!P:Q,2,0)</f>
        <v>22819436</v>
      </c>
      <c r="AM81" s="55" t="str">
        <f t="shared" si="9"/>
        <v>NADA</v>
      </c>
      <c r="AN81" s="99" t="str">
        <f t="shared" si="10"/>
        <v>NO</v>
      </c>
    </row>
    <row r="82" spans="1:40" s="55" customFormat="1">
      <c r="A82" s="141">
        <v>46185</v>
      </c>
      <c r="B82" s="139" t="str">
        <f t="shared" si="7"/>
        <v>06 A 18</v>
      </c>
      <c r="C82" s="62" t="str">
        <f t="shared" si="8"/>
        <v>10:00 a 12:00</v>
      </c>
      <c r="D82" s="62" t="s">
        <v>243</v>
      </c>
      <c r="E82" s="61">
        <v>2</v>
      </c>
      <c r="F82" s="66" t="s">
        <v>2734</v>
      </c>
      <c r="G82" s="66" t="s">
        <v>380</v>
      </c>
      <c r="H82" s="114">
        <v>365829</v>
      </c>
      <c r="I82" s="138">
        <v>48377738</v>
      </c>
      <c r="J82" s="66" t="s">
        <v>2627</v>
      </c>
      <c r="K82" s="66" t="s">
        <v>86</v>
      </c>
      <c r="L82" s="61" t="s">
        <v>76</v>
      </c>
      <c r="M82" s="61"/>
      <c r="N82" s="61"/>
      <c r="O82" s="66" t="s">
        <v>2899</v>
      </c>
      <c r="P82" s="66" t="s">
        <v>2696</v>
      </c>
      <c r="Q82" s="65">
        <v>0.4236111111111111</v>
      </c>
      <c r="R82" s="65">
        <v>0.43263888888888891</v>
      </c>
      <c r="S82" s="65">
        <v>0.4236111111111111</v>
      </c>
      <c r="T82" s="65" t="s">
        <v>2424</v>
      </c>
      <c r="U82" s="65" t="s">
        <v>2424</v>
      </c>
      <c r="V82" s="65" t="s">
        <v>2424</v>
      </c>
      <c r="W82" s="119" t="s">
        <v>2424</v>
      </c>
      <c r="X82" s="124" t="s">
        <v>2900</v>
      </c>
      <c r="Y82" s="122">
        <v>0</v>
      </c>
      <c r="Z82" s="67">
        <v>0</v>
      </c>
      <c r="AA82" s="67">
        <v>0</v>
      </c>
      <c r="AB82" s="108" t="s">
        <v>2697</v>
      </c>
      <c r="AC82" s="108" t="s">
        <v>2637</v>
      </c>
      <c r="AD82" s="66" t="s">
        <v>2645</v>
      </c>
      <c r="AE82" s="66"/>
      <c r="AF82" s="66"/>
      <c r="AG82" s="68" t="s">
        <v>45</v>
      </c>
      <c r="AH82" s="66"/>
      <c r="AI82" s="66"/>
      <c r="AJ82" s="66"/>
      <c r="AK82" s="66"/>
      <c r="AL82" s="49">
        <f>VLOOKUP(G82,VALIDACIONES!P:Q,2,0)</f>
        <v>32003476</v>
      </c>
      <c r="AM82" s="55" t="str">
        <f t="shared" si="9"/>
        <v>NADA</v>
      </c>
      <c r="AN82" s="99" t="str">
        <f t="shared" si="10"/>
        <v>NO</v>
      </c>
    </row>
    <row r="83" spans="1:40" s="55" customFormat="1">
      <c r="A83" s="141">
        <v>46185</v>
      </c>
      <c r="B83" s="139" t="str">
        <f t="shared" si="7"/>
        <v>06 A 18</v>
      </c>
      <c r="C83" s="62" t="str">
        <f t="shared" si="8"/>
        <v>10:00 a 12:00</v>
      </c>
      <c r="D83" s="62" t="s">
        <v>243</v>
      </c>
      <c r="E83" s="61">
        <v>2</v>
      </c>
      <c r="F83" s="66" t="s">
        <v>2708</v>
      </c>
      <c r="G83" s="66" t="s">
        <v>1408</v>
      </c>
      <c r="H83" s="114">
        <v>365771</v>
      </c>
      <c r="I83" s="138">
        <v>48377807</v>
      </c>
      <c r="J83" s="66" t="s">
        <v>2627</v>
      </c>
      <c r="K83" s="66" t="s">
        <v>2426</v>
      </c>
      <c r="L83" s="61"/>
      <c r="M83" s="61"/>
      <c r="N83" s="61"/>
      <c r="O83" s="66" t="s">
        <v>2901</v>
      </c>
      <c r="P83" s="66" t="s">
        <v>2655</v>
      </c>
      <c r="Q83" s="65">
        <v>0.41666666666666669</v>
      </c>
      <c r="R83" s="65">
        <v>0.43333333333333335</v>
      </c>
      <c r="S83" s="65">
        <v>0.43263888888888891</v>
      </c>
      <c r="T83" s="65" t="s">
        <v>2424</v>
      </c>
      <c r="U83" s="65" t="s">
        <v>2424</v>
      </c>
      <c r="V83" s="65" t="s">
        <v>2424</v>
      </c>
      <c r="W83" s="119" t="s">
        <v>2424</v>
      </c>
      <c r="X83" s="124" t="s">
        <v>2902</v>
      </c>
      <c r="Y83" s="122">
        <v>0</v>
      </c>
      <c r="Z83" s="67">
        <v>0</v>
      </c>
      <c r="AA83" s="67">
        <v>0</v>
      </c>
      <c r="AB83" s="108" t="s">
        <v>2656</v>
      </c>
      <c r="AC83" s="108" t="s">
        <v>2637</v>
      </c>
      <c r="AD83" s="66" t="s">
        <v>2645</v>
      </c>
      <c r="AE83" s="66"/>
      <c r="AF83" s="107"/>
      <c r="AG83" s="68" t="s">
        <v>45</v>
      </c>
      <c r="AH83" s="107"/>
      <c r="AI83" s="66"/>
      <c r="AJ83" s="66"/>
      <c r="AK83" s="66"/>
      <c r="AL83" s="49">
        <f>VLOOKUP(G83,VALIDACIONES!P:Q,2,0)</f>
        <v>43319446</v>
      </c>
      <c r="AM83" s="55" t="str">
        <f t="shared" si="9"/>
        <v>NADA</v>
      </c>
      <c r="AN83" s="99" t="str">
        <f t="shared" si="10"/>
        <v>NO</v>
      </c>
    </row>
    <row r="84" spans="1:40" s="55" customFormat="1">
      <c r="A84" s="141">
        <v>46185</v>
      </c>
      <c r="B84" s="139" t="str">
        <f t="shared" si="7"/>
        <v>06 A 18</v>
      </c>
      <c r="C84" s="62" t="str">
        <f t="shared" si="8"/>
        <v>08:00 a 10:00</v>
      </c>
      <c r="D84" s="62" t="s">
        <v>243</v>
      </c>
      <c r="E84" s="61">
        <v>2</v>
      </c>
      <c r="F84" s="66" t="s">
        <v>2734</v>
      </c>
      <c r="G84" s="66" t="s">
        <v>2303</v>
      </c>
      <c r="H84" s="114">
        <v>365663</v>
      </c>
      <c r="I84" s="138">
        <v>48377469</v>
      </c>
      <c r="J84" s="66" t="s">
        <v>2627</v>
      </c>
      <c r="K84" s="66" t="s">
        <v>86</v>
      </c>
      <c r="L84" s="61" t="s">
        <v>173</v>
      </c>
      <c r="M84" s="61"/>
      <c r="N84" s="61"/>
      <c r="O84" s="66" t="s">
        <v>2903</v>
      </c>
      <c r="P84" s="66" t="s">
        <v>2904</v>
      </c>
      <c r="Q84" s="65">
        <v>0.38958333333333334</v>
      </c>
      <c r="R84" s="65">
        <v>0.40625</v>
      </c>
      <c r="S84" s="65">
        <v>0.39652777777777776</v>
      </c>
      <c r="T84" s="65" t="s">
        <v>2424</v>
      </c>
      <c r="U84" s="65" t="s">
        <v>2424</v>
      </c>
      <c r="V84" s="65" t="s">
        <v>2424</v>
      </c>
      <c r="W84" s="119" t="s">
        <v>2424</v>
      </c>
      <c r="X84" s="124" t="s">
        <v>2905</v>
      </c>
      <c r="Y84" s="122">
        <v>0</v>
      </c>
      <c r="Z84" s="67">
        <v>0</v>
      </c>
      <c r="AA84" s="67">
        <v>0</v>
      </c>
      <c r="AB84" s="108" t="s">
        <v>2906</v>
      </c>
      <c r="AC84" s="108" t="s">
        <v>2637</v>
      </c>
      <c r="AD84" s="66" t="s">
        <v>2638</v>
      </c>
      <c r="AE84" s="66"/>
      <c r="AF84" s="66"/>
      <c r="AG84" s="68" t="s">
        <v>45</v>
      </c>
      <c r="AH84" s="66"/>
      <c r="AI84" s="66"/>
      <c r="AJ84" s="66"/>
      <c r="AK84" s="66"/>
      <c r="AL84" s="49">
        <f>VLOOKUP(G84,VALIDACIONES!P:Q,2,0)</f>
        <v>39761723</v>
      </c>
      <c r="AM84" s="55" t="str">
        <f t="shared" si="9"/>
        <v>NADA</v>
      </c>
      <c r="AN84" s="99" t="str">
        <f t="shared" si="10"/>
        <v>NO</v>
      </c>
    </row>
    <row r="85" spans="1:40" s="55" customFormat="1">
      <c r="A85" s="141">
        <v>46185</v>
      </c>
      <c r="B85" s="139" t="str">
        <f t="shared" si="7"/>
        <v>06 A 18</v>
      </c>
      <c r="C85" s="62" t="str">
        <f t="shared" si="8"/>
        <v>10:00 a 12:00</v>
      </c>
      <c r="D85" s="62" t="s">
        <v>243</v>
      </c>
      <c r="E85" s="61">
        <v>2</v>
      </c>
      <c r="F85" s="66" t="s">
        <v>2708</v>
      </c>
      <c r="G85" s="66" t="s">
        <v>1158</v>
      </c>
      <c r="H85" s="114">
        <v>365774</v>
      </c>
      <c r="I85" s="138">
        <v>48377831</v>
      </c>
      <c r="J85" s="66" t="s">
        <v>2627</v>
      </c>
      <c r="K85" s="66" t="s">
        <v>86</v>
      </c>
      <c r="L85" s="61" t="s">
        <v>136</v>
      </c>
      <c r="M85" s="61"/>
      <c r="N85" s="61"/>
      <c r="O85" s="66" t="s">
        <v>2907</v>
      </c>
      <c r="P85" s="66" t="s">
        <v>2658</v>
      </c>
      <c r="Q85" s="65">
        <v>0.43402777777777779</v>
      </c>
      <c r="R85" s="65">
        <v>0.44097222222222221</v>
      </c>
      <c r="S85" s="65">
        <v>0.43402777777777779</v>
      </c>
      <c r="T85" s="65" t="s">
        <v>2424</v>
      </c>
      <c r="U85" s="65" t="s">
        <v>2424</v>
      </c>
      <c r="V85" s="65" t="s">
        <v>2424</v>
      </c>
      <c r="W85" s="119" t="s">
        <v>2424</v>
      </c>
      <c r="X85" s="124" t="s">
        <v>2908</v>
      </c>
      <c r="Y85" s="122">
        <v>0</v>
      </c>
      <c r="Z85" s="67">
        <v>0</v>
      </c>
      <c r="AA85" s="67">
        <v>0</v>
      </c>
      <c r="AB85" s="108" t="s">
        <v>2659</v>
      </c>
      <c r="AC85" s="108" t="s">
        <v>2637</v>
      </c>
      <c r="AD85" s="66" t="s">
        <v>2638</v>
      </c>
      <c r="AE85" s="66"/>
      <c r="AF85" s="66"/>
      <c r="AG85" s="68" t="s">
        <v>45</v>
      </c>
      <c r="AH85" s="66"/>
      <c r="AI85" s="66"/>
      <c r="AJ85" s="66"/>
      <c r="AK85" s="66"/>
      <c r="AL85" s="49">
        <f>VLOOKUP(G85,VALIDACIONES!P:Q,2,0)</f>
        <v>44940129</v>
      </c>
      <c r="AM85" s="55" t="str">
        <f t="shared" si="9"/>
        <v>NADA</v>
      </c>
      <c r="AN85" s="99" t="str">
        <f t="shared" si="10"/>
        <v>NO</v>
      </c>
    </row>
    <row r="86" spans="1:40" s="55" customFormat="1">
      <c r="A86" s="141">
        <v>46185</v>
      </c>
      <c r="B86" s="139" t="str">
        <f t="shared" si="7"/>
        <v>06 A 18</v>
      </c>
      <c r="C86" s="62" t="str">
        <f t="shared" si="8"/>
        <v>10:00 a 12:00</v>
      </c>
      <c r="D86" s="62" t="s">
        <v>243</v>
      </c>
      <c r="E86" s="61">
        <v>2</v>
      </c>
      <c r="F86" s="66" t="s">
        <v>2734</v>
      </c>
      <c r="G86" s="66" t="s">
        <v>1095</v>
      </c>
      <c r="H86" s="114">
        <v>365841</v>
      </c>
      <c r="I86" s="138">
        <v>48377879</v>
      </c>
      <c r="J86" s="66" t="s">
        <v>2627</v>
      </c>
      <c r="K86" s="66" t="s">
        <v>100</v>
      </c>
      <c r="L86" s="61"/>
      <c r="M86" s="61"/>
      <c r="N86" s="61"/>
      <c r="O86" s="66" t="s">
        <v>2909</v>
      </c>
      <c r="P86" s="66" t="s">
        <v>2655</v>
      </c>
      <c r="Q86" s="65">
        <v>0.43611111111111112</v>
      </c>
      <c r="R86" s="65">
        <v>0.44861111111111113</v>
      </c>
      <c r="S86" s="65">
        <v>0.44236111111111109</v>
      </c>
      <c r="T86" s="65" t="s">
        <v>2424</v>
      </c>
      <c r="U86" s="65" t="s">
        <v>2424</v>
      </c>
      <c r="V86" s="65" t="s">
        <v>2424</v>
      </c>
      <c r="W86" s="119" t="s">
        <v>2424</v>
      </c>
      <c r="X86" s="124" t="s">
        <v>2910</v>
      </c>
      <c r="Y86" s="122">
        <v>0</v>
      </c>
      <c r="Z86" s="67">
        <v>0</v>
      </c>
      <c r="AA86" s="67">
        <v>0</v>
      </c>
      <c r="AB86" s="108" t="s">
        <v>2680</v>
      </c>
      <c r="AC86" s="108" t="s">
        <v>2637</v>
      </c>
      <c r="AD86" s="66" t="s">
        <v>2645</v>
      </c>
      <c r="AE86" s="66"/>
      <c r="AF86" s="66"/>
      <c r="AG86" s="68" t="s">
        <v>45</v>
      </c>
      <c r="AH86" s="107"/>
      <c r="AI86" s="66"/>
      <c r="AJ86" s="66"/>
      <c r="AK86" s="66"/>
      <c r="AL86" s="49">
        <f>VLOOKUP(G86,VALIDACIONES!P:Q,2,0)</f>
        <v>25512003</v>
      </c>
      <c r="AM86" s="55" t="str">
        <f t="shared" si="9"/>
        <v>NADA</v>
      </c>
      <c r="AN86" s="99" t="str">
        <f t="shared" si="10"/>
        <v>NO</v>
      </c>
    </row>
    <row r="87" spans="1:40" s="55" customFormat="1">
      <c r="A87" s="141">
        <v>46185</v>
      </c>
      <c r="B87" s="139" t="str">
        <f t="shared" si="7"/>
        <v>06 A 18</v>
      </c>
      <c r="C87" s="62" t="str">
        <f t="shared" si="8"/>
        <v>10:00 a 12:00</v>
      </c>
      <c r="D87" s="62" t="s">
        <v>243</v>
      </c>
      <c r="E87" s="61">
        <v>2</v>
      </c>
      <c r="F87" s="66" t="s">
        <v>2707</v>
      </c>
      <c r="G87" s="66" t="s">
        <v>621</v>
      </c>
      <c r="H87" s="114">
        <v>365831</v>
      </c>
      <c r="I87" s="138">
        <v>48377758</v>
      </c>
      <c r="J87" s="66" t="s">
        <v>2628</v>
      </c>
      <c r="K87" s="66" t="s">
        <v>86</v>
      </c>
      <c r="L87" s="61" t="s">
        <v>173</v>
      </c>
      <c r="M87" s="61"/>
      <c r="N87" s="61"/>
      <c r="O87" s="66" t="s">
        <v>2911</v>
      </c>
      <c r="P87" s="66" t="s">
        <v>2646</v>
      </c>
      <c r="Q87" s="65">
        <v>0.42986111111111114</v>
      </c>
      <c r="R87" s="65">
        <v>0.43472222222222223</v>
      </c>
      <c r="S87" s="65">
        <v>0.43125000000000002</v>
      </c>
      <c r="T87" s="65" t="s">
        <v>2424</v>
      </c>
      <c r="U87" s="65" t="s">
        <v>2424</v>
      </c>
      <c r="V87" s="65" t="s">
        <v>2424</v>
      </c>
      <c r="W87" s="119" t="s">
        <v>2424</v>
      </c>
      <c r="X87" s="124" t="s">
        <v>2912</v>
      </c>
      <c r="Y87" s="122">
        <v>0</v>
      </c>
      <c r="Z87" s="67">
        <v>0</v>
      </c>
      <c r="AA87" s="67">
        <v>0</v>
      </c>
      <c r="AB87" s="108" t="s">
        <v>2687</v>
      </c>
      <c r="AC87" s="108" t="s">
        <v>2637</v>
      </c>
      <c r="AD87" s="66" t="s">
        <v>2638</v>
      </c>
      <c r="AE87" s="66"/>
      <c r="AF87" s="107"/>
      <c r="AG87" s="68" t="s">
        <v>45</v>
      </c>
      <c r="AH87" s="66"/>
      <c r="AI87" s="107"/>
      <c r="AJ87" s="66"/>
      <c r="AK87" s="66"/>
      <c r="AL87" s="49">
        <f>VLOOKUP(G87,VALIDACIONES!P:Q,2,0)</f>
        <v>44789774</v>
      </c>
      <c r="AM87" s="55" t="str">
        <f t="shared" si="9"/>
        <v>NADA</v>
      </c>
      <c r="AN87" s="99" t="str">
        <f t="shared" si="10"/>
        <v>NO</v>
      </c>
    </row>
    <row r="88" spans="1:40" s="55" customFormat="1">
      <c r="A88" s="141">
        <v>46185</v>
      </c>
      <c r="B88" s="139" t="str">
        <f t="shared" si="7"/>
        <v>06 A 18</v>
      </c>
      <c r="C88" s="62" t="str">
        <f t="shared" si="8"/>
        <v>10:00 a 12:00</v>
      </c>
      <c r="D88" s="62" t="s">
        <v>243</v>
      </c>
      <c r="E88" s="61">
        <v>2</v>
      </c>
      <c r="F88" s="66" t="s">
        <v>2707</v>
      </c>
      <c r="G88" s="66" t="s">
        <v>621</v>
      </c>
      <c r="H88" s="114">
        <v>365739</v>
      </c>
      <c r="I88" s="138">
        <v>48378047</v>
      </c>
      <c r="J88" s="66" t="s">
        <v>2628</v>
      </c>
      <c r="K88" s="66" t="s">
        <v>2426</v>
      </c>
      <c r="L88" s="61"/>
      <c r="M88" s="61"/>
      <c r="N88" s="61"/>
      <c r="O88" s="66" t="s">
        <v>2726</v>
      </c>
      <c r="P88" s="66" t="s">
        <v>2648</v>
      </c>
      <c r="Q88" s="65">
        <v>0.45555555555555555</v>
      </c>
      <c r="R88" s="65">
        <v>0.45833333333333331</v>
      </c>
      <c r="S88" s="65">
        <v>0.45833333333333331</v>
      </c>
      <c r="T88" s="65" t="s">
        <v>2424</v>
      </c>
      <c r="U88" s="65" t="s">
        <v>2424</v>
      </c>
      <c r="V88" s="65" t="s">
        <v>2424</v>
      </c>
      <c r="W88" s="119" t="s">
        <v>2424</v>
      </c>
      <c r="X88" s="124" t="s">
        <v>2913</v>
      </c>
      <c r="Y88" s="122">
        <v>0</v>
      </c>
      <c r="Z88" s="67">
        <v>0</v>
      </c>
      <c r="AA88" s="67">
        <v>0</v>
      </c>
      <c r="AB88" s="108" t="s">
        <v>2649</v>
      </c>
      <c r="AC88" s="108" t="s">
        <v>2637</v>
      </c>
      <c r="AD88" s="66" t="s">
        <v>2645</v>
      </c>
      <c r="AE88" s="66"/>
      <c r="AF88" s="107"/>
      <c r="AG88" s="68" t="s">
        <v>45</v>
      </c>
      <c r="AH88" s="66"/>
      <c r="AI88" s="107"/>
      <c r="AJ88" s="66"/>
      <c r="AK88" s="66"/>
      <c r="AL88" s="49">
        <f>VLOOKUP(G88,VALIDACIONES!P:Q,2,0)</f>
        <v>44789774</v>
      </c>
      <c r="AM88" s="55" t="str">
        <f t="shared" si="9"/>
        <v>NADA</v>
      </c>
      <c r="AN88" s="99" t="str">
        <f t="shared" si="10"/>
        <v>NO</v>
      </c>
    </row>
    <row r="89" spans="1:40" s="55" customFormat="1">
      <c r="A89" s="141">
        <v>46185</v>
      </c>
      <c r="B89" s="139" t="str">
        <f t="shared" si="7"/>
        <v>06 A 18</v>
      </c>
      <c r="C89" s="62" t="str">
        <f t="shared" si="8"/>
        <v>10:00 a 12:00</v>
      </c>
      <c r="D89" s="62" t="s">
        <v>243</v>
      </c>
      <c r="E89" s="61">
        <v>2</v>
      </c>
      <c r="F89" s="66" t="s">
        <v>2734</v>
      </c>
      <c r="G89" s="66" t="s">
        <v>1375</v>
      </c>
      <c r="H89" s="114">
        <v>366169</v>
      </c>
      <c r="I89" s="138">
        <v>48378031</v>
      </c>
      <c r="J89" s="66" t="s">
        <v>2627</v>
      </c>
      <c r="K89" s="66" t="s">
        <v>86</v>
      </c>
      <c r="L89" s="61" t="s">
        <v>136</v>
      </c>
      <c r="M89" s="61"/>
      <c r="N89" s="61"/>
      <c r="O89" s="66" t="s">
        <v>2914</v>
      </c>
      <c r="P89" s="66" t="s">
        <v>2658</v>
      </c>
      <c r="Q89" s="65">
        <v>0.45624999999999999</v>
      </c>
      <c r="R89" s="65">
        <v>0.49305555555555558</v>
      </c>
      <c r="S89" s="65">
        <v>0.45624999999999999</v>
      </c>
      <c r="T89" s="65" t="s">
        <v>2424</v>
      </c>
      <c r="U89" s="65" t="s">
        <v>2424</v>
      </c>
      <c r="V89" s="65">
        <v>0.46736111111111112</v>
      </c>
      <c r="W89" s="119" t="s">
        <v>2424</v>
      </c>
      <c r="X89" s="124" t="s">
        <v>2915</v>
      </c>
      <c r="Y89" s="122">
        <v>0</v>
      </c>
      <c r="Z89" s="67">
        <v>0</v>
      </c>
      <c r="AA89" s="67">
        <v>0</v>
      </c>
      <c r="AB89" s="108" t="s">
        <v>2659</v>
      </c>
      <c r="AC89" s="108" t="s">
        <v>2637</v>
      </c>
      <c r="AD89" s="66" t="s">
        <v>2638</v>
      </c>
      <c r="AE89" s="66"/>
      <c r="AF89" s="66"/>
      <c r="AG89" s="68" t="s">
        <v>45</v>
      </c>
      <c r="AH89" s="66"/>
      <c r="AI89" s="66"/>
      <c r="AJ89" s="66"/>
      <c r="AK89" s="66"/>
      <c r="AL89" s="49">
        <f>VLOOKUP(G89,VALIDACIONES!P:Q,2,0)</f>
        <v>37214657</v>
      </c>
      <c r="AM89" s="55" t="str">
        <f t="shared" si="9"/>
        <v>NADA</v>
      </c>
      <c r="AN89" s="99" t="str">
        <f t="shared" si="10"/>
        <v>NO</v>
      </c>
    </row>
    <row r="90" spans="1:40" s="55" customFormat="1">
      <c r="A90" s="141">
        <v>46185</v>
      </c>
      <c r="B90" s="139" t="str">
        <f t="shared" si="7"/>
        <v>06 A 18</v>
      </c>
      <c r="C90" s="62" t="str">
        <f t="shared" si="8"/>
        <v>10:00 a 12:00</v>
      </c>
      <c r="D90" s="62" t="s">
        <v>243</v>
      </c>
      <c r="E90" s="61">
        <v>2</v>
      </c>
      <c r="F90" s="66" t="s">
        <v>163</v>
      </c>
      <c r="G90" s="66" t="s">
        <v>478</v>
      </c>
      <c r="H90" s="114">
        <v>366126</v>
      </c>
      <c r="I90" s="138">
        <v>48377959</v>
      </c>
      <c r="J90" s="66" t="s">
        <v>2627</v>
      </c>
      <c r="K90" s="66" t="s">
        <v>86</v>
      </c>
      <c r="L90" s="61" t="s">
        <v>76</v>
      </c>
      <c r="M90" s="61" t="s">
        <v>130</v>
      </c>
      <c r="N90" s="61"/>
      <c r="O90" s="66" t="s">
        <v>2916</v>
      </c>
      <c r="P90" s="66" t="s">
        <v>2655</v>
      </c>
      <c r="Q90" s="65">
        <v>0.45833333333333331</v>
      </c>
      <c r="R90" s="65">
        <v>0.48958333333333331</v>
      </c>
      <c r="S90" s="65">
        <v>0.45069444444444445</v>
      </c>
      <c r="T90" s="65">
        <v>0.45208333333333334</v>
      </c>
      <c r="U90" s="65" t="s">
        <v>2424</v>
      </c>
      <c r="V90" s="65" t="s">
        <v>2424</v>
      </c>
      <c r="W90" s="119" t="s">
        <v>2424</v>
      </c>
      <c r="X90" s="124" t="s">
        <v>2917</v>
      </c>
      <c r="Y90" s="122">
        <v>0</v>
      </c>
      <c r="Z90" s="67">
        <v>1</v>
      </c>
      <c r="AA90" s="67">
        <v>0</v>
      </c>
      <c r="AB90" s="108" t="s">
        <v>2656</v>
      </c>
      <c r="AC90" s="108" t="s">
        <v>2637</v>
      </c>
      <c r="AD90" s="66" t="s">
        <v>2638</v>
      </c>
      <c r="AE90" s="66"/>
      <c r="AF90" s="66" t="s">
        <v>2714</v>
      </c>
      <c r="AG90" s="68" t="s">
        <v>62</v>
      </c>
      <c r="AH90" s="127" t="s">
        <v>45</v>
      </c>
      <c r="AI90" s="66"/>
      <c r="AJ90" s="66"/>
      <c r="AK90" s="66"/>
      <c r="AL90" s="49">
        <f>VLOOKUP(G90,VALIDACIONES!P:Q,2,0)</f>
        <v>40012530</v>
      </c>
      <c r="AM90" s="55" t="str">
        <f t="shared" si="9"/>
        <v>IMPUTADO</v>
      </c>
      <c r="AN90" s="99" t="str">
        <f t="shared" si="10"/>
        <v>NO</v>
      </c>
    </row>
    <row r="91" spans="1:40" s="55" customFormat="1">
      <c r="A91" s="141">
        <v>46185</v>
      </c>
      <c r="B91" s="139" t="str">
        <f t="shared" si="7"/>
        <v>06 A 18</v>
      </c>
      <c r="C91" s="62" t="str">
        <f t="shared" si="8"/>
        <v>10:00 a 12:00</v>
      </c>
      <c r="D91" s="62" t="s">
        <v>243</v>
      </c>
      <c r="E91" s="61">
        <v>2</v>
      </c>
      <c r="F91" s="66" t="s">
        <v>2734</v>
      </c>
      <c r="G91" s="66" t="s">
        <v>942</v>
      </c>
      <c r="H91" s="114">
        <v>366109</v>
      </c>
      <c r="I91" s="138">
        <v>48378000</v>
      </c>
      <c r="J91" s="66" t="s">
        <v>2627</v>
      </c>
      <c r="K91" s="66" t="s">
        <v>152</v>
      </c>
      <c r="L91" s="61"/>
      <c r="M91" s="61"/>
      <c r="N91" s="61"/>
      <c r="O91" s="66" t="s">
        <v>2918</v>
      </c>
      <c r="P91" s="66" t="s">
        <v>2673</v>
      </c>
      <c r="Q91" s="65">
        <v>0.45416666666666666</v>
      </c>
      <c r="R91" s="65">
        <v>0.48402777777777778</v>
      </c>
      <c r="S91" s="65">
        <v>0.46458333333333335</v>
      </c>
      <c r="T91" s="65" t="s">
        <v>2424</v>
      </c>
      <c r="U91" s="65" t="s">
        <v>2424</v>
      </c>
      <c r="V91" s="65" t="s">
        <v>2424</v>
      </c>
      <c r="W91" s="119" t="s">
        <v>2424</v>
      </c>
      <c r="X91" s="124" t="s">
        <v>2919</v>
      </c>
      <c r="Y91" s="122">
        <v>0</v>
      </c>
      <c r="Z91" s="67">
        <v>0</v>
      </c>
      <c r="AA91" s="67">
        <v>0</v>
      </c>
      <c r="AB91" s="108" t="s">
        <v>2674</v>
      </c>
      <c r="AC91" s="108" t="s">
        <v>2637</v>
      </c>
      <c r="AD91" s="66" t="s">
        <v>2638</v>
      </c>
      <c r="AE91" s="66"/>
      <c r="AF91" s="66"/>
      <c r="AG91" s="68" t="s">
        <v>45</v>
      </c>
      <c r="AH91" s="66"/>
      <c r="AI91" s="66"/>
      <c r="AJ91" s="66"/>
      <c r="AK91" s="66"/>
      <c r="AL91" s="49">
        <f>VLOOKUP(G91,VALIDACIONES!P:Q,2,0)</f>
        <v>13798</v>
      </c>
      <c r="AM91" s="55" t="str">
        <f t="shared" si="9"/>
        <v>NADA</v>
      </c>
      <c r="AN91" s="99" t="str">
        <f t="shared" si="10"/>
        <v>NO</v>
      </c>
    </row>
    <row r="92" spans="1:40" s="55" customFormat="1">
      <c r="A92" s="141">
        <v>46185</v>
      </c>
      <c r="B92" s="139" t="str">
        <f t="shared" si="7"/>
        <v>06 A 18</v>
      </c>
      <c r="C92" s="62" t="str">
        <f t="shared" si="8"/>
        <v>10:00 a 12:00</v>
      </c>
      <c r="D92" s="62" t="s">
        <v>243</v>
      </c>
      <c r="E92" s="61">
        <v>2</v>
      </c>
      <c r="F92" s="66" t="s">
        <v>163</v>
      </c>
      <c r="G92" s="66" t="s">
        <v>632</v>
      </c>
      <c r="H92" s="114">
        <v>366165</v>
      </c>
      <c r="I92" s="138">
        <v>48378115</v>
      </c>
      <c r="J92" s="66" t="s">
        <v>2627</v>
      </c>
      <c r="K92" s="66" t="s">
        <v>86</v>
      </c>
      <c r="L92" s="61" t="s">
        <v>136</v>
      </c>
      <c r="M92" s="61"/>
      <c r="N92" s="61"/>
      <c r="O92" s="66" t="s">
        <v>2920</v>
      </c>
      <c r="P92" s="66" t="s">
        <v>2655</v>
      </c>
      <c r="Q92" s="65">
        <v>0.47083333333333333</v>
      </c>
      <c r="R92" s="65">
        <v>0.52222222222222225</v>
      </c>
      <c r="S92" s="65">
        <v>0.47083333333333333</v>
      </c>
      <c r="T92" s="65" t="s">
        <v>2424</v>
      </c>
      <c r="U92" s="65" t="s">
        <v>2424</v>
      </c>
      <c r="V92" s="65" t="s">
        <v>2424</v>
      </c>
      <c r="W92" s="119" t="s">
        <v>2424</v>
      </c>
      <c r="X92" s="124" t="s">
        <v>2921</v>
      </c>
      <c r="Y92" s="122">
        <v>0</v>
      </c>
      <c r="Z92" s="67">
        <v>0</v>
      </c>
      <c r="AA92" s="67">
        <v>0</v>
      </c>
      <c r="AB92" s="108" t="s">
        <v>2656</v>
      </c>
      <c r="AC92" s="108" t="s">
        <v>2637</v>
      </c>
      <c r="AD92" s="66" t="s">
        <v>2638</v>
      </c>
      <c r="AE92" s="66"/>
      <c r="AF92" s="66"/>
      <c r="AG92" s="68" t="s">
        <v>45</v>
      </c>
      <c r="AH92" s="66"/>
      <c r="AI92" s="66"/>
      <c r="AJ92" s="66"/>
      <c r="AK92" s="66"/>
      <c r="AL92" s="49">
        <f>VLOOKUP(G92,VALIDACIONES!P:Q,2,0)</f>
        <v>34949458</v>
      </c>
      <c r="AM92" s="55" t="str">
        <f t="shared" si="9"/>
        <v>NADA</v>
      </c>
      <c r="AN92" s="99" t="str">
        <f t="shared" si="10"/>
        <v>NO</v>
      </c>
    </row>
    <row r="93" spans="1:40" s="55" customFormat="1">
      <c r="A93" s="141">
        <v>46185</v>
      </c>
      <c r="B93" s="139" t="str">
        <f t="shared" si="7"/>
        <v>06 A 18</v>
      </c>
      <c r="C93" s="62" t="str">
        <f t="shared" si="8"/>
        <v>10:00 a 12:00</v>
      </c>
      <c r="D93" s="62" t="s">
        <v>243</v>
      </c>
      <c r="E93" s="61">
        <v>2</v>
      </c>
      <c r="F93" s="66" t="s">
        <v>2734</v>
      </c>
      <c r="G93" s="66" t="s">
        <v>1326</v>
      </c>
      <c r="H93" s="114">
        <v>366214</v>
      </c>
      <c r="I93" s="138">
        <v>48378222</v>
      </c>
      <c r="J93" s="66" t="s">
        <v>2627</v>
      </c>
      <c r="K93" s="66" t="s">
        <v>274</v>
      </c>
      <c r="L93" s="61"/>
      <c r="M93" s="61" t="s">
        <v>245</v>
      </c>
      <c r="N93" s="61"/>
      <c r="O93" s="66" t="s">
        <v>2922</v>
      </c>
      <c r="P93" s="66" t="s">
        <v>2658</v>
      </c>
      <c r="Q93" s="65">
        <v>0.46527777777777779</v>
      </c>
      <c r="R93" s="65">
        <v>0.51388888888888884</v>
      </c>
      <c r="S93" s="65">
        <v>0.49375000000000002</v>
      </c>
      <c r="T93" s="65" t="s">
        <v>2424</v>
      </c>
      <c r="U93" s="65" t="s">
        <v>2424</v>
      </c>
      <c r="V93" s="65" t="s">
        <v>2424</v>
      </c>
      <c r="W93" s="119" t="s">
        <v>2424</v>
      </c>
      <c r="X93" s="124" t="s">
        <v>2923</v>
      </c>
      <c r="Y93" s="122">
        <v>1</v>
      </c>
      <c r="Z93" s="67">
        <v>0</v>
      </c>
      <c r="AA93" s="67">
        <v>0</v>
      </c>
      <c r="AB93" s="108" t="s">
        <v>2659</v>
      </c>
      <c r="AC93" s="108" t="s">
        <v>2637</v>
      </c>
      <c r="AD93" s="66" t="s">
        <v>2645</v>
      </c>
      <c r="AE93" s="66"/>
      <c r="AF93" s="66" t="s">
        <v>2834</v>
      </c>
      <c r="AG93" s="68" t="s">
        <v>54</v>
      </c>
      <c r="AH93" s="66"/>
      <c r="AI93" s="66"/>
      <c r="AJ93" s="66"/>
      <c r="AK93" s="66"/>
      <c r="AL93" s="49">
        <f>VLOOKUP(G93,VALIDACIONES!P:Q,2,0)</f>
        <v>32784025</v>
      </c>
      <c r="AM93" s="55" t="str">
        <f t="shared" si="9"/>
        <v>IMPUTADO</v>
      </c>
      <c r="AN93" s="99" t="str">
        <f t="shared" si="10"/>
        <v>NO</v>
      </c>
    </row>
    <row r="94" spans="1:40" s="55" customFormat="1">
      <c r="A94" s="141">
        <v>46185</v>
      </c>
      <c r="B94" s="139" t="str">
        <f t="shared" si="7"/>
        <v>06 A 18</v>
      </c>
      <c r="C94" s="62" t="str">
        <f t="shared" si="8"/>
        <v>10:00 a 12:00</v>
      </c>
      <c r="D94" s="62" t="s">
        <v>243</v>
      </c>
      <c r="E94" s="61">
        <v>2</v>
      </c>
      <c r="F94" s="66" t="s">
        <v>215</v>
      </c>
      <c r="G94" s="66" t="s">
        <v>777</v>
      </c>
      <c r="H94" s="114">
        <v>366159</v>
      </c>
      <c r="I94" s="138">
        <v>48378068</v>
      </c>
      <c r="J94" s="66" t="s">
        <v>2629</v>
      </c>
      <c r="K94" s="66" t="s">
        <v>86</v>
      </c>
      <c r="L94" s="61" t="s">
        <v>136</v>
      </c>
      <c r="M94" s="61"/>
      <c r="N94" s="61"/>
      <c r="O94" s="66" t="s">
        <v>2924</v>
      </c>
      <c r="P94" s="66" t="s">
        <v>2677</v>
      </c>
      <c r="Q94" s="65">
        <v>0.46111111111111114</v>
      </c>
      <c r="R94" s="65"/>
      <c r="S94" s="65">
        <v>0.46180555555555558</v>
      </c>
      <c r="T94" s="65" t="s">
        <v>2424</v>
      </c>
      <c r="U94" s="65" t="s">
        <v>2424</v>
      </c>
      <c r="V94" s="65" t="s">
        <v>2424</v>
      </c>
      <c r="W94" s="119" t="s">
        <v>2424</v>
      </c>
      <c r="X94" s="124" t="s">
        <v>2925</v>
      </c>
      <c r="Y94" s="122">
        <v>0</v>
      </c>
      <c r="Z94" s="67">
        <v>0</v>
      </c>
      <c r="AA94" s="67">
        <v>0</v>
      </c>
      <c r="AB94" s="108" t="s">
        <v>2678</v>
      </c>
      <c r="AC94" s="108" t="s">
        <v>2637</v>
      </c>
      <c r="AD94" s="66" t="s">
        <v>2638</v>
      </c>
      <c r="AE94" s="66"/>
      <c r="AF94" s="66"/>
      <c r="AG94" s="68" t="s">
        <v>45</v>
      </c>
      <c r="AH94" s="66"/>
      <c r="AI94" s="66"/>
      <c r="AJ94" s="66"/>
      <c r="AK94" s="66"/>
      <c r="AL94" s="49">
        <f>VLOOKUP(G94,VALIDACIONES!P:Q,2,0)</f>
        <v>40381683</v>
      </c>
      <c r="AM94" s="55" t="str">
        <f t="shared" si="9"/>
        <v>NADA</v>
      </c>
      <c r="AN94" s="99" t="str">
        <f t="shared" si="10"/>
        <v>NO</v>
      </c>
    </row>
    <row r="95" spans="1:40" s="55" customFormat="1">
      <c r="A95" s="141">
        <v>46185</v>
      </c>
      <c r="B95" s="139" t="str">
        <f t="shared" si="7"/>
        <v>06 A 18</v>
      </c>
      <c r="C95" s="62" t="str">
        <f t="shared" si="8"/>
        <v>10:00 a 12:00</v>
      </c>
      <c r="D95" s="62" t="s">
        <v>243</v>
      </c>
      <c r="E95" s="61">
        <v>2</v>
      </c>
      <c r="F95" s="66" t="s">
        <v>2707</v>
      </c>
      <c r="G95" s="66" t="s">
        <v>730</v>
      </c>
      <c r="H95" s="114">
        <v>366127</v>
      </c>
      <c r="I95" s="138">
        <v>48378201</v>
      </c>
      <c r="J95" s="66" t="s">
        <v>2628</v>
      </c>
      <c r="K95" s="66" t="s">
        <v>86</v>
      </c>
      <c r="L95" s="61" t="s">
        <v>173</v>
      </c>
      <c r="M95" s="61" t="s">
        <v>173</v>
      </c>
      <c r="N95" s="61" t="s">
        <v>2429</v>
      </c>
      <c r="O95" s="66" t="s">
        <v>2926</v>
      </c>
      <c r="P95" s="66" t="s">
        <v>2686</v>
      </c>
      <c r="Q95" s="65">
        <v>0.46944444444444444</v>
      </c>
      <c r="R95" s="65">
        <v>0.51180555555555551</v>
      </c>
      <c r="S95" s="65">
        <v>0.47430555555555554</v>
      </c>
      <c r="T95" s="65" t="s">
        <v>2424</v>
      </c>
      <c r="U95" s="65" t="s">
        <v>2424</v>
      </c>
      <c r="V95" s="65" t="s">
        <v>2424</v>
      </c>
      <c r="W95" s="119" t="s">
        <v>2424</v>
      </c>
      <c r="X95" s="124" t="s">
        <v>2927</v>
      </c>
      <c r="Y95" s="122">
        <v>0</v>
      </c>
      <c r="Z95" s="67">
        <v>1</v>
      </c>
      <c r="AA95" s="67">
        <v>0</v>
      </c>
      <c r="AB95" s="108" t="s">
        <v>2718</v>
      </c>
      <c r="AC95" s="108" t="s">
        <v>2637</v>
      </c>
      <c r="AD95" s="66" t="s">
        <v>2638</v>
      </c>
      <c r="AE95" s="66"/>
      <c r="AF95" s="66" t="s">
        <v>2670</v>
      </c>
      <c r="AG95" s="68" t="s">
        <v>69</v>
      </c>
      <c r="AH95" s="66"/>
      <c r="AI95" s="66"/>
      <c r="AJ95" s="107"/>
      <c r="AK95" s="66"/>
      <c r="AL95" s="49">
        <f>VLOOKUP(G95,VALIDACIONES!P:Q,2,0)</f>
        <v>28596818</v>
      </c>
      <c r="AM95" s="55" t="str">
        <f t="shared" si="9"/>
        <v>IMPUTADO</v>
      </c>
      <c r="AN95" s="99" t="str">
        <f t="shared" si="10"/>
        <v>NO</v>
      </c>
    </row>
    <row r="96" spans="1:40" s="55" customFormat="1">
      <c r="A96" s="141">
        <v>46185</v>
      </c>
      <c r="B96" s="139" t="str">
        <f t="shared" si="7"/>
        <v>06 A 18</v>
      </c>
      <c r="C96" s="62" t="str">
        <f t="shared" si="8"/>
        <v>10:00 a 12:00</v>
      </c>
      <c r="D96" s="62" t="s">
        <v>243</v>
      </c>
      <c r="E96" s="61">
        <v>2</v>
      </c>
      <c r="F96" s="66" t="s">
        <v>2734</v>
      </c>
      <c r="G96" s="66" t="s">
        <v>2303</v>
      </c>
      <c r="H96" s="114">
        <v>366230</v>
      </c>
      <c r="I96" s="138">
        <v>48378366</v>
      </c>
      <c r="J96" s="66" t="s">
        <v>2627</v>
      </c>
      <c r="K96" s="66" t="s">
        <v>100</v>
      </c>
      <c r="L96" s="61"/>
      <c r="M96" s="61"/>
      <c r="N96" s="61"/>
      <c r="O96" s="66" t="s">
        <v>2928</v>
      </c>
      <c r="P96" s="66" t="s">
        <v>2693</v>
      </c>
      <c r="Q96" s="65">
        <v>0.48958333333333331</v>
      </c>
      <c r="R96" s="65">
        <v>0.50694444444444442</v>
      </c>
      <c r="S96" s="65">
        <v>0.5</v>
      </c>
      <c r="T96" s="65" t="s">
        <v>2424</v>
      </c>
      <c r="U96" s="65" t="s">
        <v>2424</v>
      </c>
      <c r="V96" s="65" t="s">
        <v>2424</v>
      </c>
      <c r="W96" s="119" t="s">
        <v>2424</v>
      </c>
      <c r="X96" s="124" t="s">
        <v>2929</v>
      </c>
      <c r="Y96" s="122">
        <v>0</v>
      </c>
      <c r="Z96" s="67">
        <v>0</v>
      </c>
      <c r="AA96" s="67">
        <v>0</v>
      </c>
      <c r="AB96" s="108" t="s">
        <v>2694</v>
      </c>
      <c r="AC96" s="108" t="s">
        <v>2637</v>
      </c>
      <c r="AD96" s="66" t="s">
        <v>2645</v>
      </c>
      <c r="AE96" s="66"/>
      <c r="AF96" s="66"/>
      <c r="AG96" s="68" t="s">
        <v>45</v>
      </c>
      <c r="AH96" s="66"/>
      <c r="AI96" s="66"/>
      <c r="AJ96" s="66"/>
      <c r="AK96" s="66"/>
      <c r="AL96" s="49">
        <f>VLOOKUP(G96,VALIDACIONES!P:Q,2,0)</f>
        <v>39761723</v>
      </c>
      <c r="AM96" s="55" t="str">
        <f t="shared" si="9"/>
        <v>NADA</v>
      </c>
      <c r="AN96" s="99" t="str">
        <f t="shared" si="10"/>
        <v>NO</v>
      </c>
    </row>
    <row r="97" spans="1:40" s="55" customFormat="1">
      <c r="A97" s="141">
        <v>46185</v>
      </c>
      <c r="B97" s="139" t="str">
        <f t="shared" si="7"/>
        <v>06 A 18</v>
      </c>
      <c r="C97" s="62" t="str">
        <f t="shared" si="8"/>
        <v>10:00 a 12:00</v>
      </c>
      <c r="D97" s="62" t="s">
        <v>243</v>
      </c>
      <c r="E97" s="61">
        <v>2</v>
      </c>
      <c r="F97" s="66" t="s">
        <v>2709</v>
      </c>
      <c r="G97" s="66" t="s">
        <v>2268</v>
      </c>
      <c r="H97" s="114">
        <v>365970</v>
      </c>
      <c r="I97" s="138">
        <v>48377897</v>
      </c>
      <c r="J97" s="66" t="s">
        <v>2627</v>
      </c>
      <c r="K97" s="66" t="s">
        <v>86</v>
      </c>
      <c r="L97" s="61" t="s">
        <v>173</v>
      </c>
      <c r="M97" s="61" t="s">
        <v>173</v>
      </c>
      <c r="N97" s="61"/>
      <c r="O97" s="66" t="s">
        <v>2930</v>
      </c>
      <c r="P97" s="66" t="s">
        <v>2661</v>
      </c>
      <c r="Q97" s="65">
        <v>0.44166666666666665</v>
      </c>
      <c r="R97" s="65">
        <v>0.49027777777777776</v>
      </c>
      <c r="S97" s="65" t="s">
        <v>2931</v>
      </c>
      <c r="T97" s="65" t="s">
        <v>2424</v>
      </c>
      <c r="U97" s="65" t="s">
        <v>2424</v>
      </c>
      <c r="V97" s="65" t="s">
        <v>2424</v>
      </c>
      <c r="W97" s="119" t="s">
        <v>2424</v>
      </c>
      <c r="X97" s="124" t="s">
        <v>2932</v>
      </c>
      <c r="Y97" s="122">
        <v>0</v>
      </c>
      <c r="Z97" s="67">
        <v>1</v>
      </c>
      <c r="AA97" s="67">
        <v>0</v>
      </c>
      <c r="AB97" s="108" t="s">
        <v>2675</v>
      </c>
      <c r="AC97" s="108" t="s">
        <v>2637</v>
      </c>
      <c r="AD97" s="66" t="s">
        <v>2638</v>
      </c>
      <c r="AE97" s="66" t="s">
        <v>2651</v>
      </c>
      <c r="AF97" s="66" t="s">
        <v>2670</v>
      </c>
      <c r="AG97" s="68" t="s">
        <v>62</v>
      </c>
      <c r="AH97" s="127" t="s">
        <v>2727</v>
      </c>
      <c r="AI97" s="127" t="s">
        <v>3160</v>
      </c>
      <c r="AJ97" s="66"/>
      <c r="AK97" s="66"/>
      <c r="AL97" s="49">
        <f>VLOOKUP(G97,VALIDACIONES!P:Q,2,0)</f>
        <v>29157382</v>
      </c>
      <c r="AM97" s="55" t="str">
        <f t="shared" si="9"/>
        <v>IMPUTADO</v>
      </c>
      <c r="AN97" s="99" t="str">
        <f t="shared" si="10"/>
        <v>NO</v>
      </c>
    </row>
    <row r="98" spans="1:40" s="55" customFormat="1">
      <c r="A98" s="141">
        <v>46185</v>
      </c>
      <c r="B98" s="139" t="str">
        <f t="shared" si="7"/>
        <v>06 A 18</v>
      </c>
      <c r="C98" s="62" t="str">
        <f t="shared" si="8"/>
        <v>10:00 a 12:00</v>
      </c>
      <c r="D98" s="62" t="s">
        <v>243</v>
      </c>
      <c r="E98" s="61">
        <v>2</v>
      </c>
      <c r="F98" s="66" t="s">
        <v>2734</v>
      </c>
      <c r="G98" s="66" t="s">
        <v>1326</v>
      </c>
      <c r="H98" s="114">
        <v>366217</v>
      </c>
      <c r="I98" s="138">
        <v>48378395</v>
      </c>
      <c r="J98" s="66" t="s">
        <v>2627</v>
      </c>
      <c r="K98" s="66" t="s">
        <v>208</v>
      </c>
      <c r="L98" s="61"/>
      <c r="M98" s="61"/>
      <c r="N98" s="61"/>
      <c r="O98" s="66" t="s">
        <v>2933</v>
      </c>
      <c r="P98" s="66" t="s">
        <v>2661</v>
      </c>
      <c r="Q98" s="65">
        <v>0.49375000000000002</v>
      </c>
      <c r="R98" s="65">
        <v>0.53194444444444444</v>
      </c>
      <c r="S98" s="65">
        <v>0.49375000000000002</v>
      </c>
      <c r="T98" s="65">
        <v>0.51736111111111116</v>
      </c>
      <c r="U98" s="65" t="s">
        <v>2424</v>
      </c>
      <c r="V98" s="65" t="s">
        <v>2424</v>
      </c>
      <c r="W98" s="119" t="s">
        <v>2424</v>
      </c>
      <c r="X98" s="124" t="s">
        <v>2934</v>
      </c>
      <c r="Y98" s="122">
        <v>0</v>
      </c>
      <c r="Z98" s="67">
        <v>0</v>
      </c>
      <c r="AA98" s="67">
        <v>0</v>
      </c>
      <c r="AB98" s="108" t="s">
        <v>2675</v>
      </c>
      <c r="AC98" s="108" t="s">
        <v>2637</v>
      </c>
      <c r="AD98" s="66" t="s">
        <v>2645</v>
      </c>
      <c r="AE98" s="66"/>
      <c r="AF98" s="66"/>
      <c r="AG98" s="68" t="s">
        <v>45</v>
      </c>
      <c r="AH98" s="66"/>
      <c r="AI98" s="66"/>
      <c r="AJ98" s="66"/>
      <c r="AK98" s="66"/>
      <c r="AL98" s="49">
        <f>VLOOKUP(G98,VALIDACIONES!P:Q,2,0)</f>
        <v>32784025</v>
      </c>
      <c r="AM98" s="55" t="str">
        <f t="shared" si="9"/>
        <v>NADA</v>
      </c>
      <c r="AN98" s="99" t="str">
        <f t="shared" si="10"/>
        <v>NO</v>
      </c>
    </row>
    <row r="99" spans="1:40" s="55" customFormat="1">
      <c r="A99" s="141">
        <v>46185</v>
      </c>
      <c r="B99" s="139" t="str">
        <f t="shared" si="7"/>
        <v>06 A 18</v>
      </c>
      <c r="C99" s="62" t="str">
        <f t="shared" si="8"/>
        <v>10:00 a 12:00</v>
      </c>
      <c r="D99" s="62" t="s">
        <v>243</v>
      </c>
      <c r="E99" s="61">
        <v>2</v>
      </c>
      <c r="F99" s="66" t="s">
        <v>163</v>
      </c>
      <c r="G99" s="66" t="s">
        <v>1837</v>
      </c>
      <c r="H99" s="114">
        <v>366860</v>
      </c>
      <c r="I99" s="138">
        <v>48378361</v>
      </c>
      <c r="J99" s="66" t="s">
        <v>2627</v>
      </c>
      <c r="K99" s="66" t="s">
        <v>86</v>
      </c>
      <c r="L99" s="61" t="s">
        <v>136</v>
      </c>
      <c r="M99" s="61" t="s">
        <v>257</v>
      </c>
      <c r="N99" s="61"/>
      <c r="O99" s="66" t="s">
        <v>2935</v>
      </c>
      <c r="P99" s="66" t="s">
        <v>2639</v>
      </c>
      <c r="Q99" s="65">
        <v>0.49444444444444446</v>
      </c>
      <c r="R99" s="65">
        <v>0.53680555555555554</v>
      </c>
      <c r="S99" s="65">
        <v>0.49444444444444446</v>
      </c>
      <c r="T99" s="65" t="s">
        <v>2424</v>
      </c>
      <c r="U99" s="65" t="s">
        <v>2424</v>
      </c>
      <c r="V99" s="65" t="s">
        <v>2424</v>
      </c>
      <c r="W99" s="119" t="s">
        <v>2424</v>
      </c>
      <c r="X99" s="124" t="s">
        <v>2936</v>
      </c>
      <c r="Y99" s="122">
        <v>1</v>
      </c>
      <c r="Z99" s="67">
        <v>0</v>
      </c>
      <c r="AA99" s="67">
        <v>0</v>
      </c>
      <c r="AB99" s="108" t="s">
        <v>2640</v>
      </c>
      <c r="AC99" s="108" t="s">
        <v>2637</v>
      </c>
      <c r="AD99" s="66" t="s">
        <v>2638</v>
      </c>
      <c r="AE99" s="66"/>
      <c r="AF99" s="66" t="s">
        <v>2670</v>
      </c>
      <c r="AG99" s="68" t="s">
        <v>69</v>
      </c>
      <c r="AH99" s="66"/>
      <c r="AI99" s="66"/>
      <c r="AJ99" s="66"/>
      <c r="AK99" s="66"/>
      <c r="AL99" s="49">
        <f>VLOOKUP(G99,VALIDACIONES!P:Q,2,0)</f>
        <v>43779589</v>
      </c>
      <c r="AM99" s="55" t="str">
        <f t="shared" si="9"/>
        <v>IMPUTADO</v>
      </c>
      <c r="AN99" s="99" t="str">
        <f t="shared" si="10"/>
        <v>NO</v>
      </c>
    </row>
    <row r="100" spans="1:40" s="55" customFormat="1">
      <c r="A100" s="141">
        <v>46185</v>
      </c>
      <c r="B100" s="139" t="str">
        <f t="shared" si="7"/>
        <v>18 A 06</v>
      </c>
      <c r="C100" s="62" t="str">
        <f t="shared" si="8"/>
        <v>no corresponde</v>
      </c>
      <c r="D100" s="62" t="s">
        <v>243</v>
      </c>
      <c r="E100" s="61">
        <v>2</v>
      </c>
      <c r="F100" s="66" t="s">
        <v>2708</v>
      </c>
      <c r="G100" s="66" t="s">
        <v>2214</v>
      </c>
      <c r="H100" s="114">
        <v>366171</v>
      </c>
      <c r="I100" s="138">
        <v>48378511</v>
      </c>
      <c r="J100" s="66" t="s">
        <v>2627</v>
      </c>
      <c r="K100" s="66" t="s">
        <v>86</v>
      </c>
      <c r="L100" s="61" t="s">
        <v>76</v>
      </c>
      <c r="M100" s="61"/>
      <c r="N100" s="61"/>
      <c r="O100" s="66" t="s">
        <v>2937</v>
      </c>
      <c r="P100" s="66" t="s">
        <v>2698</v>
      </c>
      <c r="Q100" s="65">
        <v>46065</v>
      </c>
      <c r="R100" s="65">
        <v>0.55069444444444449</v>
      </c>
      <c r="S100" s="65">
        <v>0.50208333333333333</v>
      </c>
      <c r="T100" s="65" t="s">
        <v>2424</v>
      </c>
      <c r="U100" s="65" t="s">
        <v>2424</v>
      </c>
      <c r="V100" s="65" t="s">
        <v>2424</v>
      </c>
      <c r="W100" s="119" t="s">
        <v>2424</v>
      </c>
      <c r="X100" s="124" t="s">
        <v>2938</v>
      </c>
      <c r="Y100" s="122">
        <v>0</v>
      </c>
      <c r="Z100" s="67">
        <v>0</v>
      </c>
      <c r="AA100" s="67">
        <v>0</v>
      </c>
      <c r="AB100" s="108" t="s">
        <v>2715</v>
      </c>
      <c r="AC100" s="108" t="s">
        <v>2637</v>
      </c>
      <c r="AD100" s="66" t="s">
        <v>2645</v>
      </c>
      <c r="AE100" s="66"/>
      <c r="AF100" s="66"/>
      <c r="AG100" s="68" t="s">
        <v>45</v>
      </c>
      <c r="AH100" s="66"/>
      <c r="AI100" s="66"/>
      <c r="AJ100" s="66"/>
      <c r="AK100" s="66"/>
      <c r="AL100" s="49">
        <f>VLOOKUP(G100,VALIDACIONES!P:Q,2,0)</f>
        <v>33972</v>
      </c>
      <c r="AM100" s="55" t="str">
        <f t="shared" si="9"/>
        <v>NADA</v>
      </c>
      <c r="AN100" s="99" t="str">
        <f t="shared" si="10"/>
        <v>NO</v>
      </c>
    </row>
    <row r="101" spans="1:40" s="55" customFormat="1">
      <c r="A101" s="141">
        <v>46185</v>
      </c>
      <c r="B101" s="139" t="str">
        <f t="shared" si="7"/>
        <v>06 A 18</v>
      </c>
      <c r="C101" s="62" t="str">
        <f t="shared" si="8"/>
        <v>12:00 a 14:00</v>
      </c>
      <c r="D101" s="62" t="s">
        <v>243</v>
      </c>
      <c r="E101" s="61">
        <v>2</v>
      </c>
      <c r="F101" s="66" t="s">
        <v>2708</v>
      </c>
      <c r="G101" s="66" t="s">
        <v>380</v>
      </c>
      <c r="H101" s="114">
        <v>366120</v>
      </c>
      <c r="I101" s="138">
        <v>48378583</v>
      </c>
      <c r="J101" s="66" t="s">
        <v>2627</v>
      </c>
      <c r="K101" s="66" t="s">
        <v>152</v>
      </c>
      <c r="L101" s="61"/>
      <c r="M101" s="61"/>
      <c r="N101" s="61"/>
      <c r="O101" s="66" t="s">
        <v>2939</v>
      </c>
      <c r="P101" s="66" t="s">
        <v>2673</v>
      </c>
      <c r="Q101" s="65">
        <v>0.5131944444444444</v>
      </c>
      <c r="R101" s="65">
        <v>0.52638888888888891</v>
      </c>
      <c r="S101" s="65">
        <v>0.51458333333333328</v>
      </c>
      <c r="T101" s="65" t="s">
        <v>2424</v>
      </c>
      <c r="U101" s="65" t="s">
        <v>2424</v>
      </c>
      <c r="V101" s="65" t="s">
        <v>2424</v>
      </c>
      <c r="W101" s="119" t="s">
        <v>2424</v>
      </c>
      <c r="X101" s="124" t="s">
        <v>2940</v>
      </c>
      <c r="Y101" s="122">
        <v>0</v>
      </c>
      <c r="Z101" s="67">
        <v>0</v>
      </c>
      <c r="AA101" s="67">
        <v>0</v>
      </c>
      <c r="AB101" s="108" t="s">
        <v>2674</v>
      </c>
      <c r="AC101" s="108" t="s">
        <v>2637</v>
      </c>
      <c r="AD101" s="66" t="s">
        <v>2638</v>
      </c>
      <c r="AE101" s="66"/>
      <c r="AF101" s="66"/>
      <c r="AG101" s="68" t="s">
        <v>45</v>
      </c>
      <c r="AH101" s="66"/>
      <c r="AI101" s="66"/>
      <c r="AJ101" s="66"/>
      <c r="AK101" s="66"/>
      <c r="AL101" s="49">
        <f>VLOOKUP(G101,VALIDACIONES!P:Q,2,0)</f>
        <v>32003476</v>
      </c>
      <c r="AM101" s="55" t="str">
        <f t="shared" si="9"/>
        <v>NADA</v>
      </c>
      <c r="AN101" s="99" t="str">
        <f t="shared" si="10"/>
        <v>NO</v>
      </c>
    </row>
    <row r="102" spans="1:40" s="55" customFormat="1">
      <c r="A102" s="141">
        <v>46185</v>
      </c>
      <c r="B102" s="139" t="str">
        <f t="shared" si="7"/>
        <v>06 A 18</v>
      </c>
      <c r="C102" s="62" t="str">
        <f t="shared" si="8"/>
        <v>12:00 a 14:00</v>
      </c>
      <c r="D102" s="62" t="s">
        <v>243</v>
      </c>
      <c r="E102" s="61">
        <v>2</v>
      </c>
      <c r="F102" s="66" t="s">
        <v>163</v>
      </c>
      <c r="G102" s="66" t="s">
        <v>549</v>
      </c>
      <c r="H102" s="114">
        <v>366430</v>
      </c>
      <c r="I102" s="138">
        <v>48378666</v>
      </c>
      <c r="J102" s="66" t="s">
        <v>2627</v>
      </c>
      <c r="K102" s="66" t="s">
        <v>86</v>
      </c>
      <c r="L102" s="61" t="s">
        <v>19</v>
      </c>
      <c r="M102" s="61"/>
      <c r="N102" s="61"/>
      <c r="O102" s="66" t="s">
        <v>2941</v>
      </c>
      <c r="P102" s="66" t="s">
        <v>2639</v>
      </c>
      <c r="Q102" s="65">
        <v>0.52013888888888893</v>
      </c>
      <c r="R102" s="65">
        <v>0.56944444444444442</v>
      </c>
      <c r="S102" s="65">
        <v>0.53333333333333333</v>
      </c>
      <c r="T102" s="65" t="s">
        <v>2424</v>
      </c>
      <c r="U102" s="65" t="s">
        <v>2424</v>
      </c>
      <c r="V102" s="65" t="s">
        <v>2424</v>
      </c>
      <c r="W102" s="119" t="s">
        <v>2424</v>
      </c>
      <c r="X102" s="124" t="s">
        <v>2942</v>
      </c>
      <c r="Y102" s="122">
        <v>0</v>
      </c>
      <c r="Z102" s="67">
        <v>0</v>
      </c>
      <c r="AA102" s="67">
        <v>0</v>
      </c>
      <c r="AB102" s="108" t="s">
        <v>2640</v>
      </c>
      <c r="AC102" s="108" t="s">
        <v>2637</v>
      </c>
      <c r="AD102" s="66" t="s">
        <v>2690</v>
      </c>
      <c r="AE102" s="66"/>
      <c r="AF102" s="66"/>
      <c r="AG102" s="68" t="s">
        <v>45</v>
      </c>
      <c r="AH102" s="66"/>
      <c r="AI102" s="66"/>
      <c r="AJ102" s="66"/>
      <c r="AK102" s="66"/>
      <c r="AL102" s="49">
        <f>VLOOKUP(G102,VALIDACIONES!P:Q,2,0)</f>
        <v>12884</v>
      </c>
      <c r="AM102" s="55" t="str">
        <f t="shared" si="9"/>
        <v>NADA</v>
      </c>
      <c r="AN102" s="99" t="str">
        <f t="shared" si="10"/>
        <v>NO</v>
      </c>
    </row>
    <row r="103" spans="1:40" s="55" customFormat="1">
      <c r="A103" s="141">
        <v>46185</v>
      </c>
      <c r="B103" s="139" t="str">
        <f t="shared" si="7"/>
        <v>06 A 18</v>
      </c>
      <c r="C103" s="62" t="str">
        <f t="shared" si="8"/>
        <v>12:00 a 14:00</v>
      </c>
      <c r="D103" s="62" t="s">
        <v>243</v>
      </c>
      <c r="E103" s="61">
        <v>2</v>
      </c>
      <c r="F103" s="66" t="s">
        <v>215</v>
      </c>
      <c r="G103" s="66" t="s">
        <v>272</v>
      </c>
      <c r="H103" s="114">
        <v>366224</v>
      </c>
      <c r="I103" s="138">
        <v>48378766</v>
      </c>
      <c r="J103" s="66" t="s">
        <v>2629</v>
      </c>
      <c r="K103" s="66" t="s">
        <v>166</v>
      </c>
      <c r="L103" s="61"/>
      <c r="M103" s="61"/>
      <c r="N103" s="61"/>
      <c r="O103" s="66" t="s">
        <v>2943</v>
      </c>
      <c r="P103" s="66" t="s">
        <v>2691</v>
      </c>
      <c r="Q103" s="65">
        <v>0.52777777777777779</v>
      </c>
      <c r="R103" s="65"/>
      <c r="S103" s="65"/>
      <c r="T103" s="65" t="s">
        <v>2424</v>
      </c>
      <c r="U103" s="65" t="s">
        <v>2424</v>
      </c>
      <c r="V103" s="65" t="s">
        <v>2424</v>
      </c>
      <c r="W103" s="119" t="s">
        <v>2424</v>
      </c>
      <c r="X103" s="124" t="s">
        <v>2944</v>
      </c>
      <c r="Y103" s="122">
        <v>0</v>
      </c>
      <c r="Z103" s="67">
        <v>0</v>
      </c>
      <c r="AA103" s="67">
        <v>0</v>
      </c>
      <c r="AB103" s="108" t="s">
        <v>2945</v>
      </c>
      <c r="AC103" s="108" t="s">
        <v>2637</v>
      </c>
      <c r="AD103" s="66" t="s">
        <v>2645</v>
      </c>
      <c r="AE103" s="66"/>
      <c r="AF103" s="107"/>
      <c r="AG103" s="68" t="s">
        <v>45</v>
      </c>
      <c r="AH103" s="66"/>
      <c r="AI103" s="66"/>
      <c r="AJ103" s="66"/>
      <c r="AK103" s="66"/>
      <c r="AL103" s="49">
        <f>VLOOKUP(G103,VALIDACIONES!P:Q,2,0)</f>
        <v>20351386</v>
      </c>
      <c r="AM103" s="55" t="str">
        <f t="shared" si="9"/>
        <v>NADA</v>
      </c>
      <c r="AN103" s="99" t="str">
        <f t="shared" si="10"/>
        <v>NO</v>
      </c>
    </row>
    <row r="104" spans="1:40" s="55" customFormat="1">
      <c r="A104" s="141">
        <v>46185</v>
      </c>
      <c r="B104" s="139" t="str">
        <f t="shared" si="7"/>
        <v>06 A 18</v>
      </c>
      <c r="C104" s="62" t="str">
        <f t="shared" si="8"/>
        <v>12:00 a 14:00</v>
      </c>
      <c r="D104" s="62" t="s">
        <v>243</v>
      </c>
      <c r="E104" s="61">
        <v>2</v>
      </c>
      <c r="F104" s="66" t="s">
        <v>2708</v>
      </c>
      <c r="G104" s="66" t="s">
        <v>549</v>
      </c>
      <c r="H104" s="114">
        <v>366487</v>
      </c>
      <c r="I104" s="138">
        <v>48378725</v>
      </c>
      <c r="J104" s="66" t="s">
        <v>2627</v>
      </c>
      <c r="K104" s="66" t="s">
        <v>203</v>
      </c>
      <c r="L104" s="61"/>
      <c r="M104" s="61"/>
      <c r="N104" s="61"/>
      <c r="O104" s="66" t="s">
        <v>2946</v>
      </c>
      <c r="P104" s="66" t="s">
        <v>2639</v>
      </c>
      <c r="Q104" s="65">
        <v>0.54305555555555551</v>
      </c>
      <c r="R104" s="65">
        <v>0.55902777777777779</v>
      </c>
      <c r="S104" s="65">
        <v>0.54097222222222219</v>
      </c>
      <c r="T104" s="65">
        <v>0.5493055555555556</v>
      </c>
      <c r="U104" s="65" t="s">
        <v>2424</v>
      </c>
      <c r="V104" s="65" t="s">
        <v>2424</v>
      </c>
      <c r="W104" s="119" t="s">
        <v>2424</v>
      </c>
      <c r="X104" s="124" t="s">
        <v>2947</v>
      </c>
      <c r="Y104" s="122">
        <v>0</v>
      </c>
      <c r="Z104" s="67">
        <v>0</v>
      </c>
      <c r="AA104" s="67">
        <v>0</v>
      </c>
      <c r="AB104" s="108" t="s">
        <v>2640</v>
      </c>
      <c r="AC104" s="108" t="s">
        <v>2637</v>
      </c>
      <c r="AD104" s="66" t="s">
        <v>2645</v>
      </c>
      <c r="AE104" s="66"/>
      <c r="AF104" s="66"/>
      <c r="AG104" s="68" t="s">
        <v>45</v>
      </c>
      <c r="AH104" s="66"/>
      <c r="AI104" s="66"/>
      <c r="AJ104" s="66"/>
      <c r="AK104" s="66"/>
      <c r="AL104" s="49">
        <f>VLOOKUP(G104,VALIDACIONES!P:Q,2,0)</f>
        <v>12884</v>
      </c>
      <c r="AM104" s="55" t="str">
        <f t="shared" si="9"/>
        <v>NADA</v>
      </c>
      <c r="AN104" s="99" t="str">
        <f t="shared" si="10"/>
        <v>NO</v>
      </c>
    </row>
    <row r="105" spans="1:40" s="55" customFormat="1">
      <c r="A105" s="141">
        <v>46185</v>
      </c>
      <c r="B105" s="139" t="str">
        <f t="shared" si="7"/>
        <v>06 A 18</v>
      </c>
      <c r="C105" s="62" t="str">
        <f t="shared" si="8"/>
        <v>10:00 a 12:00</v>
      </c>
      <c r="D105" s="62" t="s">
        <v>243</v>
      </c>
      <c r="E105" s="61">
        <v>2</v>
      </c>
      <c r="F105" s="66" t="s">
        <v>2734</v>
      </c>
      <c r="G105" s="66" t="s">
        <v>2098</v>
      </c>
      <c r="H105" s="114">
        <v>366136</v>
      </c>
      <c r="I105" s="138">
        <v>48378025</v>
      </c>
      <c r="J105" s="66" t="s">
        <v>2627</v>
      </c>
      <c r="K105" s="66" t="s">
        <v>100</v>
      </c>
      <c r="L105" s="61"/>
      <c r="M105" s="61" t="s">
        <v>213</v>
      </c>
      <c r="N105" s="61"/>
      <c r="O105" s="66" t="s">
        <v>2948</v>
      </c>
      <c r="P105" s="66" t="s">
        <v>2673</v>
      </c>
      <c r="Q105" s="65">
        <v>0.44027777777777777</v>
      </c>
      <c r="R105" s="65">
        <v>0.47291666666666665</v>
      </c>
      <c r="S105" s="65" t="s">
        <v>2949</v>
      </c>
      <c r="T105" s="65" t="s">
        <v>2424</v>
      </c>
      <c r="U105" s="65" t="s">
        <v>2424</v>
      </c>
      <c r="V105" s="65" t="s">
        <v>2424</v>
      </c>
      <c r="W105" s="119" t="s">
        <v>2424</v>
      </c>
      <c r="X105" s="124" t="s">
        <v>2950</v>
      </c>
      <c r="Y105" s="122">
        <v>1</v>
      </c>
      <c r="Z105" s="67">
        <v>0</v>
      </c>
      <c r="AA105" s="67">
        <v>0</v>
      </c>
      <c r="AB105" s="108" t="s">
        <v>2694</v>
      </c>
      <c r="AC105" s="108" t="s">
        <v>2637</v>
      </c>
      <c r="AD105" s="66" t="s">
        <v>2638</v>
      </c>
      <c r="AE105" s="66"/>
      <c r="AF105" s="66"/>
      <c r="AG105" s="68" t="s">
        <v>54</v>
      </c>
      <c r="AH105" s="66"/>
      <c r="AI105" s="66"/>
      <c r="AJ105" s="66"/>
      <c r="AK105" s="66"/>
      <c r="AL105" s="49">
        <f>VLOOKUP(G105,VALIDACIONES!P:Q,2,0)</f>
        <v>39344532</v>
      </c>
      <c r="AM105" s="55" t="str">
        <f t="shared" si="9"/>
        <v>IMPUTADO</v>
      </c>
      <c r="AN105" s="99" t="str">
        <f t="shared" si="10"/>
        <v>NO</v>
      </c>
    </row>
    <row r="106" spans="1:40" s="55" customFormat="1">
      <c r="A106" s="141">
        <v>46185</v>
      </c>
      <c r="B106" s="139" t="str">
        <f t="shared" si="7"/>
        <v>06 A 18</v>
      </c>
      <c r="C106" s="62" t="str">
        <f t="shared" si="8"/>
        <v>12:00 a 14:00</v>
      </c>
      <c r="D106" s="62" t="s">
        <v>243</v>
      </c>
      <c r="E106" s="61">
        <v>2</v>
      </c>
      <c r="F106" s="66" t="s">
        <v>2734</v>
      </c>
      <c r="G106" s="66" t="s">
        <v>365</v>
      </c>
      <c r="H106" s="114">
        <v>366243</v>
      </c>
      <c r="I106" s="138">
        <v>48378877</v>
      </c>
      <c r="J106" s="66" t="s">
        <v>2627</v>
      </c>
      <c r="K106" s="66" t="s">
        <v>86</v>
      </c>
      <c r="L106" s="61" t="s">
        <v>136</v>
      </c>
      <c r="M106" s="61" t="s">
        <v>237</v>
      </c>
      <c r="N106" s="61"/>
      <c r="O106" s="66" t="s">
        <v>2951</v>
      </c>
      <c r="P106" s="66" t="s">
        <v>2693</v>
      </c>
      <c r="Q106" s="65">
        <v>0.54374999999999996</v>
      </c>
      <c r="R106" s="65">
        <v>0.57638888888888884</v>
      </c>
      <c r="S106" s="65">
        <v>0.54374999999999996</v>
      </c>
      <c r="T106" s="65" t="s">
        <v>2424</v>
      </c>
      <c r="U106" s="65" t="s">
        <v>2424</v>
      </c>
      <c r="V106" s="65" t="s">
        <v>2424</v>
      </c>
      <c r="W106" s="119" t="s">
        <v>2424</v>
      </c>
      <c r="X106" s="124" t="s">
        <v>2952</v>
      </c>
      <c r="Y106" s="122">
        <v>1</v>
      </c>
      <c r="Z106" s="67">
        <v>0</v>
      </c>
      <c r="AA106" s="67">
        <v>0</v>
      </c>
      <c r="AB106" s="108" t="s">
        <v>2679</v>
      </c>
      <c r="AC106" s="108" t="s">
        <v>2637</v>
      </c>
      <c r="AD106" s="66" t="s">
        <v>2638</v>
      </c>
      <c r="AE106" s="66"/>
      <c r="AF106" s="66" t="s">
        <v>2723</v>
      </c>
      <c r="AG106" s="68" t="s">
        <v>62</v>
      </c>
      <c r="AH106" s="66"/>
      <c r="AI106" s="66"/>
      <c r="AJ106" s="66"/>
      <c r="AK106" s="66"/>
      <c r="AL106" s="49">
        <f>VLOOKUP(G106,VALIDACIONES!P:Q,2,0)</f>
        <v>32445282</v>
      </c>
      <c r="AM106" s="55" t="str">
        <f t="shared" si="9"/>
        <v>IMPUTADO</v>
      </c>
      <c r="AN106" s="99" t="str">
        <f t="shared" si="10"/>
        <v>NO</v>
      </c>
    </row>
    <row r="107" spans="1:40" s="55" customFormat="1">
      <c r="A107" s="141">
        <v>46185</v>
      </c>
      <c r="B107" s="139" t="str">
        <f t="shared" si="7"/>
        <v>06 A 18</v>
      </c>
      <c r="C107" s="62" t="str">
        <f t="shared" si="8"/>
        <v>12:00 a 14:00</v>
      </c>
      <c r="D107" s="62" t="s">
        <v>243</v>
      </c>
      <c r="E107" s="61">
        <v>2</v>
      </c>
      <c r="F107" s="66" t="s">
        <v>2734</v>
      </c>
      <c r="G107" s="66" t="s">
        <v>1830</v>
      </c>
      <c r="H107" s="114">
        <v>366749</v>
      </c>
      <c r="I107" s="138">
        <v>48378479</v>
      </c>
      <c r="J107" s="66" t="s">
        <v>2627</v>
      </c>
      <c r="K107" s="66" t="s">
        <v>145</v>
      </c>
      <c r="L107" s="61"/>
      <c r="M107" s="61"/>
      <c r="N107" s="61"/>
      <c r="O107" s="66" t="s">
        <v>2953</v>
      </c>
      <c r="P107" s="66" t="s">
        <v>2666</v>
      </c>
      <c r="Q107" s="65">
        <v>0.50902777777777775</v>
      </c>
      <c r="R107" s="65">
        <v>0.59236111111111112</v>
      </c>
      <c r="S107" s="65">
        <v>0.51041666666666663</v>
      </c>
      <c r="T107" s="65" t="s">
        <v>2424</v>
      </c>
      <c r="U107" s="65" t="s">
        <v>2424</v>
      </c>
      <c r="V107" s="65" t="s">
        <v>2424</v>
      </c>
      <c r="W107" s="119" t="s">
        <v>2424</v>
      </c>
      <c r="X107" s="124" t="s">
        <v>2954</v>
      </c>
      <c r="Y107" s="122">
        <v>0</v>
      </c>
      <c r="Z107" s="67">
        <v>0</v>
      </c>
      <c r="AA107" s="67">
        <v>0</v>
      </c>
      <c r="AB107" s="108" t="s">
        <v>2656</v>
      </c>
      <c r="AC107" s="108" t="s">
        <v>2637</v>
      </c>
      <c r="AD107" s="66" t="s">
        <v>2638</v>
      </c>
      <c r="AE107" s="66"/>
      <c r="AF107" s="66"/>
      <c r="AG107" s="68" t="s">
        <v>45</v>
      </c>
      <c r="AH107" s="66"/>
      <c r="AI107" s="66"/>
      <c r="AJ107" s="66"/>
      <c r="AK107" s="66"/>
      <c r="AL107" s="49">
        <f>VLOOKUP(G107,VALIDACIONES!P:Q,2,0)</f>
        <v>36992993</v>
      </c>
      <c r="AM107" s="55" t="str">
        <f t="shared" si="9"/>
        <v>NADA</v>
      </c>
      <c r="AN107" s="99" t="str">
        <f t="shared" si="10"/>
        <v>NO</v>
      </c>
    </row>
    <row r="108" spans="1:40" s="55" customFormat="1">
      <c r="A108" s="141">
        <v>46185</v>
      </c>
      <c r="B108" s="139" t="str">
        <f t="shared" si="7"/>
        <v>06 A 18</v>
      </c>
      <c r="C108" s="62" t="str">
        <f t="shared" si="8"/>
        <v>12:00 a 14:00</v>
      </c>
      <c r="D108" s="62" t="s">
        <v>243</v>
      </c>
      <c r="E108" s="61">
        <v>2</v>
      </c>
      <c r="F108" s="66" t="s">
        <v>2734</v>
      </c>
      <c r="G108" s="66" t="s">
        <v>632</v>
      </c>
      <c r="H108" s="114">
        <v>366209</v>
      </c>
      <c r="I108" s="138">
        <v>48378260</v>
      </c>
      <c r="J108" s="66" t="s">
        <v>2627</v>
      </c>
      <c r="K108" s="66" t="s">
        <v>86</v>
      </c>
      <c r="L108" s="61" t="s">
        <v>158</v>
      </c>
      <c r="M108" s="61"/>
      <c r="N108" s="61"/>
      <c r="O108" s="66" t="s">
        <v>2955</v>
      </c>
      <c r="P108" s="66" t="s">
        <v>2655</v>
      </c>
      <c r="Q108" s="65">
        <v>0.5229166666666667</v>
      </c>
      <c r="R108" s="65">
        <v>0.52777777777777779</v>
      </c>
      <c r="S108" s="65">
        <v>0.5229166666666667</v>
      </c>
      <c r="T108" s="65" t="s">
        <v>2424</v>
      </c>
      <c r="U108" s="65">
        <v>0.5229166666666667</v>
      </c>
      <c r="V108" s="65" t="s">
        <v>2424</v>
      </c>
      <c r="W108" s="119" t="s">
        <v>2424</v>
      </c>
      <c r="X108" s="124" t="s">
        <v>2956</v>
      </c>
      <c r="Y108" s="122">
        <v>0</v>
      </c>
      <c r="Z108" s="67">
        <v>0</v>
      </c>
      <c r="AA108" s="67">
        <v>1</v>
      </c>
      <c r="AB108" s="108" t="s">
        <v>2654</v>
      </c>
      <c r="AC108" s="108" t="s">
        <v>2637</v>
      </c>
      <c r="AD108" s="66" t="s">
        <v>2638</v>
      </c>
      <c r="AE108" s="66"/>
      <c r="AF108" s="107" t="s">
        <v>2669</v>
      </c>
      <c r="AG108" s="68" t="s">
        <v>45</v>
      </c>
      <c r="AH108" s="66"/>
      <c r="AI108" s="66"/>
      <c r="AJ108" s="66"/>
      <c r="AK108" s="66"/>
      <c r="AL108" s="49">
        <f>VLOOKUP(G108,VALIDACIONES!P:Q,2,0)</f>
        <v>34949458</v>
      </c>
      <c r="AM108" s="55" t="str">
        <f t="shared" si="9"/>
        <v>NADA</v>
      </c>
      <c r="AN108" s="99" t="str">
        <f t="shared" si="10"/>
        <v>NO</v>
      </c>
    </row>
    <row r="109" spans="1:40" s="55" customFormat="1">
      <c r="A109" s="141">
        <v>46185</v>
      </c>
      <c r="B109" s="139" t="str">
        <f t="shared" si="7"/>
        <v>06 A 18</v>
      </c>
      <c r="C109" s="62" t="str">
        <f t="shared" si="8"/>
        <v>12:00 a 14:00</v>
      </c>
      <c r="D109" s="62" t="s">
        <v>243</v>
      </c>
      <c r="E109" s="61">
        <v>2</v>
      </c>
      <c r="F109" s="66" t="s">
        <v>163</v>
      </c>
      <c r="G109" s="66" t="s">
        <v>2602</v>
      </c>
      <c r="H109" s="114">
        <v>366252</v>
      </c>
      <c r="I109" s="138">
        <v>48378990</v>
      </c>
      <c r="J109" s="66" t="s">
        <v>2627</v>
      </c>
      <c r="K109" s="66" t="s">
        <v>86</v>
      </c>
      <c r="L109" s="61" t="s">
        <v>76</v>
      </c>
      <c r="M109" s="61" t="s">
        <v>130</v>
      </c>
      <c r="N109" s="61"/>
      <c r="O109" s="66" t="s">
        <v>2957</v>
      </c>
      <c r="P109" s="66" t="s">
        <v>2639</v>
      </c>
      <c r="Q109" s="65">
        <v>0.55694444444444446</v>
      </c>
      <c r="R109" s="65">
        <v>0.56944444444444442</v>
      </c>
      <c r="S109" s="65">
        <v>0.55694444444444446</v>
      </c>
      <c r="T109" s="65">
        <v>0.55902777777777779</v>
      </c>
      <c r="U109" s="65" t="s">
        <v>2424</v>
      </c>
      <c r="V109" s="65" t="s">
        <v>2424</v>
      </c>
      <c r="W109" s="119" t="s">
        <v>2424</v>
      </c>
      <c r="X109" s="124" t="s">
        <v>2958</v>
      </c>
      <c r="Y109" s="122">
        <v>0</v>
      </c>
      <c r="Z109" s="67">
        <v>1</v>
      </c>
      <c r="AA109" s="67">
        <v>0</v>
      </c>
      <c r="AB109" s="108" t="s">
        <v>2640</v>
      </c>
      <c r="AC109" s="108" t="s">
        <v>2637</v>
      </c>
      <c r="AD109" s="66" t="s">
        <v>2638</v>
      </c>
      <c r="AE109" s="66"/>
      <c r="AF109" s="66" t="s">
        <v>2959</v>
      </c>
      <c r="AG109" s="68" t="s">
        <v>62</v>
      </c>
      <c r="AH109" s="107"/>
      <c r="AI109" s="66"/>
      <c r="AJ109" s="66"/>
      <c r="AK109" s="66"/>
      <c r="AL109" s="49">
        <f>VLOOKUP(G109,VALIDACIONES!P:Q,2,0)</f>
        <v>40097155</v>
      </c>
      <c r="AM109" s="55" t="str">
        <f t="shared" si="9"/>
        <v>IMPUTADO</v>
      </c>
      <c r="AN109" s="99" t="str">
        <f t="shared" si="10"/>
        <v>NO</v>
      </c>
    </row>
    <row r="110" spans="1:40" s="55" customFormat="1">
      <c r="A110" s="141">
        <v>46185</v>
      </c>
      <c r="B110" s="139" t="str">
        <f t="shared" si="7"/>
        <v>06 A 18</v>
      </c>
      <c r="C110" s="62" t="str">
        <f t="shared" si="8"/>
        <v>12:00 a 14:00</v>
      </c>
      <c r="D110" s="62" t="s">
        <v>243</v>
      </c>
      <c r="E110" s="61">
        <v>2</v>
      </c>
      <c r="F110" s="66" t="s">
        <v>2708</v>
      </c>
      <c r="G110" s="66" t="s">
        <v>1173</v>
      </c>
      <c r="H110" s="114">
        <v>366234</v>
      </c>
      <c r="I110" s="138">
        <v>48378976</v>
      </c>
      <c r="J110" s="66" t="s">
        <v>2627</v>
      </c>
      <c r="K110" s="66" t="s">
        <v>86</v>
      </c>
      <c r="L110" s="61" t="s">
        <v>173</v>
      </c>
      <c r="M110" s="61" t="s">
        <v>173</v>
      </c>
      <c r="N110" s="61"/>
      <c r="O110" s="66" t="s">
        <v>2960</v>
      </c>
      <c r="P110" s="66" t="s">
        <v>2652</v>
      </c>
      <c r="Q110" s="65">
        <v>0.55208333333333337</v>
      </c>
      <c r="R110" s="65">
        <v>0.5756944444444444</v>
      </c>
      <c r="S110" s="65">
        <v>0.55208333333333337</v>
      </c>
      <c r="T110" s="65" t="s">
        <v>2424</v>
      </c>
      <c r="U110" s="65" t="s">
        <v>2424</v>
      </c>
      <c r="V110" s="65" t="s">
        <v>2424</v>
      </c>
      <c r="W110" s="119" t="s">
        <v>2424</v>
      </c>
      <c r="X110" s="124" t="s">
        <v>2961</v>
      </c>
      <c r="Y110" s="122">
        <v>0</v>
      </c>
      <c r="Z110" s="67">
        <v>1</v>
      </c>
      <c r="AA110" s="67">
        <v>0</v>
      </c>
      <c r="AB110" s="134" t="s">
        <v>2653</v>
      </c>
      <c r="AC110" s="108" t="s">
        <v>2637</v>
      </c>
      <c r="AD110" s="66" t="s">
        <v>2638</v>
      </c>
      <c r="AE110" s="66"/>
      <c r="AF110" s="127" t="s">
        <v>2681</v>
      </c>
      <c r="AG110" s="68" t="s">
        <v>62</v>
      </c>
      <c r="AH110" s="66"/>
      <c r="AI110" s="66"/>
      <c r="AJ110" s="66"/>
      <c r="AK110" s="66"/>
      <c r="AL110" s="49">
        <f>VLOOKUP(G110,VALIDACIONES!P:Q,2,0)</f>
        <v>42192687</v>
      </c>
      <c r="AM110" s="55" t="str">
        <f t="shared" si="9"/>
        <v>IMPUTADO</v>
      </c>
      <c r="AN110" s="99" t="str">
        <f t="shared" si="10"/>
        <v>NO</v>
      </c>
    </row>
    <row r="111" spans="1:40" s="55" customFormat="1">
      <c r="A111" s="141">
        <v>46185</v>
      </c>
      <c r="B111" s="139" t="str">
        <f t="shared" si="7"/>
        <v>06 A 18</v>
      </c>
      <c r="C111" s="62" t="str">
        <f t="shared" si="8"/>
        <v>12:00 a 14:00</v>
      </c>
      <c r="D111" s="62" t="s">
        <v>243</v>
      </c>
      <c r="E111" s="61">
        <v>2</v>
      </c>
      <c r="F111" s="66" t="s">
        <v>2709</v>
      </c>
      <c r="G111" s="66" t="s">
        <v>1628</v>
      </c>
      <c r="H111" s="114">
        <v>366247</v>
      </c>
      <c r="I111" s="138">
        <v>48379105</v>
      </c>
      <c r="J111" s="66" t="s">
        <v>2627</v>
      </c>
      <c r="K111" s="66" t="s">
        <v>145</v>
      </c>
      <c r="L111" s="61"/>
      <c r="M111" s="61"/>
      <c r="N111" s="61"/>
      <c r="O111" s="66" t="s">
        <v>2962</v>
      </c>
      <c r="P111" s="66" t="s">
        <v>2639</v>
      </c>
      <c r="Q111" s="65">
        <v>0.56736111111111109</v>
      </c>
      <c r="R111" s="65">
        <v>0.57777777777777772</v>
      </c>
      <c r="S111" s="65">
        <v>0.56805555555555554</v>
      </c>
      <c r="T111" s="65" t="s">
        <v>2424</v>
      </c>
      <c r="U111" s="65" t="s">
        <v>2424</v>
      </c>
      <c r="V111" s="65" t="s">
        <v>2424</v>
      </c>
      <c r="W111" s="119" t="s">
        <v>2424</v>
      </c>
      <c r="X111" s="124" t="s">
        <v>2963</v>
      </c>
      <c r="Y111" s="122">
        <v>0</v>
      </c>
      <c r="Z111" s="67">
        <v>0</v>
      </c>
      <c r="AA111" s="67">
        <v>0</v>
      </c>
      <c r="AB111" s="108" t="s">
        <v>2640</v>
      </c>
      <c r="AC111" s="108" t="s">
        <v>2637</v>
      </c>
      <c r="AD111" s="66" t="s">
        <v>2638</v>
      </c>
      <c r="AE111" s="66"/>
      <c r="AF111" s="66"/>
      <c r="AG111" s="68" t="s">
        <v>45</v>
      </c>
      <c r="AH111" s="66"/>
      <c r="AI111" s="66"/>
      <c r="AJ111" s="66"/>
      <c r="AK111" s="66"/>
      <c r="AL111" s="49">
        <f>VLOOKUP(G111,VALIDACIONES!P:Q,2,0)</f>
        <v>43998966</v>
      </c>
      <c r="AM111" s="55" t="str">
        <f t="shared" si="9"/>
        <v>NADA</v>
      </c>
      <c r="AN111" s="99" t="str">
        <f t="shared" si="10"/>
        <v>NO</v>
      </c>
    </row>
    <row r="112" spans="1:40" s="55" customFormat="1">
      <c r="A112" s="141">
        <v>46185</v>
      </c>
      <c r="B112" s="139" t="str">
        <f t="shared" si="7"/>
        <v>06 A 18</v>
      </c>
      <c r="C112" s="62" t="str">
        <f t="shared" si="8"/>
        <v>12:00 a 14:00</v>
      </c>
      <c r="D112" s="62" t="s">
        <v>243</v>
      </c>
      <c r="E112" s="61">
        <v>2</v>
      </c>
      <c r="F112" s="66" t="s">
        <v>2708</v>
      </c>
      <c r="G112" s="66" t="s">
        <v>528</v>
      </c>
      <c r="H112" s="114">
        <v>366720</v>
      </c>
      <c r="I112" s="138">
        <v>48378855</v>
      </c>
      <c r="J112" s="66" t="s">
        <v>2627</v>
      </c>
      <c r="K112" s="66" t="s">
        <v>86</v>
      </c>
      <c r="L112" s="61" t="s">
        <v>185</v>
      </c>
      <c r="M112" s="61"/>
      <c r="N112" s="61"/>
      <c r="O112" s="66" t="s">
        <v>2964</v>
      </c>
      <c r="P112" s="66" t="s">
        <v>2655</v>
      </c>
      <c r="Q112" s="65">
        <v>0.55763888888888891</v>
      </c>
      <c r="R112" s="65">
        <v>0.58888888888888891</v>
      </c>
      <c r="S112" s="65">
        <v>0.55763888888888891</v>
      </c>
      <c r="T112" s="65">
        <v>0.55763888888888891</v>
      </c>
      <c r="U112" s="65" t="s">
        <v>2424</v>
      </c>
      <c r="V112" s="65" t="s">
        <v>2424</v>
      </c>
      <c r="W112" s="119" t="s">
        <v>2424</v>
      </c>
      <c r="X112" s="124" t="s">
        <v>2965</v>
      </c>
      <c r="Y112" s="122">
        <v>0</v>
      </c>
      <c r="Z112" s="67">
        <v>0</v>
      </c>
      <c r="AA112" s="67">
        <v>0</v>
      </c>
      <c r="AB112" s="108" t="s">
        <v>2656</v>
      </c>
      <c r="AC112" s="108" t="s">
        <v>2637</v>
      </c>
      <c r="AD112" s="66" t="s">
        <v>2638</v>
      </c>
      <c r="AE112" s="66"/>
      <c r="AF112" s="66"/>
      <c r="AG112" s="68" t="s">
        <v>45</v>
      </c>
      <c r="AH112" s="66"/>
      <c r="AI112" s="66"/>
      <c r="AJ112" s="66"/>
      <c r="AK112" s="66"/>
      <c r="AL112" s="49">
        <f>VLOOKUP(G112,VALIDACIONES!P:Q,2,0)</f>
        <v>18880507</v>
      </c>
      <c r="AM112" s="55" t="str">
        <f t="shared" si="9"/>
        <v>NADA</v>
      </c>
      <c r="AN112" s="99" t="str">
        <f t="shared" si="10"/>
        <v>NO</v>
      </c>
    </row>
    <row r="113" spans="1:40" s="55" customFormat="1">
      <c r="A113" s="141">
        <v>46185</v>
      </c>
      <c r="B113" s="139" t="str">
        <f t="shared" si="7"/>
        <v>06 A 18</v>
      </c>
      <c r="C113" s="62" t="str">
        <f t="shared" si="8"/>
        <v>12:00 a 14:00</v>
      </c>
      <c r="D113" s="62" t="s">
        <v>243</v>
      </c>
      <c r="E113" s="61">
        <v>2</v>
      </c>
      <c r="F113" s="66" t="s">
        <v>2708</v>
      </c>
      <c r="G113" s="66" t="s">
        <v>1962</v>
      </c>
      <c r="H113" s="114">
        <v>366365</v>
      </c>
      <c r="I113" s="138">
        <v>48378493</v>
      </c>
      <c r="J113" s="66" t="s">
        <v>2627</v>
      </c>
      <c r="K113" s="66" t="s">
        <v>152</v>
      </c>
      <c r="L113" s="61"/>
      <c r="M113" s="61"/>
      <c r="N113" s="61"/>
      <c r="O113" s="66" t="s">
        <v>2966</v>
      </c>
      <c r="P113" s="66" t="s">
        <v>2739</v>
      </c>
      <c r="Q113" s="65">
        <v>0.50972222222222219</v>
      </c>
      <c r="R113" s="65">
        <v>0.52361111111111114</v>
      </c>
      <c r="S113" s="65">
        <v>0.50972222222222219</v>
      </c>
      <c r="T113" s="65" t="s">
        <v>2424</v>
      </c>
      <c r="U113" s="65" t="s">
        <v>2424</v>
      </c>
      <c r="V113" s="65" t="s">
        <v>2424</v>
      </c>
      <c r="W113" s="119" t="s">
        <v>2424</v>
      </c>
      <c r="X113" s="124" t="s">
        <v>2967</v>
      </c>
      <c r="Y113" s="122">
        <v>0</v>
      </c>
      <c r="Z113" s="67">
        <v>0</v>
      </c>
      <c r="AA113" s="67">
        <v>0</v>
      </c>
      <c r="AB113" s="108" t="s">
        <v>2701</v>
      </c>
      <c r="AC113" s="108" t="s">
        <v>2637</v>
      </c>
      <c r="AD113" s="66" t="s">
        <v>2638</v>
      </c>
      <c r="AE113" s="66"/>
      <c r="AF113" s="66"/>
      <c r="AG113" s="68" t="s">
        <v>45</v>
      </c>
      <c r="AH113" s="66"/>
      <c r="AI113" s="66"/>
      <c r="AJ113" s="66"/>
      <c r="AK113" s="66"/>
      <c r="AL113" s="49">
        <f>VLOOKUP(G113,VALIDACIONES!P:Q,2,0)</f>
        <v>22833741</v>
      </c>
      <c r="AM113" s="55" t="str">
        <f t="shared" si="9"/>
        <v>NADA</v>
      </c>
      <c r="AN113" s="99" t="str">
        <f t="shared" si="10"/>
        <v>NO</v>
      </c>
    </row>
    <row r="114" spans="1:40" s="55" customFormat="1">
      <c r="A114" s="141">
        <v>46185</v>
      </c>
      <c r="B114" s="139" t="str">
        <f t="shared" si="7"/>
        <v>06 A 18</v>
      </c>
      <c r="C114" s="62" t="str">
        <f t="shared" si="8"/>
        <v>14:00 a 16:00</v>
      </c>
      <c r="D114" s="62" t="s">
        <v>243</v>
      </c>
      <c r="E114" s="61">
        <v>2</v>
      </c>
      <c r="F114" s="66" t="s">
        <v>215</v>
      </c>
      <c r="G114" s="66" t="s">
        <v>2066</v>
      </c>
      <c r="H114" s="114">
        <v>366709</v>
      </c>
      <c r="I114" s="138">
        <v>48379314</v>
      </c>
      <c r="J114" s="66" t="s">
        <v>2629</v>
      </c>
      <c r="K114" s="66" t="s">
        <v>86</v>
      </c>
      <c r="L114" s="61" t="s">
        <v>76</v>
      </c>
      <c r="M114" s="61" t="s">
        <v>130</v>
      </c>
      <c r="N114" s="61"/>
      <c r="O114" s="66" t="s">
        <v>2968</v>
      </c>
      <c r="P114" s="66" t="s">
        <v>2664</v>
      </c>
      <c r="Q114" s="131">
        <v>0.5854166666666667</v>
      </c>
      <c r="R114" s="131">
        <v>0.65416666666666667</v>
      </c>
      <c r="S114" s="131"/>
      <c r="T114" s="65" t="s">
        <v>2424</v>
      </c>
      <c r="U114" s="65" t="s">
        <v>2424</v>
      </c>
      <c r="V114" s="65" t="s">
        <v>2424</v>
      </c>
      <c r="W114" s="119" t="s">
        <v>2424</v>
      </c>
      <c r="X114" s="124" t="s">
        <v>2969</v>
      </c>
      <c r="Y114" s="122">
        <v>0</v>
      </c>
      <c r="Z114" s="67">
        <v>1</v>
      </c>
      <c r="AA114" s="67">
        <v>0</v>
      </c>
      <c r="AB114" s="108" t="s">
        <v>2692</v>
      </c>
      <c r="AC114" s="108" t="s">
        <v>2637</v>
      </c>
      <c r="AD114" s="66" t="s">
        <v>2638</v>
      </c>
      <c r="AE114" s="66"/>
      <c r="AF114" s="127" t="s">
        <v>2681</v>
      </c>
      <c r="AG114" s="68" t="s">
        <v>62</v>
      </c>
      <c r="AH114" s="127" t="s">
        <v>2727</v>
      </c>
      <c r="AI114" s="127" t="s">
        <v>3161</v>
      </c>
      <c r="AJ114" s="66"/>
      <c r="AK114" s="66"/>
      <c r="AL114" s="49">
        <f>VLOOKUP(G114,VALIDACIONES!P:Q,2,0)</f>
        <v>47343705</v>
      </c>
      <c r="AM114" s="55" t="str">
        <f t="shared" si="9"/>
        <v>IMPUTADO</v>
      </c>
      <c r="AN114" s="99" t="str">
        <f t="shared" si="10"/>
        <v>NO</v>
      </c>
    </row>
    <row r="115" spans="1:40" s="55" customFormat="1">
      <c r="A115" s="141">
        <v>46185</v>
      </c>
      <c r="B115" s="139" t="str">
        <f t="shared" si="7"/>
        <v>06 A 18</v>
      </c>
      <c r="C115" s="62" t="str">
        <f t="shared" si="8"/>
        <v>12:00 a 14:00</v>
      </c>
      <c r="D115" s="62" t="s">
        <v>243</v>
      </c>
      <c r="E115" s="61">
        <v>2</v>
      </c>
      <c r="F115" s="66" t="s">
        <v>215</v>
      </c>
      <c r="G115" s="66" t="s">
        <v>763</v>
      </c>
      <c r="H115" s="114">
        <v>366798</v>
      </c>
      <c r="I115" s="138">
        <v>48379271</v>
      </c>
      <c r="J115" s="66" t="s">
        <v>2629</v>
      </c>
      <c r="K115" s="66" t="s">
        <v>86</v>
      </c>
      <c r="L115" s="61" t="s">
        <v>76</v>
      </c>
      <c r="M115" s="61" t="s">
        <v>130</v>
      </c>
      <c r="N115" s="61"/>
      <c r="O115" s="66" t="s">
        <v>2970</v>
      </c>
      <c r="P115" s="66" t="s">
        <v>2667</v>
      </c>
      <c r="Q115" s="131">
        <v>0.58124999999999993</v>
      </c>
      <c r="R115" s="131">
        <v>0.66111111111111109</v>
      </c>
      <c r="S115" s="131"/>
      <c r="T115" s="65" t="s">
        <v>2424</v>
      </c>
      <c r="U115" s="65" t="s">
        <v>2424</v>
      </c>
      <c r="V115" s="65" t="s">
        <v>2424</v>
      </c>
      <c r="W115" s="119" t="s">
        <v>2424</v>
      </c>
      <c r="X115" s="124" t="s">
        <v>2971</v>
      </c>
      <c r="Y115" s="122">
        <v>0</v>
      </c>
      <c r="Z115" s="67">
        <v>1</v>
      </c>
      <c r="AA115" s="67">
        <v>0</v>
      </c>
      <c r="AB115" s="108" t="s">
        <v>2668</v>
      </c>
      <c r="AC115" s="108" t="s">
        <v>2637</v>
      </c>
      <c r="AD115" s="66" t="s">
        <v>2638</v>
      </c>
      <c r="AE115" s="66"/>
      <c r="AF115" s="127" t="s">
        <v>2681</v>
      </c>
      <c r="AG115" s="68" t="s">
        <v>62</v>
      </c>
      <c r="AH115" s="66"/>
      <c r="AI115" s="127" t="s">
        <v>3161</v>
      </c>
      <c r="AJ115" s="66"/>
      <c r="AK115" s="66"/>
      <c r="AL115" s="49">
        <f>VLOOKUP(G115,VALIDACIONES!P:Q,2,0)</f>
        <v>11614</v>
      </c>
      <c r="AM115" s="55" t="str">
        <f t="shared" si="9"/>
        <v>IMPUTADO</v>
      </c>
      <c r="AN115" s="99" t="str">
        <f t="shared" si="10"/>
        <v>NO</v>
      </c>
    </row>
    <row r="116" spans="1:40" s="55" customFormat="1">
      <c r="A116" s="141">
        <v>46185</v>
      </c>
      <c r="B116" s="139" t="str">
        <f t="shared" si="7"/>
        <v>06 A 18</v>
      </c>
      <c r="C116" s="62" t="str">
        <f t="shared" si="8"/>
        <v>14:00 a 16:00</v>
      </c>
      <c r="D116" s="62" t="s">
        <v>243</v>
      </c>
      <c r="E116" s="61">
        <v>2</v>
      </c>
      <c r="F116" s="66" t="s">
        <v>2708</v>
      </c>
      <c r="G116" s="66" t="s">
        <v>517</v>
      </c>
      <c r="H116" s="114">
        <v>367324</v>
      </c>
      <c r="I116" s="138">
        <v>48378690</v>
      </c>
      <c r="J116" s="66" t="s">
        <v>2627</v>
      </c>
      <c r="K116" s="66" t="s">
        <v>86</v>
      </c>
      <c r="L116" s="61" t="s">
        <v>19</v>
      </c>
      <c r="M116" s="61"/>
      <c r="N116" s="61"/>
      <c r="O116" s="66" t="s">
        <v>2972</v>
      </c>
      <c r="P116" s="66" t="s">
        <v>2667</v>
      </c>
      <c r="Q116" s="65">
        <v>0.5854166666666667</v>
      </c>
      <c r="R116" s="65">
        <v>0.59791666666666665</v>
      </c>
      <c r="S116" s="65">
        <v>0.5854166666666667</v>
      </c>
      <c r="T116" s="65">
        <v>0.5854166666666667</v>
      </c>
      <c r="U116" s="65" t="s">
        <v>2424</v>
      </c>
      <c r="V116" s="65" t="s">
        <v>2424</v>
      </c>
      <c r="W116" s="119" t="s">
        <v>2424</v>
      </c>
      <c r="X116" s="124" t="s">
        <v>2973</v>
      </c>
      <c r="Y116" s="122">
        <v>0</v>
      </c>
      <c r="Z116" s="67">
        <v>0</v>
      </c>
      <c r="AA116" s="67">
        <v>0</v>
      </c>
      <c r="AB116" s="108" t="s">
        <v>2680</v>
      </c>
      <c r="AC116" s="108" t="s">
        <v>2637</v>
      </c>
      <c r="AD116" s="66" t="s">
        <v>2638</v>
      </c>
      <c r="AE116" s="66"/>
      <c r="AF116" s="66"/>
      <c r="AG116" s="68" t="s">
        <v>45</v>
      </c>
      <c r="AH116" s="66"/>
      <c r="AI116" s="66"/>
      <c r="AJ116" s="66"/>
      <c r="AK116" s="66"/>
      <c r="AL116" s="49">
        <f>VLOOKUP(G116,VALIDACIONES!P:Q,2,0)</f>
        <v>17212</v>
      </c>
      <c r="AM116" s="55" t="str">
        <f t="shared" si="9"/>
        <v>NADA</v>
      </c>
      <c r="AN116" s="99" t="str">
        <f t="shared" si="10"/>
        <v>NO</v>
      </c>
    </row>
    <row r="117" spans="1:40" s="55" customFormat="1">
      <c r="A117" s="141">
        <v>46185</v>
      </c>
      <c r="B117" s="139" t="str">
        <f t="shared" si="7"/>
        <v>06 A 18</v>
      </c>
      <c r="C117" s="62" t="str">
        <f t="shared" si="8"/>
        <v>14:00 a 16:00</v>
      </c>
      <c r="D117" s="62" t="s">
        <v>243</v>
      </c>
      <c r="E117" s="61">
        <v>2</v>
      </c>
      <c r="F117" s="66" t="s">
        <v>2708</v>
      </c>
      <c r="G117" s="66" t="s">
        <v>2134</v>
      </c>
      <c r="H117" s="114">
        <v>366558</v>
      </c>
      <c r="I117" s="138">
        <v>48379307</v>
      </c>
      <c r="J117" s="66" t="s">
        <v>2627</v>
      </c>
      <c r="K117" s="66" t="s">
        <v>152</v>
      </c>
      <c r="L117" s="61"/>
      <c r="M117" s="61"/>
      <c r="N117" s="61"/>
      <c r="O117" s="66" t="s">
        <v>2974</v>
      </c>
      <c r="P117" s="66" t="s">
        <v>2696</v>
      </c>
      <c r="Q117" s="65">
        <v>0.58819444444444446</v>
      </c>
      <c r="R117" s="65">
        <v>0.60624999999999996</v>
      </c>
      <c r="S117" s="65">
        <v>0.59236111111111112</v>
      </c>
      <c r="T117" s="65" t="s">
        <v>2424</v>
      </c>
      <c r="U117" s="65" t="s">
        <v>2424</v>
      </c>
      <c r="V117" s="65" t="s">
        <v>2424</v>
      </c>
      <c r="W117" s="119" t="s">
        <v>2424</v>
      </c>
      <c r="X117" s="124" t="s">
        <v>2975</v>
      </c>
      <c r="Y117" s="122">
        <v>0</v>
      </c>
      <c r="Z117" s="67">
        <v>0</v>
      </c>
      <c r="AA117" s="67">
        <v>0</v>
      </c>
      <c r="AB117" s="108" t="s">
        <v>2675</v>
      </c>
      <c r="AC117" s="108" t="s">
        <v>2637</v>
      </c>
      <c r="AD117" s="66" t="s">
        <v>2638</v>
      </c>
      <c r="AE117" s="66" t="s">
        <v>2651</v>
      </c>
      <c r="AF117" s="66"/>
      <c r="AG117" s="68" t="s">
        <v>45</v>
      </c>
      <c r="AH117" s="66"/>
      <c r="AI117" s="66"/>
      <c r="AJ117" s="66"/>
      <c r="AK117" s="66"/>
      <c r="AL117" s="49">
        <f>VLOOKUP(G117,VALIDACIONES!P:Q,2,0)</f>
        <v>45926480</v>
      </c>
      <c r="AM117" s="55" t="str">
        <f t="shared" si="9"/>
        <v>NADA</v>
      </c>
      <c r="AN117" s="99" t="str">
        <f t="shared" si="10"/>
        <v>NO</v>
      </c>
    </row>
    <row r="118" spans="1:40" s="55" customFormat="1">
      <c r="A118" s="141">
        <v>46185</v>
      </c>
      <c r="B118" s="139" t="str">
        <f t="shared" si="7"/>
        <v>06 A 18</v>
      </c>
      <c r="C118" s="62" t="str">
        <f t="shared" si="8"/>
        <v>14:00 a 16:00</v>
      </c>
      <c r="D118" s="62" t="s">
        <v>243</v>
      </c>
      <c r="E118" s="61">
        <v>2</v>
      </c>
      <c r="F118" s="66" t="s">
        <v>2709</v>
      </c>
      <c r="G118" s="66" t="s">
        <v>1688</v>
      </c>
      <c r="H118" s="114">
        <v>366821</v>
      </c>
      <c r="I118" s="138">
        <v>48379504</v>
      </c>
      <c r="J118" s="66" t="s">
        <v>2627</v>
      </c>
      <c r="K118" s="66" t="s">
        <v>86</v>
      </c>
      <c r="L118" s="61" t="s">
        <v>136</v>
      </c>
      <c r="M118" s="61"/>
      <c r="N118" s="61"/>
      <c r="O118" s="66" t="s">
        <v>2976</v>
      </c>
      <c r="P118" s="66" t="s">
        <v>2704</v>
      </c>
      <c r="Q118" s="65">
        <v>0.6118055555555556</v>
      </c>
      <c r="R118" s="65">
        <v>0.61458333333333337</v>
      </c>
      <c r="S118" s="65">
        <v>0.6118055555555556</v>
      </c>
      <c r="T118" s="65" t="s">
        <v>2424</v>
      </c>
      <c r="U118" s="65" t="s">
        <v>2424</v>
      </c>
      <c r="V118" s="65" t="s">
        <v>2424</v>
      </c>
      <c r="W118" s="119" t="s">
        <v>2424</v>
      </c>
      <c r="X118" s="124" t="s">
        <v>2977</v>
      </c>
      <c r="Y118" s="122">
        <v>0</v>
      </c>
      <c r="Z118" s="67">
        <v>0</v>
      </c>
      <c r="AA118" s="67">
        <v>0</v>
      </c>
      <c r="AB118" s="108" t="s">
        <v>2705</v>
      </c>
      <c r="AC118" s="108" t="s">
        <v>2637</v>
      </c>
      <c r="AD118" s="66" t="s">
        <v>2638</v>
      </c>
      <c r="AE118" s="66"/>
      <c r="AF118" s="66"/>
      <c r="AG118" s="68" t="s">
        <v>45</v>
      </c>
      <c r="AH118" s="66"/>
      <c r="AI118" s="66"/>
      <c r="AJ118" s="66"/>
      <c r="AK118" s="66"/>
      <c r="AL118" s="49">
        <f>VLOOKUP(G118,VALIDACIONES!P:Q,2,0)</f>
        <v>22986617</v>
      </c>
      <c r="AM118" s="55" t="str">
        <f t="shared" si="9"/>
        <v>NADA</v>
      </c>
      <c r="AN118" s="99" t="str">
        <f t="shared" si="10"/>
        <v>NO</v>
      </c>
    </row>
    <row r="119" spans="1:40" s="55" customFormat="1">
      <c r="A119" s="141">
        <v>46185</v>
      </c>
      <c r="B119" s="139" t="str">
        <f t="shared" si="7"/>
        <v>06 A 18</v>
      </c>
      <c r="C119" s="62" t="str">
        <f t="shared" si="8"/>
        <v>14:00 a 16:00</v>
      </c>
      <c r="D119" s="62" t="s">
        <v>243</v>
      </c>
      <c r="E119" s="61">
        <v>2</v>
      </c>
      <c r="F119" s="66" t="s">
        <v>163</v>
      </c>
      <c r="G119" s="66" t="s">
        <v>1289</v>
      </c>
      <c r="H119" s="114">
        <v>366722</v>
      </c>
      <c r="I119" s="138">
        <v>48379185</v>
      </c>
      <c r="J119" s="66" t="s">
        <v>2627</v>
      </c>
      <c r="K119" s="66" t="s">
        <v>86</v>
      </c>
      <c r="L119" s="61" t="s">
        <v>154</v>
      </c>
      <c r="M119" s="61"/>
      <c r="N119" s="61"/>
      <c r="O119" s="66" t="s">
        <v>2978</v>
      </c>
      <c r="P119" s="66" t="s">
        <v>2673</v>
      </c>
      <c r="Q119" s="65">
        <v>0.58750000000000002</v>
      </c>
      <c r="R119" s="65">
        <v>0.62222222222222223</v>
      </c>
      <c r="S119" s="65">
        <v>0.58750000000000002</v>
      </c>
      <c r="T119" s="65" t="s">
        <v>2424</v>
      </c>
      <c r="U119" s="65" t="s">
        <v>2424</v>
      </c>
      <c r="V119" s="65" t="s">
        <v>2424</v>
      </c>
      <c r="W119" s="119" t="s">
        <v>2424</v>
      </c>
      <c r="X119" s="124" t="s">
        <v>2979</v>
      </c>
      <c r="Y119" s="122">
        <v>0</v>
      </c>
      <c r="Z119" s="67">
        <v>0</v>
      </c>
      <c r="AA119" s="67">
        <v>0</v>
      </c>
      <c r="AB119" s="108" t="s">
        <v>2679</v>
      </c>
      <c r="AC119" s="108" t="s">
        <v>2637</v>
      </c>
      <c r="AD119" s="66" t="s">
        <v>2638</v>
      </c>
      <c r="AE119" s="66"/>
      <c r="AF119" s="66"/>
      <c r="AG119" s="68" t="s">
        <v>45</v>
      </c>
      <c r="AH119" s="66"/>
      <c r="AI119" s="66"/>
      <c r="AJ119" s="66"/>
      <c r="AK119" s="66"/>
      <c r="AL119" s="49">
        <f>VLOOKUP(G119,VALIDACIONES!P:Q,2,0)</f>
        <v>42874724</v>
      </c>
      <c r="AM119" s="55" t="str">
        <f t="shared" si="9"/>
        <v>NADA</v>
      </c>
      <c r="AN119" s="99" t="str">
        <f t="shared" si="10"/>
        <v>NO</v>
      </c>
    </row>
    <row r="120" spans="1:40" s="55" customFormat="1">
      <c r="A120" s="141">
        <v>46185</v>
      </c>
      <c r="B120" s="139" t="str">
        <f t="shared" si="7"/>
        <v>06 A 18</v>
      </c>
      <c r="C120" s="62" t="str">
        <f t="shared" si="8"/>
        <v>12:00 a 14:00</v>
      </c>
      <c r="D120" s="62" t="s">
        <v>243</v>
      </c>
      <c r="E120" s="61">
        <v>2</v>
      </c>
      <c r="F120" s="66" t="s">
        <v>163</v>
      </c>
      <c r="G120" s="66" t="s">
        <v>1962</v>
      </c>
      <c r="H120" s="114">
        <v>366419</v>
      </c>
      <c r="I120" s="138">
        <v>48378620</v>
      </c>
      <c r="J120" s="66" t="s">
        <v>2627</v>
      </c>
      <c r="K120" s="66" t="s">
        <v>86</v>
      </c>
      <c r="L120" s="61" t="s">
        <v>2425</v>
      </c>
      <c r="M120" s="61"/>
      <c r="N120" s="61"/>
      <c r="O120" s="66" t="s">
        <v>2980</v>
      </c>
      <c r="P120" s="66" t="s">
        <v>2739</v>
      </c>
      <c r="Q120" s="65">
        <v>0.51944444444444449</v>
      </c>
      <c r="R120" s="65">
        <v>0.57986111111111116</v>
      </c>
      <c r="S120" s="65">
        <v>0.52013888888888893</v>
      </c>
      <c r="T120" s="65" t="s">
        <v>2424</v>
      </c>
      <c r="U120" s="65" t="s">
        <v>2424</v>
      </c>
      <c r="V120" s="65" t="s">
        <v>2424</v>
      </c>
      <c r="W120" s="119" t="s">
        <v>2424</v>
      </c>
      <c r="X120" s="124" t="s">
        <v>2981</v>
      </c>
      <c r="Y120" s="122">
        <v>0</v>
      </c>
      <c r="Z120" s="67">
        <v>0</v>
      </c>
      <c r="AA120" s="67">
        <v>0</v>
      </c>
      <c r="AB120" s="108" t="s">
        <v>2701</v>
      </c>
      <c r="AC120" s="108" t="s">
        <v>2637</v>
      </c>
      <c r="AD120" s="66" t="s">
        <v>2638</v>
      </c>
      <c r="AE120" s="66"/>
      <c r="AF120" s="66"/>
      <c r="AG120" s="68" t="s">
        <v>45</v>
      </c>
      <c r="AH120" s="66"/>
      <c r="AI120" s="66"/>
      <c r="AJ120" s="66"/>
      <c r="AK120" s="66"/>
      <c r="AL120" s="49">
        <f>VLOOKUP(G120,VALIDACIONES!P:Q,2,0)</f>
        <v>22833741</v>
      </c>
      <c r="AM120" s="55" t="str">
        <f t="shared" si="9"/>
        <v>NADA</v>
      </c>
      <c r="AN120" s="99" t="str">
        <f t="shared" si="10"/>
        <v>NO</v>
      </c>
    </row>
    <row r="121" spans="1:40" s="55" customFormat="1">
      <c r="A121" s="141">
        <v>46185</v>
      </c>
      <c r="B121" s="139" t="str">
        <f t="shared" si="7"/>
        <v>06 A 18</v>
      </c>
      <c r="C121" s="62" t="str">
        <f t="shared" si="8"/>
        <v>14:00 a 16:00</v>
      </c>
      <c r="D121" s="62" t="s">
        <v>243</v>
      </c>
      <c r="E121" s="61">
        <v>2</v>
      </c>
      <c r="F121" s="66" t="s">
        <v>2707</v>
      </c>
      <c r="G121" s="66" t="s">
        <v>849</v>
      </c>
      <c r="H121" s="114">
        <v>366827</v>
      </c>
      <c r="I121" s="138">
        <v>48379434</v>
      </c>
      <c r="J121" s="66" t="s">
        <v>2628</v>
      </c>
      <c r="K121" s="66" t="s">
        <v>86</v>
      </c>
      <c r="L121" s="61" t="s">
        <v>76</v>
      </c>
      <c r="M121" s="61" t="s">
        <v>130</v>
      </c>
      <c r="N121" s="61"/>
      <c r="O121" s="66" t="s">
        <v>2982</v>
      </c>
      <c r="P121" s="66" t="s">
        <v>2686</v>
      </c>
      <c r="Q121" s="65">
        <v>0.59722222222222221</v>
      </c>
      <c r="R121" s="65">
        <v>0.70625000000000004</v>
      </c>
      <c r="S121" s="65">
        <v>0.59722222222222221</v>
      </c>
      <c r="T121" s="65">
        <v>0.61875000000000002</v>
      </c>
      <c r="U121" s="65" t="s">
        <v>2424</v>
      </c>
      <c r="V121" s="65" t="s">
        <v>2424</v>
      </c>
      <c r="W121" s="119" t="s">
        <v>2424</v>
      </c>
      <c r="X121" s="124" t="s">
        <v>2983</v>
      </c>
      <c r="Y121" s="122">
        <v>0</v>
      </c>
      <c r="Z121" s="67">
        <v>1</v>
      </c>
      <c r="AA121" s="67">
        <v>0</v>
      </c>
      <c r="AB121" s="108" t="s">
        <v>2687</v>
      </c>
      <c r="AC121" s="108" t="s">
        <v>2637</v>
      </c>
      <c r="AD121" s="66" t="s">
        <v>2690</v>
      </c>
      <c r="AE121" s="66"/>
      <c r="AF121" s="66" t="s">
        <v>2984</v>
      </c>
      <c r="AG121" s="68" t="s">
        <v>62</v>
      </c>
      <c r="AH121" s="127" t="s">
        <v>3153</v>
      </c>
      <c r="AI121" s="66"/>
      <c r="AJ121" s="66"/>
      <c r="AK121" s="66"/>
      <c r="AL121" s="49">
        <f>VLOOKUP(G121,VALIDACIONES!P:Q,2,0)</f>
        <v>34438655</v>
      </c>
      <c r="AM121" s="55" t="str">
        <f t="shared" si="9"/>
        <v>IMPUTADO</v>
      </c>
      <c r="AN121" s="99" t="str">
        <f t="shared" si="10"/>
        <v>NO</v>
      </c>
    </row>
    <row r="122" spans="1:40" s="55" customFormat="1">
      <c r="A122" s="141">
        <v>46185</v>
      </c>
      <c r="B122" s="139" t="str">
        <f t="shared" si="7"/>
        <v>06 A 18</v>
      </c>
      <c r="C122" s="62" t="str">
        <f t="shared" si="8"/>
        <v>14:00 a 16:00</v>
      </c>
      <c r="D122" s="62" t="s">
        <v>243</v>
      </c>
      <c r="E122" s="61">
        <v>2</v>
      </c>
      <c r="F122" s="66" t="s">
        <v>215</v>
      </c>
      <c r="G122" s="66" t="s">
        <v>935</v>
      </c>
      <c r="H122" s="114">
        <v>367100</v>
      </c>
      <c r="I122" s="138">
        <v>48379473</v>
      </c>
      <c r="J122" s="66" t="s">
        <v>2629</v>
      </c>
      <c r="K122" s="66" t="s">
        <v>86</v>
      </c>
      <c r="L122" s="61" t="s">
        <v>2425</v>
      </c>
      <c r="M122" s="61"/>
      <c r="N122" s="61"/>
      <c r="O122" s="66" t="s">
        <v>2985</v>
      </c>
      <c r="P122" s="66" t="s">
        <v>2664</v>
      </c>
      <c r="Q122" s="65">
        <v>0.61597222222222225</v>
      </c>
      <c r="R122" s="65">
        <v>0.70208333333333328</v>
      </c>
      <c r="S122" s="65">
        <v>0.61597222222222225</v>
      </c>
      <c r="T122" s="65">
        <v>0.625</v>
      </c>
      <c r="U122" s="65" t="s">
        <v>2424</v>
      </c>
      <c r="V122" s="65" t="s">
        <v>2424</v>
      </c>
      <c r="W122" s="119" t="s">
        <v>2424</v>
      </c>
      <c r="X122" s="124" t="s">
        <v>2986</v>
      </c>
      <c r="Y122" s="122">
        <v>0</v>
      </c>
      <c r="Z122" s="67">
        <v>0</v>
      </c>
      <c r="AA122" s="67">
        <v>0</v>
      </c>
      <c r="AB122" s="108" t="s">
        <v>2692</v>
      </c>
      <c r="AC122" s="108" t="s">
        <v>2637</v>
      </c>
      <c r="AD122" s="66" t="s">
        <v>2638</v>
      </c>
      <c r="AE122" s="66"/>
      <c r="AF122" s="66"/>
      <c r="AG122" s="68" t="s">
        <v>45</v>
      </c>
      <c r="AH122" s="66"/>
      <c r="AI122" s="66"/>
      <c r="AJ122" s="66"/>
      <c r="AK122" s="66"/>
      <c r="AL122" s="49">
        <f>VLOOKUP(G122,VALIDACIONES!P:Q,2,0)</f>
        <v>41551914</v>
      </c>
      <c r="AM122" s="55" t="str">
        <f t="shared" si="9"/>
        <v>NADA</v>
      </c>
      <c r="AN122" s="99" t="str">
        <f t="shared" si="10"/>
        <v>NO</v>
      </c>
    </row>
    <row r="123" spans="1:40" s="55" customFormat="1">
      <c r="A123" s="141">
        <v>46185</v>
      </c>
      <c r="B123" s="139" t="str">
        <f t="shared" si="7"/>
        <v>06 A 18</v>
      </c>
      <c r="C123" s="62" t="str">
        <f t="shared" si="8"/>
        <v>14:00 a 16:00</v>
      </c>
      <c r="D123" s="62" t="s">
        <v>243</v>
      </c>
      <c r="E123" s="61">
        <v>2</v>
      </c>
      <c r="F123" s="66" t="s">
        <v>2734</v>
      </c>
      <c r="G123" s="66" t="s">
        <v>1538</v>
      </c>
      <c r="H123" s="114">
        <v>366566</v>
      </c>
      <c r="I123" s="138">
        <v>48379559</v>
      </c>
      <c r="J123" s="66" t="s">
        <v>2627</v>
      </c>
      <c r="K123" s="66" t="s">
        <v>86</v>
      </c>
      <c r="L123" s="61" t="s">
        <v>76</v>
      </c>
      <c r="M123" s="61" t="s">
        <v>130</v>
      </c>
      <c r="N123" s="61"/>
      <c r="O123" s="66" t="s">
        <v>2987</v>
      </c>
      <c r="P123" s="66" t="s">
        <v>2684</v>
      </c>
      <c r="Q123" s="65">
        <v>0.61597222222222225</v>
      </c>
      <c r="R123" s="65">
        <v>0.65</v>
      </c>
      <c r="S123" s="65">
        <v>0.61597222222222225</v>
      </c>
      <c r="T123" s="65">
        <v>0.62291666666666667</v>
      </c>
      <c r="U123" s="65" t="s">
        <v>2424</v>
      </c>
      <c r="V123" s="65" t="s">
        <v>2424</v>
      </c>
      <c r="W123" s="119" t="s">
        <v>2424</v>
      </c>
      <c r="X123" s="124" t="s">
        <v>2988</v>
      </c>
      <c r="Y123" s="122">
        <v>0</v>
      </c>
      <c r="Z123" s="67">
        <v>1</v>
      </c>
      <c r="AA123" s="67">
        <v>0</v>
      </c>
      <c r="AB123" s="108" t="s">
        <v>2685</v>
      </c>
      <c r="AC123" s="108" t="s">
        <v>2637</v>
      </c>
      <c r="AD123" s="66" t="s">
        <v>2645</v>
      </c>
      <c r="AE123" s="66"/>
      <c r="AF123" s="66" t="s">
        <v>2714</v>
      </c>
      <c r="AG123" s="68" t="s">
        <v>62</v>
      </c>
      <c r="AH123" s="127" t="s">
        <v>3153</v>
      </c>
      <c r="AI123" s="66"/>
      <c r="AJ123" s="66"/>
      <c r="AK123" s="66"/>
      <c r="AL123" s="49">
        <f>VLOOKUP(G123,VALIDACIONES!P:Q,2,0)</f>
        <v>39849206</v>
      </c>
      <c r="AM123" s="55" t="str">
        <f t="shared" si="9"/>
        <v>IMPUTADO</v>
      </c>
      <c r="AN123" s="99" t="str">
        <f t="shared" si="10"/>
        <v>NO</v>
      </c>
    </row>
    <row r="124" spans="1:40" s="55" customFormat="1">
      <c r="A124" s="141">
        <v>46185</v>
      </c>
      <c r="B124" s="139" t="str">
        <f t="shared" si="7"/>
        <v>06 A 18</v>
      </c>
      <c r="C124" s="62" t="str">
        <f t="shared" si="8"/>
        <v>14:00 a 16:00</v>
      </c>
      <c r="D124" s="62" t="s">
        <v>243</v>
      </c>
      <c r="E124" s="61">
        <v>2</v>
      </c>
      <c r="F124" s="66" t="s">
        <v>2708</v>
      </c>
      <c r="G124" s="66" t="s">
        <v>1434</v>
      </c>
      <c r="H124" s="114">
        <v>366726</v>
      </c>
      <c r="I124" s="138">
        <v>48379855</v>
      </c>
      <c r="J124" s="66" t="s">
        <v>2627</v>
      </c>
      <c r="K124" s="66" t="s">
        <v>86</v>
      </c>
      <c r="L124" s="61" t="s">
        <v>136</v>
      </c>
      <c r="M124" s="61"/>
      <c r="N124" s="61"/>
      <c r="O124" s="66" t="s">
        <v>2989</v>
      </c>
      <c r="P124" s="66" t="s">
        <v>2696</v>
      </c>
      <c r="Q124" s="65">
        <v>0.64583333333333337</v>
      </c>
      <c r="R124" s="65">
        <v>0.66666666666666663</v>
      </c>
      <c r="S124" s="65">
        <v>0.64583333333333337</v>
      </c>
      <c r="T124" s="65" t="s">
        <v>2424</v>
      </c>
      <c r="U124" s="65" t="s">
        <v>2424</v>
      </c>
      <c r="V124" s="65" t="s">
        <v>2424</v>
      </c>
      <c r="W124" s="119" t="s">
        <v>2424</v>
      </c>
      <c r="X124" s="124" t="s">
        <v>2990</v>
      </c>
      <c r="Y124" s="122">
        <v>0</v>
      </c>
      <c r="Z124" s="67">
        <v>0</v>
      </c>
      <c r="AA124" s="67">
        <v>0</v>
      </c>
      <c r="AB124" s="108" t="s">
        <v>2697</v>
      </c>
      <c r="AC124" s="108" t="s">
        <v>2637</v>
      </c>
      <c r="AD124" s="66" t="s">
        <v>2645</v>
      </c>
      <c r="AE124" s="66"/>
      <c r="AF124" s="66"/>
      <c r="AG124" s="68" t="s">
        <v>45</v>
      </c>
      <c r="AH124" s="66"/>
      <c r="AI124" s="66"/>
      <c r="AJ124" s="66"/>
      <c r="AK124" s="66"/>
      <c r="AL124" s="49">
        <f>VLOOKUP(G124,VALIDACIONES!P:Q,2,0)</f>
        <v>32762527</v>
      </c>
      <c r="AM124" s="55" t="str">
        <f t="shared" si="9"/>
        <v>NADA</v>
      </c>
      <c r="AN124" s="99" t="str">
        <f t="shared" si="10"/>
        <v>NO</v>
      </c>
    </row>
    <row r="125" spans="1:40" s="55" customFormat="1">
      <c r="A125" s="141">
        <v>46185</v>
      </c>
      <c r="B125" s="139" t="str">
        <f t="shared" si="7"/>
        <v>06 A 18</v>
      </c>
      <c r="C125" s="62" t="str">
        <f t="shared" si="8"/>
        <v>14:00 a 16:00</v>
      </c>
      <c r="D125" s="62" t="s">
        <v>243</v>
      </c>
      <c r="E125" s="61">
        <v>2</v>
      </c>
      <c r="F125" s="66" t="s">
        <v>2708</v>
      </c>
      <c r="G125" s="66" t="s">
        <v>2101</v>
      </c>
      <c r="H125" s="114">
        <v>366731</v>
      </c>
      <c r="I125" s="138">
        <v>48379822</v>
      </c>
      <c r="J125" s="66" t="s">
        <v>2627</v>
      </c>
      <c r="K125" s="66" t="s">
        <v>166</v>
      </c>
      <c r="L125" s="61"/>
      <c r="M125" s="61" t="s">
        <v>227</v>
      </c>
      <c r="N125" s="61"/>
      <c r="O125" s="66" t="s">
        <v>2991</v>
      </c>
      <c r="P125" s="66" t="s">
        <v>2635</v>
      </c>
      <c r="Q125" s="65">
        <v>0.61944444444444446</v>
      </c>
      <c r="R125" s="65">
        <v>0.67152777777777772</v>
      </c>
      <c r="S125" s="65">
        <v>0.64444444444444449</v>
      </c>
      <c r="T125" s="65" t="s">
        <v>2424</v>
      </c>
      <c r="U125" s="65" t="s">
        <v>2424</v>
      </c>
      <c r="V125" s="65" t="s">
        <v>2424</v>
      </c>
      <c r="W125" s="119" t="s">
        <v>2424</v>
      </c>
      <c r="X125" s="124" t="s">
        <v>2992</v>
      </c>
      <c r="Y125" s="122">
        <v>1</v>
      </c>
      <c r="Z125" s="67">
        <v>0</v>
      </c>
      <c r="AA125" s="67">
        <v>0</v>
      </c>
      <c r="AB125" s="108" t="s">
        <v>2636</v>
      </c>
      <c r="AC125" s="108" t="s">
        <v>2637</v>
      </c>
      <c r="AD125" s="66" t="s">
        <v>2645</v>
      </c>
      <c r="AE125" s="66"/>
      <c r="AF125" s="66" t="s">
        <v>2723</v>
      </c>
      <c r="AG125" s="68" t="s">
        <v>54</v>
      </c>
      <c r="AH125" s="66"/>
      <c r="AI125" s="66"/>
      <c r="AJ125" s="66"/>
      <c r="AK125" s="66"/>
      <c r="AL125" s="49">
        <f>VLOOKUP(G125,VALIDACIONES!P:Q,2,0)</f>
        <v>21764781</v>
      </c>
      <c r="AM125" s="55" t="str">
        <f t="shared" si="9"/>
        <v>IMPUTADO</v>
      </c>
      <c r="AN125" s="99" t="str">
        <f t="shared" si="10"/>
        <v>NO</v>
      </c>
    </row>
    <row r="126" spans="1:40" s="55" customFormat="1">
      <c r="A126" s="141">
        <v>46185</v>
      </c>
      <c r="B126" s="139" t="str">
        <f t="shared" si="7"/>
        <v>06 A 18</v>
      </c>
      <c r="C126" s="62" t="str">
        <f t="shared" si="8"/>
        <v>16:00 a 18:00</v>
      </c>
      <c r="D126" s="62" t="s">
        <v>2710</v>
      </c>
      <c r="E126" s="61">
        <v>6</v>
      </c>
      <c r="F126" s="66" t="s">
        <v>356</v>
      </c>
      <c r="G126" s="66" t="s">
        <v>348</v>
      </c>
      <c r="H126" s="114">
        <v>366747</v>
      </c>
      <c r="I126" s="138">
        <v>48380098</v>
      </c>
      <c r="J126" s="66" t="s">
        <v>2627</v>
      </c>
      <c r="K126" s="66" t="s">
        <v>100</v>
      </c>
      <c r="L126" s="61"/>
      <c r="M126" s="61" t="s">
        <v>213</v>
      </c>
      <c r="N126" s="61"/>
      <c r="O126" s="66" t="s">
        <v>2844</v>
      </c>
      <c r="P126" s="66" t="s">
        <v>2693</v>
      </c>
      <c r="Q126" s="65">
        <v>0.66805555555555551</v>
      </c>
      <c r="R126" s="65">
        <v>0.70138888888888884</v>
      </c>
      <c r="S126" s="65">
        <v>0.68472222222222223</v>
      </c>
      <c r="T126" s="65" t="s">
        <v>2424</v>
      </c>
      <c r="U126" s="65" t="s">
        <v>2424</v>
      </c>
      <c r="V126" s="65" t="s">
        <v>2424</v>
      </c>
      <c r="W126" s="119" t="s">
        <v>2424</v>
      </c>
      <c r="X126" s="124" t="s">
        <v>2993</v>
      </c>
      <c r="Y126" s="122">
        <v>1</v>
      </c>
      <c r="Z126" s="67">
        <v>0</v>
      </c>
      <c r="AA126" s="67">
        <v>0</v>
      </c>
      <c r="AB126" s="108" t="s">
        <v>2694</v>
      </c>
      <c r="AC126" s="108" t="s">
        <v>2637</v>
      </c>
      <c r="AD126" s="66" t="s">
        <v>2645</v>
      </c>
      <c r="AE126" s="66"/>
      <c r="AF126" s="66" t="s">
        <v>2723</v>
      </c>
      <c r="AG126" s="68" t="s">
        <v>54</v>
      </c>
      <c r="AH126" s="66"/>
      <c r="AI126" s="66"/>
      <c r="AJ126" s="66"/>
      <c r="AK126" s="66"/>
      <c r="AL126" s="49">
        <f>VLOOKUP(G126,VALIDACIONES!P:Q,2,0)</f>
        <v>43259387</v>
      </c>
      <c r="AM126" s="55" t="str">
        <f t="shared" si="9"/>
        <v>IMPUTADO</v>
      </c>
      <c r="AN126" s="99" t="str">
        <f t="shared" si="10"/>
        <v>NO</v>
      </c>
    </row>
    <row r="127" spans="1:40" s="55" customFormat="1">
      <c r="A127" s="141">
        <v>46185</v>
      </c>
      <c r="B127" s="139" t="str">
        <f t="shared" si="7"/>
        <v>06 A 18</v>
      </c>
      <c r="C127" s="62" t="str">
        <f t="shared" si="8"/>
        <v>14:00 a 16:00</v>
      </c>
      <c r="D127" s="66" t="s">
        <v>243</v>
      </c>
      <c r="E127" s="61">
        <v>2</v>
      </c>
      <c r="F127" s="66" t="s">
        <v>2707</v>
      </c>
      <c r="G127" s="66" t="s">
        <v>538</v>
      </c>
      <c r="H127" s="114">
        <v>366853</v>
      </c>
      <c r="I127" s="138">
        <v>48379996</v>
      </c>
      <c r="J127" s="66" t="s">
        <v>2628</v>
      </c>
      <c r="K127" s="66" t="s">
        <v>86</v>
      </c>
      <c r="L127" s="61" t="s">
        <v>168</v>
      </c>
      <c r="M127" s="61" t="s">
        <v>95</v>
      </c>
      <c r="N127" s="61"/>
      <c r="O127" s="66" t="s">
        <v>2994</v>
      </c>
      <c r="P127" s="66" t="s">
        <v>2648</v>
      </c>
      <c r="Q127" s="65">
        <v>0.65555555555555556</v>
      </c>
      <c r="R127" s="65">
        <v>0.72361111111111109</v>
      </c>
      <c r="S127" s="65">
        <v>0.65555555555555556</v>
      </c>
      <c r="T127" s="65" t="s">
        <v>2424</v>
      </c>
      <c r="U127" s="65" t="s">
        <v>2424</v>
      </c>
      <c r="V127" s="65" t="s">
        <v>2424</v>
      </c>
      <c r="W127" s="119" t="s">
        <v>2424</v>
      </c>
      <c r="X127" s="124" t="s">
        <v>2995</v>
      </c>
      <c r="Y127" s="122">
        <v>0</v>
      </c>
      <c r="Z127" s="67">
        <v>2</v>
      </c>
      <c r="AA127" s="67">
        <v>0</v>
      </c>
      <c r="AB127" s="108" t="s">
        <v>2649</v>
      </c>
      <c r="AC127" s="108" t="s">
        <v>2637</v>
      </c>
      <c r="AD127" s="66" t="s">
        <v>2690</v>
      </c>
      <c r="AE127" s="66"/>
      <c r="AF127" s="66" t="s">
        <v>2695</v>
      </c>
      <c r="AG127" s="68" t="s">
        <v>62</v>
      </c>
      <c r="AH127" s="66"/>
      <c r="AI127" s="66"/>
      <c r="AJ127" s="66"/>
      <c r="AK127" s="66"/>
      <c r="AL127" s="49">
        <f>VLOOKUP(G127,VALIDACIONES!P:Q,2,0)</f>
        <v>35948823</v>
      </c>
      <c r="AM127" s="55" t="str">
        <f t="shared" si="9"/>
        <v>IMPUTADO</v>
      </c>
      <c r="AN127" s="99" t="str">
        <f t="shared" si="10"/>
        <v>NO</v>
      </c>
    </row>
    <row r="128" spans="1:40" s="55" customFormat="1">
      <c r="A128" s="141">
        <v>46185</v>
      </c>
      <c r="B128" s="139" t="str">
        <f t="shared" si="7"/>
        <v>06 A 18</v>
      </c>
      <c r="C128" s="62" t="str">
        <f t="shared" si="8"/>
        <v>14:00 a 16:00</v>
      </c>
      <c r="D128" s="66" t="s">
        <v>243</v>
      </c>
      <c r="E128" s="61">
        <v>2</v>
      </c>
      <c r="F128" s="66" t="s">
        <v>163</v>
      </c>
      <c r="G128" s="66" t="s">
        <v>635</v>
      </c>
      <c r="H128" s="114">
        <v>366730</v>
      </c>
      <c r="I128" s="138">
        <v>48379950</v>
      </c>
      <c r="J128" s="66" t="s">
        <v>2627</v>
      </c>
      <c r="K128" s="66" t="s">
        <v>86</v>
      </c>
      <c r="L128" s="61" t="s">
        <v>168</v>
      </c>
      <c r="M128" s="61" t="s">
        <v>61</v>
      </c>
      <c r="N128" s="61"/>
      <c r="O128" s="66" t="s">
        <v>2996</v>
      </c>
      <c r="P128" s="66" t="s">
        <v>2997</v>
      </c>
      <c r="Q128" s="65">
        <v>0.65486111111111112</v>
      </c>
      <c r="R128" s="65">
        <v>0.68263888888888891</v>
      </c>
      <c r="S128" s="65">
        <v>0.65486111111111112</v>
      </c>
      <c r="T128" s="65">
        <v>0.66527777777777775</v>
      </c>
      <c r="U128" s="65" t="s">
        <v>2424</v>
      </c>
      <c r="V128" s="65" t="s">
        <v>2424</v>
      </c>
      <c r="W128" s="119" t="s">
        <v>2424</v>
      </c>
      <c r="X128" s="124" t="s">
        <v>2998</v>
      </c>
      <c r="Y128" s="122">
        <v>0</v>
      </c>
      <c r="Z128" s="67">
        <v>1</v>
      </c>
      <c r="AA128" s="67">
        <v>0</v>
      </c>
      <c r="AB128" s="108" t="s">
        <v>2999</v>
      </c>
      <c r="AC128" s="108" t="s">
        <v>2637</v>
      </c>
      <c r="AD128" s="66" t="s">
        <v>2638</v>
      </c>
      <c r="AE128" s="66"/>
      <c r="AF128" s="66" t="s">
        <v>2670</v>
      </c>
      <c r="AG128" s="68" t="s">
        <v>62</v>
      </c>
      <c r="AH128" s="66"/>
      <c r="AI128" s="66"/>
      <c r="AJ128" s="66"/>
      <c r="AK128" s="66"/>
      <c r="AL128" s="49">
        <f>VLOOKUP(G128,VALIDACIONES!P:Q,2,0)</f>
        <v>42157414</v>
      </c>
      <c r="AM128" s="55" t="str">
        <f t="shared" si="9"/>
        <v>IMPUTADO</v>
      </c>
      <c r="AN128" s="99" t="str">
        <f t="shared" si="10"/>
        <v>NO</v>
      </c>
    </row>
    <row r="129" spans="1:40" s="55" customFormat="1">
      <c r="A129" s="141">
        <v>46185</v>
      </c>
      <c r="B129" s="139" t="str">
        <f t="shared" si="7"/>
        <v>06 A 18</v>
      </c>
      <c r="C129" s="62" t="str">
        <f t="shared" si="8"/>
        <v>14:00 a 16:00</v>
      </c>
      <c r="D129" s="66" t="s">
        <v>243</v>
      </c>
      <c r="E129" s="61">
        <v>2</v>
      </c>
      <c r="F129" s="66" t="s">
        <v>2707</v>
      </c>
      <c r="G129" s="66" t="s">
        <v>1865</v>
      </c>
      <c r="H129" s="114">
        <v>366768</v>
      </c>
      <c r="I129" s="138">
        <v>48379857</v>
      </c>
      <c r="J129" s="66" t="s">
        <v>2628</v>
      </c>
      <c r="K129" s="66" t="s">
        <v>86</v>
      </c>
      <c r="L129" s="61" t="s">
        <v>173</v>
      </c>
      <c r="M129" s="61" t="s">
        <v>173</v>
      </c>
      <c r="N129" s="61"/>
      <c r="O129" s="66" t="s">
        <v>3000</v>
      </c>
      <c r="P129" s="66" t="s">
        <v>2686</v>
      </c>
      <c r="Q129" s="65">
        <v>0.63888888888888884</v>
      </c>
      <c r="R129" s="65">
        <v>0.68611111111111112</v>
      </c>
      <c r="S129" s="65">
        <v>0.63888888888888884</v>
      </c>
      <c r="T129" s="65" t="s">
        <v>2424</v>
      </c>
      <c r="U129" s="65" t="s">
        <v>2424</v>
      </c>
      <c r="V129" s="65" t="s">
        <v>2424</v>
      </c>
      <c r="W129" s="119" t="s">
        <v>2424</v>
      </c>
      <c r="X129" s="124" t="s">
        <v>3001</v>
      </c>
      <c r="Y129" s="122">
        <v>0</v>
      </c>
      <c r="Z129" s="67">
        <v>2</v>
      </c>
      <c r="AA129" s="67">
        <v>0</v>
      </c>
      <c r="AB129" s="108" t="s">
        <v>2687</v>
      </c>
      <c r="AC129" s="108" t="s">
        <v>2637</v>
      </c>
      <c r="AD129" s="66" t="s">
        <v>2638</v>
      </c>
      <c r="AE129" s="66"/>
      <c r="AF129" s="127" t="s">
        <v>2695</v>
      </c>
      <c r="AG129" s="68" t="s">
        <v>62</v>
      </c>
      <c r="AH129" s="66"/>
      <c r="AI129" s="127" t="s">
        <v>3154</v>
      </c>
      <c r="AJ129" s="66"/>
      <c r="AK129" s="66"/>
      <c r="AL129" s="49">
        <f>VLOOKUP(G129,VALIDACIONES!P:Q,2,0)</f>
        <v>47128781</v>
      </c>
      <c r="AM129" s="55" t="str">
        <f t="shared" si="9"/>
        <v>IMPUTADO</v>
      </c>
      <c r="AN129" s="99" t="str">
        <f t="shared" si="10"/>
        <v>NO</v>
      </c>
    </row>
    <row r="130" spans="1:40" s="55" customFormat="1">
      <c r="A130" s="141">
        <v>46185</v>
      </c>
      <c r="B130" s="139" t="str">
        <f t="shared" si="7"/>
        <v>06 A 18</v>
      </c>
      <c r="C130" s="62" t="str">
        <f t="shared" si="8"/>
        <v>16:00 a 18:00</v>
      </c>
      <c r="D130" s="66" t="s">
        <v>243</v>
      </c>
      <c r="E130" s="61">
        <v>2</v>
      </c>
      <c r="F130" s="66" t="s">
        <v>163</v>
      </c>
      <c r="G130" s="66" t="s">
        <v>1307</v>
      </c>
      <c r="H130" s="114">
        <v>367050</v>
      </c>
      <c r="I130" s="138">
        <v>48380102</v>
      </c>
      <c r="J130" s="66" t="s">
        <v>2627</v>
      </c>
      <c r="K130" s="66" t="s">
        <v>86</v>
      </c>
      <c r="L130" s="61" t="s">
        <v>173</v>
      </c>
      <c r="M130" s="61"/>
      <c r="N130" s="61"/>
      <c r="O130" s="66" t="s">
        <v>3002</v>
      </c>
      <c r="P130" s="66" t="s">
        <v>2662</v>
      </c>
      <c r="Q130" s="65">
        <v>0.67847222222222225</v>
      </c>
      <c r="R130" s="65">
        <v>0.73611111111111116</v>
      </c>
      <c r="S130" s="65">
        <v>0.71597222222222223</v>
      </c>
      <c r="T130" s="65" t="s">
        <v>2424</v>
      </c>
      <c r="U130" s="65" t="s">
        <v>2424</v>
      </c>
      <c r="V130" s="65" t="s">
        <v>2424</v>
      </c>
      <c r="W130" s="119" t="s">
        <v>2424</v>
      </c>
      <c r="X130" s="124" t="s">
        <v>3003</v>
      </c>
      <c r="Y130" s="122">
        <v>0</v>
      </c>
      <c r="Z130" s="67">
        <v>0</v>
      </c>
      <c r="AA130" s="67">
        <v>0</v>
      </c>
      <c r="AB130" s="134" t="s">
        <v>2642</v>
      </c>
      <c r="AC130" s="108" t="s">
        <v>2637</v>
      </c>
      <c r="AD130" s="127" t="s">
        <v>2638</v>
      </c>
      <c r="AE130" s="66"/>
      <c r="AF130" s="66"/>
      <c r="AG130" s="68" t="s">
        <v>45</v>
      </c>
      <c r="AH130" s="66"/>
      <c r="AI130" s="66"/>
      <c r="AJ130" s="66"/>
      <c r="AK130" s="66"/>
      <c r="AL130" s="49">
        <f>VLOOKUP(G130,VALIDACIONES!P:Q,2,0)</f>
        <v>44425086</v>
      </c>
      <c r="AM130" s="55" t="str">
        <f t="shared" si="9"/>
        <v>NADA</v>
      </c>
      <c r="AN130" s="99" t="str">
        <f t="shared" si="10"/>
        <v>NO</v>
      </c>
    </row>
    <row r="131" spans="1:40" s="103" customFormat="1">
      <c r="A131" s="141">
        <v>46185</v>
      </c>
      <c r="B131" s="139" t="str">
        <f t="shared" ref="B131:B190" si="11">IF(AND(VALUE(Q131)&gt;=VALUE("06:00"),VALUE(Q131)&lt;=VALUE("17:59")),"06 A 18","18 A 06")</f>
        <v>06 A 18</v>
      </c>
      <c r="C131" s="62" t="str">
        <f t="shared" ref="C131:C190" si="12">IF(AND(VALUE(Q131)&gt;=VALUE("00:00"),VALUE(Q131)&lt;=VALUE("01:59")),"00:00 a 02:00",IF(AND(VALUE(Q131)&gt;=VALUE("02:00"),VALUE(Q131)&lt;=VALUE("03:59")),"02:00 a 04:00",IF(AND(VALUE(Q131)&gt;=VALUE("04:00"),VALUE(Q131)&lt;=VALUE("05:59")),"04:00 a 06:00",IF(AND(VALUE(Q131)&gt;=VALUE("06:00"),VALUE(Q131)&lt;=VALUE("07:59")),"06:00 a 08:00",IF(AND(VALUE(Q131)&gt;=VALUE("08:00"),VALUE(Q131)&lt;=VALUE("09:59")),"08:00 a 10:00",IF(AND(VALUE(Q131)&gt;=VALUE("10:00"),VALUE(Q131)&lt;=VALUE("11:59")),"10:00 a 12:00",IF(AND(VALUE(Q131)&gt;=VALUE("12:00"),VALUE(Q131)&lt;=VALUE("13:59")),"12:00 a 14:00",IF(AND(VALUE(Q131)&gt;=VALUE("14:00"),VALUE(Q131)&lt;=VALUE("15:59")),"14:00 a 16:00",IF(AND(VALUE(Q131)&gt;=VALUE("16:00"),VALUE(Q131)&lt;=VALUE("17:59")),"16:00 a 18:00",IF(AND(VALUE(Q131)&gt;=VALUE("18:00"),VALUE(Q131)&lt;=VALUE("19:59")),"18:00 a 20:00",IF(AND(VALUE(Q131)&gt;=VALUE("20:00"),VALUE(Q131)&lt;=VALUE("21:59")),"20:00 a 22:00",IF(AND(VALUE(Q131)&gt;=VALUE("22:00"),VALUE(Q131)&lt;=VALUE("23:59")),"22:00 a 00:00","no corresponde"))))))))))))</f>
        <v>16:00 a 18:00</v>
      </c>
      <c r="D131" s="66" t="s">
        <v>243</v>
      </c>
      <c r="E131" s="61">
        <v>2</v>
      </c>
      <c r="F131" s="78" t="s">
        <v>2707</v>
      </c>
      <c r="G131" s="66" t="s">
        <v>1272</v>
      </c>
      <c r="H131" s="114">
        <v>366764</v>
      </c>
      <c r="I131" s="138">
        <v>48380267</v>
      </c>
      <c r="J131" s="66" t="s">
        <v>2628</v>
      </c>
      <c r="K131" s="66" t="s">
        <v>86</v>
      </c>
      <c r="L131" s="61" t="s">
        <v>136</v>
      </c>
      <c r="M131" s="61"/>
      <c r="N131" s="61"/>
      <c r="O131" s="66" t="s">
        <v>3004</v>
      </c>
      <c r="P131" s="66" t="s">
        <v>2686</v>
      </c>
      <c r="Q131" s="75">
        <v>0.6875</v>
      </c>
      <c r="R131" s="75">
        <v>0.7</v>
      </c>
      <c r="S131" s="75">
        <v>0.69166666666666665</v>
      </c>
      <c r="T131" s="75" t="s">
        <v>2424</v>
      </c>
      <c r="U131" s="75" t="s">
        <v>2424</v>
      </c>
      <c r="V131" s="75" t="s">
        <v>2424</v>
      </c>
      <c r="W131" s="120" t="s">
        <v>2424</v>
      </c>
      <c r="X131" s="124" t="s">
        <v>3005</v>
      </c>
      <c r="Y131" s="122">
        <v>0</v>
      </c>
      <c r="Z131" s="67">
        <v>0</v>
      </c>
      <c r="AA131" s="67">
        <v>0</v>
      </c>
      <c r="AB131" s="108" t="s">
        <v>2718</v>
      </c>
      <c r="AC131" s="108" t="s">
        <v>2637</v>
      </c>
      <c r="AD131" s="66" t="s">
        <v>2690</v>
      </c>
      <c r="AE131" s="66"/>
      <c r="AF131" s="66"/>
      <c r="AG131" s="68" t="s">
        <v>45</v>
      </c>
      <c r="AH131" s="66"/>
      <c r="AI131" s="100"/>
      <c r="AJ131" s="101"/>
      <c r="AK131" s="102"/>
      <c r="AL131" s="49">
        <f>VLOOKUP(G131,VALIDACIONES!P:Q,2,0)</f>
        <v>44303987</v>
      </c>
      <c r="AM131" s="55" t="str">
        <f t="shared" ref="AM131:AM190" si="13">IF(OR(Z131&gt;0,Y131&gt;0),"IMPUTADO","NADA")</f>
        <v>NADA</v>
      </c>
      <c r="AN131" s="99" t="str">
        <f t="shared" ref="AN131:AN190" si="14">IF(AND(AM131="IMPUTADO",ISBLANK(M131)),"FALTO","NO")</f>
        <v>NO</v>
      </c>
    </row>
    <row r="132" spans="1:40" s="103" customFormat="1">
      <c r="A132" s="141">
        <v>46185</v>
      </c>
      <c r="B132" s="139" t="str">
        <f t="shared" si="11"/>
        <v>06 A 18</v>
      </c>
      <c r="C132" s="62" t="str">
        <f t="shared" si="12"/>
        <v>14:00 a 16:00</v>
      </c>
      <c r="D132" s="66" t="s">
        <v>243</v>
      </c>
      <c r="E132" s="61">
        <v>2</v>
      </c>
      <c r="F132" s="78" t="s">
        <v>163</v>
      </c>
      <c r="G132" s="66" t="s">
        <v>854</v>
      </c>
      <c r="H132" s="114">
        <v>366863</v>
      </c>
      <c r="I132" s="138">
        <v>48379792</v>
      </c>
      <c r="J132" s="66" t="s">
        <v>2627</v>
      </c>
      <c r="K132" s="66" t="s">
        <v>86</v>
      </c>
      <c r="L132" s="61" t="s">
        <v>76</v>
      </c>
      <c r="M132" s="61"/>
      <c r="N132" s="61"/>
      <c r="O132" s="66" t="s">
        <v>3006</v>
      </c>
      <c r="P132" s="66" t="s">
        <v>2655</v>
      </c>
      <c r="Q132" s="75">
        <v>0.64236111111111116</v>
      </c>
      <c r="R132" s="75">
        <v>0.65555555555555556</v>
      </c>
      <c r="S132" s="75">
        <v>0.64236111111111116</v>
      </c>
      <c r="T132" s="75">
        <v>0.64236111111111116</v>
      </c>
      <c r="U132" s="75" t="s">
        <v>2424</v>
      </c>
      <c r="V132" s="75" t="s">
        <v>2424</v>
      </c>
      <c r="W132" s="120" t="s">
        <v>2424</v>
      </c>
      <c r="X132" s="124" t="s">
        <v>3007</v>
      </c>
      <c r="Y132" s="122">
        <v>0</v>
      </c>
      <c r="Z132" s="67">
        <v>0</v>
      </c>
      <c r="AA132" s="67">
        <v>0</v>
      </c>
      <c r="AB132" s="108" t="s">
        <v>2656</v>
      </c>
      <c r="AC132" s="108" t="s">
        <v>2637</v>
      </c>
      <c r="AD132" s="66" t="s">
        <v>2638</v>
      </c>
      <c r="AE132" s="66"/>
      <c r="AF132" s="66"/>
      <c r="AG132" s="68" t="s">
        <v>45</v>
      </c>
      <c r="AH132" s="66"/>
      <c r="AI132" s="100"/>
      <c r="AJ132" s="101"/>
      <c r="AK132" s="102"/>
      <c r="AL132" s="49">
        <f>VLOOKUP(G132,VALIDACIONES!P:Q,2,0)</f>
        <v>11677</v>
      </c>
      <c r="AM132" s="55" t="str">
        <f t="shared" si="13"/>
        <v>NADA</v>
      </c>
      <c r="AN132" s="99" t="str">
        <f t="shared" si="14"/>
        <v>NO</v>
      </c>
    </row>
    <row r="133" spans="1:40" s="103" customFormat="1" hidden="1">
      <c r="A133" s="141">
        <v>46185</v>
      </c>
      <c r="B133" s="139" t="str">
        <f t="shared" si="11"/>
        <v>06 A 18</v>
      </c>
      <c r="C133" s="62" t="str">
        <f t="shared" si="12"/>
        <v>14:00 a 16:00</v>
      </c>
      <c r="D133" s="66" t="s">
        <v>243</v>
      </c>
      <c r="E133" s="61">
        <v>2</v>
      </c>
      <c r="F133" s="78" t="s">
        <v>163</v>
      </c>
      <c r="G133" s="66" t="s">
        <v>1588</v>
      </c>
      <c r="H133" s="114" t="s">
        <v>2630</v>
      </c>
      <c r="I133" s="138">
        <v>48380049</v>
      </c>
      <c r="J133" s="66" t="s">
        <v>2627</v>
      </c>
      <c r="K133" s="66" t="s">
        <v>86</v>
      </c>
      <c r="L133" s="61" t="s">
        <v>76</v>
      </c>
      <c r="M133" s="61"/>
      <c r="N133" s="61"/>
      <c r="O133" s="66" t="s">
        <v>3008</v>
      </c>
      <c r="P133" s="66" t="s">
        <v>2716</v>
      </c>
      <c r="Q133" s="75">
        <v>0.66249999999999998</v>
      </c>
      <c r="R133" s="75">
        <v>0.78194444444444444</v>
      </c>
      <c r="S133" s="75">
        <v>0.66249999999999998</v>
      </c>
      <c r="T133" s="75">
        <v>0.71597222222222223</v>
      </c>
      <c r="U133" s="75" t="s">
        <v>2424</v>
      </c>
      <c r="V133" s="75" t="s">
        <v>2424</v>
      </c>
      <c r="W133" s="120" t="s">
        <v>2424</v>
      </c>
      <c r="X133" s="124" t="s">
        <v>3009</v>
      </c>
      <c r="Y133" s="122">
        <v>0</v>
      </c>
      <c r="Z133" s="67">
        <v>0</v>
      </c>
      <c r="AA133" s="67">
        <v>0</v>
      </c>
      <c r="AB133" s="108" t="s">
        <v>2650</v>
      </c>
      <c r="AC133" s="108" t="s">
        <v>2637</v>
      </c>
      <c r="AD133" s="66" t="s">
        <v>2638</v>
      </c>
      <c r="AE133" s="66"/>
      <c r="AF133" s="66"/>
      <c r="AG133" s="68" t="s">
        <v>45</v>
      </c>
      <c r="AH133" s="66"/>
      <c r="AI133" s="100"/>
      <c r="AJ133" s="101"/>
      <c r="AK133" s="102"/>
      <c r="AL133" s="49">
        <f>VLOOKUP(G133,VALIDACIONES!P:Q,2,0)</f>
        <v>36404018</v>
      </c>
      <c r="AM133" s="55" t="str">
        <f t="shared" si="13"/>
        <v>NADA</v>
      </c>
      <c r="AN133" s="99" t="str">
        <f t="shared" si="14"/>
        <v>NO</v>
      </c>
    </row>
    <row r="134" spans="1:40" s="103" customFormat="1">
      <c r="A134" s="141">
        <v>46185</v>
      </c>
      <c r="B134" s="139" t="str">
        <f t="shared" si="11"/>
        <v>06 A 18</v>
      </c>
      <c r="C134" s="62" t="str">
        <f t="shared" si="12"/>
        <v>16:00 a 18:00</v>
      </c>
      <c r="D134" s="66" t="s">
        <v>243</v>
      </c>
      <c r="E134" s="61">
        <v>2</v>
      </c>
      <c r="F134" s="78" t="s">
        <v>2709</v>
      </c>
      <c r="G134" s="66" t="s">
        <v>2434</v>
      </c>
      <c r="H134" s="114">
        <v>367375</v>
      </c>
      <c r="I134" s="138">
        <v>48380296</v>
      </c>
      <c r="J134" s="66" t="s">
        <v>2627</v>
      </c>
      <c r="K134" s="66" t="s">
        <v>86</v>
      </c>
      <c r="L134" s="61" t="s">
        <v>214</v>
      </c>
      <c r="M134" s="61"/>
      <c r="N134" s="61"/>
      <c r="O134" s="66" t="s">
        <v>3010</v>
      </c>
      <c r="P134" s="66" t="s">
        <v>2658</v>
      </c>
      <c r="Q134" s="75">
        <v>0.69444444444444442</v>
      </c>
      <c r="R134" s="75">
        <v>0.75347222222222221</v>
      </c>
      <c r="S134" s="75">
        <v>0.69444444444444442</v>
      </c>
      <c r="T134" s="75">
        <v>0.70208333333333328</v>
      </c>
      <c r="U134" s="75">
        <v>0.71180555555555558</v>
      </c>
      <c r="V134" s="75" t="s">
        <v>2424</v>
      </c>
      <c r="W134" s="120" t="s">
        <v>2424</v>
      </c>
      <c r="X134" s="124" t="s">
        <v>3011</v>
      </c>
      <c r="Y134" s="122">
        <v>0</v>
      </c>
      <c r="Z134" s="67">
        <v>0</v>
      </c>
      <c r="AA134" s="67">
        <v>0</v>
      </c>
      <c r="AB134" s="108" t="s">
        <v>2659</v>
      </c>
      <c r="AC134" s="108" t="s">
        <v>2637</v>
      </c>
      <c r="AD134" s="66" t="s">
        <v>2645</v>
      </c>
      <c r="AE134" s="66"/>
      <c r="AF134" s="66"/>
      <c r="AG134" s="68" t="s">
        <v>45</v>
      </c>
      <c r="AH134" s="66"/>
      <c r="AI134" s="100"/>
      <c r="AJ134" s="101"/>
      <c r="AK134" s="102"/>
      <c r="AL134" s="49">
        <f>VLOOKUP(G134,VALIDACIONES!P:Q,2,0)</f>
        <v>47436889</v>
      </c>
      <c r="AM134" s="55" t="str">
        <f t="shared" si="13"/>
        <v>NADA</v>
      </c>
      <c r="AN134" s="99" t="str">
        <f t="shared" si="14"/>
        <v>NO</v>
      </c>
    </row>
    <row r="135" spans="1:40" s="103" customFormat="1">
      <c r="A135" s="141">
        <v>46185</v>
      </c>
      <c r="B135" s="139" t="str">
        <f t="shared" si="11"/>
        <v>06 A 18</v>
      </c>
      <c r="C135" s="62" t="str">
        <f t="shared" si="12"/>
        <v>16:00 a 18:00</v>
      </c>
      <c r="D135" s="66" t="s">
        <v>243</v>
      </c>
      <c r="E135" s="61">
        <v>2</v>
      </c>
      <c r="F135" s="78" t="s">
        <v>2709</v>
      </c>
      <c r="G135" s="66" t="s">
        <v>1538</v>
      </c>
      <c r="H135" s="116">
        <v>366965</v>
      </c>
      <c r="I135" s="135">
        <v>48380359</v>
      </c>
      <c r="J135" s="76" t="s">
        <v>2627</v>
      </c>
      <c r="K135" s="66" t="s">
        <v>100</v>
      </c>
      <c r="L135" s="61"/>
      <c r="M135" s="61"/>
      <c r="N135" s="61"/>
      <c r="O135" s="76" t="s">
        <v>3012</v>
      </c>
      <c r="P135" s="77" t="s">
        <v>2893</v>
      </c>
      <c r="Q135" s="75">
        <v>0.6875</v>
      </c>
      <c r="R135" s="75">
        <v>0.71458333333333335</v>
      </c>
      <c r="S135" s="75" t="s">
        <v>2424</v>
      </c>
      <c r="T135" s="75" t="s">
        <v>2424</v>
      </c>
      <c r="U135" s="75" t="s">
        <v>2424</v>
      </c>
      <c r="V135" s="75" t="s">
        <v>2424</v>
      </c>
      <c r="W135" s="120" t="s">
        <v>2424</v>
      </c>
      <c r="X135" s="124" t="s">
        <v>3013</v>
      </c>
      <c r="Y135" s="122">
        <v>0</v>
      </c>
      <c r="Z135" s="67">
        <v>0</v>
      </c>
      <c r="AA135" s="79">
        <v>0</v>
      </c>
      <c r="AB135" s="112" t="s">
        <v>2656</v>
      </c>
      <c r="AC135" s="112" t="s">
        <v>2637</v>
      </c>
      <c r="AD135" s="76" t="s">
        <v>2645</v>
      </c>
      <c r="AE135" s="76"/>
      <c r="AF135" s="77"/>
      <c r="AG135" s="68" t="s">
        <v>45</v>
      </c>
      <c r="AH135" s="66"/>
      <c r="AI135" s="100"/>
      <c r="AJ135" s="101"/>
      <c r="AK135" s="80"/>
      <c r="AL135" s="49">
        <f>VLOOKUP(G135,VALIDACIONES!P:Q,2,0)</f>
        <v>39849206</v>
      </c>
      <c r="AM135" s="55" t="str">
        <f t="shared" si="13"/>
        <v>NADA</v>
      </c>
      <c r="AN135" s="99" t="str">
        <f t="shared" si="14"/>
        <v>NO</v>
      </c>
    </row>
    <row r="136" spans="1:40" s="103" customFormat="1" hidden="1">
      <c r="A136" s="141">
        <v>46185</v>
      </c>
      <c r="B136" s="139" t="str">
        <f t="shared" si="11"/>
        <v>18 A 06</v>
      </c>
      <c r="C136" s="62" t="str">
        <f t="shared" si="12"/>
        <v>00:00 a 02:00</v>
      </c>
      <c r="D136" s="66" t="s">
        <v>243</v>
      </c>
      <c r="E136" s="61">
        <v>2</v>
      </c>
      <c r="F136" s="78" t="s">
        <v>2709</v>
      </c>
      <c r="G136" s="66" t="s">
        <v>1464</v>
      </c>
      <c r="H136" s="114" t="s">
        <v>2630</v>
      </c>
      <c r="I136" s="138">
        <v>48380411</v>
      </c>
      <c r="J136" s="66" t="s">
        <v>2627</v>
      </c>
      <c r="K136" s="66" t="s">
        <v>86</v>
      </c>
      <c r="L136" s="61" t="s">
        <v>168</v>
      </c>
      <c r="M136" s="61"/>
      <c r="N136" s="61"/>
      <c r="O136" s="66" t="s">
        <v>3014</v>
      </c>
      <c r="P136" s="66" t="s">
        <v>3015</v>
      </c>
      <c r="Q136" s="75"/>
      <c r="R136" s="75"/>
      <c r="S136" s="75"/>
      <c r="T136" s="75" t="s">
        <v>2424</v>
      </c>
      <c r="U136" s="75" t="s">
        <v>2424</v>
      </c>
      <c r="V136" s="75" t="s">
        <v>2424</v>
      </c>
      <c r="W136" s="120" t="s">
        <v>2424</v>
      </c>
      <c r="X136" s="124" t="s">
        <v>3016</v>
      </c>
      <c r="Y136" s="122">
        <v>0</v>
      </c>
      <c r="Z136" s="67">
        <v>0</v>
      </c>
      <c r="AA136" s="67">
        <v>0</v>
      </c>
      <c r="AB136" s="108" t="s">
        <v>3017</v>
      </c>
      <c r="AC136" s="108" t="s">
        <v>2637</v>
      </c>
      <c r="AD136" s="66" t="s">
        <v>2645</v>
      </c>
      <c r="AE136" s="66"/>
      <c r="AF136" s="66"/>
      <c r="AG136" s="68" t="s">
        <v>45</v>
      </c>
      <c r="AH136" s="66"/>
      <c r="AI136" s="100"/>
      <c r="AJ136" s="101"/>
      <c r="AK136" s="102"/>
      <c r="AL136" s="49">
        <f>VLOOKUP(G136,VALIDACIONES!P:Q,2,0)</f>
        <v>47202075</v>
      </c>
      <c r="AM136" s="55" t="str">
        <f t="shared" si="13"/>
        <v>NADA</v>
      </c>
      <c r="AN136" s="99" t="str">
        <f t="shared" si="14"/>
        <v>NO</v>
      </c>
    </row>
    <row r="137" spans="1:40" s="103" customFormat="1">
      <c r="A137" s="141">
        <v>46185</v>
      </c>
      <c r="B137" s="139" t="str">
        <f t="shared" si="11"/>
        <v>06 A 18</v>
      </c>
      <c r="C137" s="62" t="str">
        <f t="shared" si="12"/>
        <v>16:00 a 18:00</v>
      </c>
      <c r="D137" s="66" t="s">
        <v>243</v>
      </c>
      <c r="E137" s="61">
        <v>2</v>
      </c>
      <c r="F137" s="78" t="s">
        <v>163</v>
      </c>
      <c r="G137" s="66" t="s">
        <v>2071</v>
      </c>
      <c r="H137" s="114">
        <v>366832</v>
      </c>
      <c r="I137" s="138">
        <v>48380155</v>
      </c>
      <c r="J137" s="66" t="s">
        <v>2627</v>
      </c>
      <c r="K137" s="66" t="s">
        <v>86</v>
      </c>
      <c r="L137" s="61" t="s">
        <v>158</v>
      </c>
      <c r="M137" s="61"/>
      <c r="N137" s="61"/>
      <c r="O137" s="66" t="s">
        <v>3018</v>
      </c>
      <c r="P137" s="66" t="s">
        <v>2700</v>
      </c>
      <c r="Q137" s="75">
        <v>0.67847222222222225</v>
      </c>
      <c r="R137" s="75">
        <v>0.70625000000000004</v>
      </c>
      <c r="S137" s="75">
        <v>0.67847222222222225</v>
      </c>
      <c r="T137" s="75" t="s">
        <v>2424</v>
      </c>
      <c r="U137" s="75" t="s">
        <v>2424</v>
      </c>
      <c r="V137" s="75" t="s">
        <v>2424</v>
      </c>
      <c r="W137" s="120" t="s">
        <v>2424</v>
      </c>
      <c r="X137" s="124" t="s">
        <v>3019</v>
      </c>
      <c r="Y137" s="122">
        <v>0</v>
      </c>
      <c r="Z137" s="67">
        <v>0</v>
      </c>
      <c r="AA137" s="67">
        <v>0</v>
      </c>
      <c r="AB137" s="108" t="s">
        <v>2650</v>
      </c>
      <c r="AC137" s="108" t="s">
        <v>2637</v>
      </c>
      <c r="AD137" s="66" t="s">
        <v>2645</v>
      </c>
      <c r="AE137" s="66"/>
      <c r="AF137" s="66"/>
      <c r="AG137" s="68" t="s">
        <v>45</v>
      </c>
      <c r="AH137" s="66"/>
      <c r="AI137" s="100"/>
      <c r="AJ137" s="101"/>
      <c r="AK137" s="102"/>
      <c r="AL137" s="49">
        <f>VLOOKUP(G137,VALIDACIONES!P:Q,2,0)</f>
        <v>30053111</v>
      </c>
      <c r="AM137" s="55" t="str">
        <f t="shared" si="13"/>
        <v>NADA</v>
      </c>
      <c r="AN137" s="99" t="str">
        <f t="shared" si="14"/>
        <v>NO</v>
      </c>
    </row>
    <row r="138" spans="1:40" s="103" customFormat="1">
      <c r="A138" s="141">
        <v>46185</v>
      </c>
      <c r="B138" s="139" t="str">
        <f t="shared" si="11"/>
        <v>06 A 18</v>
      </c>
      <c r="C138" s="62" t="str">
        <f t="shared" si="12"/>
        <v>16:00 a 18:00</v>
      </c>
      <c r="D138" s="66" t="s">
        <v>243</v>
      </c>
      <c r="E138" s="61">
        <v>2</v>
      </c>
      <c r="F138" s="78" t="s">
        <v>215</v>
      </c>
      <c r="G138" s="66" t="s">
        <v>2066</v>
      </c>
      <c r="H138" s="114">
        <v>367096</v>
      </c>
      <c r="I138" s="138">
        <v>48380566</v>
      </c>
      <c r="J138" s="66" t="s">
        <v>2627</v>
      </c>
      <c r="K138" s="66" t="s">
        <v>86</v>
      </c>
      <c r="L138" s="61" t="s">
        <v>76</v>
      </c>
      <c r="M138" s="61"/>
      <c r="N138" s="61"/>
      <c r="O138" s="66" t="s">
        <v>3020</v>
      </c>
      <c r="P138" s="66" t="s">
        <v>3021</v>
      </c>
      <c r="Q138" s="75">
        <v>0.71597222222222223</v>
      </c>
      <c r="R138" s="75">
        <v>0.72430555555555554</v>
      </c>
      <c r="S138" s="75">
        <v>0.71736111111111112</v>
      </c>
      <c r="T138" s="75">
        <v>0.72152777777777777</v>
      </c>
      <c r="U138" s="75" t="s">
        <v>2424</v>
      </c>
      <c r="V138" s="75" t="s">
        <v>2424</v>
      </c>
      <c r="W138" s="120" t="s">
        <v>2424</v>
      </c>
      <c r="X138" s="124" t="s">
        <v>3022</v>
      </c>
      <c r="Y138" s="122">
        <v>0</v>
      </c>
      <c r="Z138" s="67">
        <v>0</v>
      </c>
      <c r="AA138" s="67">
        <v>0</v>
      </c>
      <c r="AB138" s="108" t="s">
        <v>3023</v>
      </c>
      <c r="AC138" s="108" t="s">
        <v>2637</v>
      </c>
      <c r="AD138" s="66" t="s">
        <v>2638</v>
      </c>
      <c r="AE138" s="66"/>
      <c r="AF138" s="66"/>
      <c r="AG138" s="68" t="s">
        <v>45</v>
      </c>
      <c r="AH138" s="66"/>
      <c r="AI138" s="100"/>
      <c r="AJ138" s="101"/>
      <c r="AK138" s="102"/>
      <c r="AL138" s="49">
        <f>VLOOKUP(G138,VALIDACIONES!P:Q,2,0)</f>
        <v>47343705</v>
      </c>
      <c r="AM138" s="55" t="str">
        <f t="shared" si="13"/>
        <v>NADA</v>
      </c>
      <c r="AN138" s="99" t="str">
        <f t="shared" si="14"/>
        <v>NO</v>
      </c>
    </row>
    <row r="139" spans="1:40" s="103" customFormat="1">
      <c r="A139" s="141">
        <v>46185</v>
      </c>
      <c r="B139" s="139" t="str">
        <f t="shared" si="11"/>
        <v>06 A 18</v>
      </c>
      <c r="C139" s="62" t="str">
        <f t="shared" si="12"/>
        <v>16:00 a 18:00</v>
      </c>
      <c r="D139" s="66" t="s">
        <v>243</v>
      </c>
      <c r="E139" s="61">
        <v>2</v>
      </c>
      <c r="F139" s="78" t="s">
        <v>2707</v>
      </c>
      <c r="G139" s="66" t="s">
        <v>623</v>
      </c>
      <c r="H139" s="114">
        <v>367144</v>
      </c>
      <c r="I139" s="138">
        <v>48380540</v>
      </c>
      <c r="J139" s="66" t="s">
        <v>2628</v>
      </c>
      <c r="K139" s="66" t="s">
        <v>86</v>
      </c>
      <c r="L139" s="61" t="s">
        <v>76</v>
      </c>
      <c r="M139" s="61"/>
      <c r="N139" s="61"/>
      <c r="O139" s="66" t="s">
        <v>3024</v>
      </c>
      <c r="P139" s="66" t="s">
        <v>2646</v>
      </c>
      <c r="Q139" s="75">
        <v>0.71388888888888891</v>
      </c>
      <c r="R139" s="75">
        <v>0.82708333333333328</v>
      </c>
      <c r="S139" s="75">
        <v>0.71388888888888891</v>
      </c>
      <c r="T139" s="75">
        <v>0.72013888888888888</v>
      </c>
      <c r="U139" s="75" t="s">
        <v>2424</v>
      </c>
      <c r="V139" s="75" t="s">
        <v>2424</v>
      </c>
      <c r="W139" s="120" t="s">
        <v>2424</v>
      </c>
      <c r="X139" s="124" t="s">
        <v>3025</v>
      </c>
      <c r="Y139" s="122">
        <v>0</v>
      </c>
      <c r="Z139" s="67">
        <v>0</v>
      </c>
      <c r="AA139" s="67">
        <v>0</v>
      </c>
      <c r="AB139" s="108" t="s">
        <v>2647</v>
      </c>
      <c r="AC139" s="108" t="s">
        <v>2637</v>
      </c>
      <c r="AD139" s="66" t="s">
        <v>2638</v>
      </c>
      <c r="AE139" s="66"/>
      <c r="AF139" s="66"/>
      <c r="AG139" s="68" t="s">
        <v>45</v>
      </c>
      <c r="AH139" s="66"/>
      <c r="AI139" s="100"/>
      <c r="AJ139" s="101"/>
      <c r="AK139" s="102"/>
      <c r="AL139" s="49">
        <f>VLOOKUP(G139,VALIDACIONES!P:Q,2,0)</f>
        <v>38346365</v>
      </c>
      <c r="AM139" s="55" t="str">
        <f t="shared" si="13"/>
        <v>NADA</v>
      </c>
      <c r="AN139" s="99" t="str">
        <f t="shared" si="14"/>
        <v>NO</v>
      </c>
    </row>
    <row r="140" spans="1:40" s="103" customFormat="1">
      <c r="A140" s="141">
        <v>46185</v>
      </c>
      <c r="B140" s="139" t="str">
        <f t="shared" si="11"/>
        <v>06 A 18</v>
      </c>
      <c r="C140" s="62" t="str">
        <f t="shared" si="12"/>
        <v>16:00 a 18:00</v>
      </c>
      <c r="D140" s="66" t="s">
        <v>243</v>
      </c>
      <c r="E140" s="61">
        <v>2</v>
      </c>
      <c r="F140" s="78" t="s">
        <v>2709</v>
      </c>
      <c r="G140" s="66" t="s">
        <v>1552</v>
      </c>
      <c r="H140" s="114">
        <v>367133</v>
      </c>
      <c r="I140" s="138">
        <v>48380735</v>
      </c>
      <c r="J140" s="66" t="s">
        <v>2627</v>
      </c>
      <c r="K140" s="66" t="s">
        <v>2407</v>
      </c>
      <c r="L140" s="61"/>
      <c r="M140" s="61"/>
      <c r="N140" s="61"/>
      <c r="O140" s="66" t="s">
        <v>3026</v>
      </c>
      <c r="P140" s="104" t="s">
        <v>2702</v>
      </c>
      <c r="Q140" s="75">
        <v>0.73124999999999996</v>
      </c>
      <c r="R140" s="75">
        <v>0.74097222222222225</v>
      </c>
      <c r="S140" s="75"/>
      <c r="T140" s="75" t="s">
        <v>2424</v>
      </c>
      <c r="U140" s="75" t="s">
        <v>2424</v>
      </c>
      <c r="V140" s="75" t="s">
        <v>2424</v>
      </c>
      <c r="W140" s="120" t="s">
        <v>2424</v>
      </c>
      <c r="X140" s="124" t="s">
        <v>3027</v>
      </c>
      <c r="Y140" s="122">
        <v>0</v>
      </c>
      <c r="Z140" s="67">
        <v>0</v>
      </c>
      <c r="AA140" s="67">
        <v>0</v>
      </c>
      <c r="AB140" s="108" t="s">
        <v>2703</v>
      </c>
      <c r="AC140" s="108" t="s">
        <v>2637</v>
      </c>
      <c r="AD140" s="66" t="s">
        <v>2645</v>
      </c>
      <c r="AE140" s="66"/>
      <c r="AF140" s="66"/>
      <c r="AG140" s="68" t="s">
        <v>45</v>
      </c>
      <c r="AH140" s="66"/>
      <c r="AI140" s="100"/>
      <c r="AJ140" s="101"/>
      <c r="AK140" s="102"/>
      <c r="AL140" s="49">
        <f>VLOOKUP(G140,VALIDACIONES!P:Q,2,0)</f>
        <v>18057238</v>
      </c>
      <c r="AM140" s="55" t="str">
        <f t="shared" si="13"/>
        <v>NADA</v>
      </c>
      <c r="AN140" s="99" t="str">
        <f t="shared" si="14"/>
        <v>NO</v>
      </c>
    </row>
    <row r="141" spans="1:40" s="103" customFormat="1">
      <c r="A141" s="141">
        <v>46185</v>
      </c>
      <c r="B141" s="139" t="str">
        <f t="shared" si="11"/>
        <v>06 A 18</v>
      </c>
      <c r="C141" s="62" t="str">
        <f t="shared" si="12"/>
        <v>16:00 a 18:00</v>
      </c>
      <c r="D141" s="66" t="s">
        <v>243</v>
      </c>
      <c r="E141" s="61">
        <v>2</v>
      </c>
      <c r="F141" s="78" t="s">
        <v>2709</v>
      </c>
      <c r="G141" s="66" t="s">
        <v>528</v>
      </c>
      <c r="H141" s="114">
        <v>367372</v>
      </c>
      <c r="I141" s="138">
        <v>48380628</v>
      </c>
      <c r="J141" s="66" t="s">
        <v>2627</v>
      </c>
      <c r="K141" s="66" t="s">
        <v>86</v>
      </c>
      <c r="L141" s="61" t="s">
        <v>103</v>
      </c>
      <c r="M141" s="61"/>
      <c r="N141" s="61"/>
      <c r="O141" s="66" t="s">
        <v>2722</v>
      </c>
      <c r="P141" s="66" t="s">
        <v>2655</v>
      </c>
      <c r="Q141" s="75">
        <v>0.71875</v>
      </c>
      <c r="R141" s="75">
        <v>0.75</v>
      </c>
      <c r="S141" s="75">
        <v>0.71875</v>
      </c>
      <c r="T141" s="75">
        <v>0.71875</v>
      </c>
      <c r="U141" s="75">
        <v>0.71875</v>
      </c>
      <c r="V141" s="75" t="s">
        <v>2424</v>
      </c>
      <c r="W141" s="120" t="s">
        <v>2424</v>
      </c>
      <c r="X141" s="124" t="s">
        <v>3028</v>
      </c>
      <c r="Y141" s="122">
        <v>0</v>
      </c>
      <c r="Z141" s="67">
        <v>0</v>
      </c>
      <c r="AA141" s="67">
        <v>0</v>
      </c>
      <c r="AB141" s="108" t="s">
        <v>2689</v>
      </c>
      <c r="AC141" s="108" t="s">
        <v>2637</v>
      </c>
      <c r="AD141" s="66" t="s">
        <v>2638</v>
      </c>
      <c r="AE141" s="66"/>
      <c r="AF141" s="66"/>
      <c r="AG141" s="68" t="s">
        <v>45</v>
      </c>
      <c r="AH141" s="66"/>
      <c r="AI141" s="100"/>
      <c r="AJ141" s="101"/>
      <c r="AK141" s="102"/>
      <c r="AL141" s="49">
        <f>VLOOKUP(G141,VALIDACIONES!P:Q,2,0)</f>
        <v>18880507</v>
      </c>
      <c r="AM141" s="55" t="str">
        <f t="shared" si="13"/>
        <v>NADA</v>
      </c>
      <c r="AN141" s="99" t="str">
        <f t="shared" si="14"/>
        <v>NO</v>
      </c>
    </row>
    <row r="142" spans="1:40" s="103" customFormat="1">
      <c r="A142" s="141">
        <v>46185</v>
      </c>
      <c r="B142" s="139" t="str">
        <f t="shared" si="11"/>
        <v>06 A 18</v>
      </c>
      <c r="C142" s="62" t="str">
        <f t="shared" si="12"/>
        <v>16:00 a 18:00</v>
      </c>
      <c r="D142" s="66" t="s">
        <v>243</v>
      </c>
      <c r="E142" s="61">
        <v>2</v>
      </c>
      <c r="F142" s="78" t="s">
        <v>2709</v>
      </c>
      <c r="G142" s="66" t="s">
        <v>795</v>
      </c>
      <c r="H142" s="114">
        <v>367374</v>
      </c>
      <c r="I142" s="138">
        <v>48380639</v>
      </c>
      <c r="J142" s="66" t="s">
        <v>2627</v>
      </c>
      <c r="K142" s="66" t="s">
        <v>86</v>
      </c>
      <c r="L142" s="61" t="s">
        <v>76</v>
      </c>
      <c r="M142" s="61" t="s">
        <v>130</v>
      </c>
      <c r="N142" s="61"/>
      <c r="O142" s="66" t="s">
        <v>3029</v>
      </c>
      <c r="P142" s="104" t="s">
        <v>3015</v>
      </c>
      <c r="Q142" s="75">
        <v>0.73611111111111116</v>
      </c>
      <c r="R142" s="75">
        <v>0.84166666666666667</v>
      </c>
      <c r="S142" s="75">
        <v>0.73611111111111116</v>
      </c>
      <c r="T142" s="75">
        <v>0.73611111111111116</v>
      </c>
      <c r="U142" s="75" t="s">
        <v>2424</v>
      </c>
      <c r="V142" s="75" t="s">
        <v>2424</v>
      </c>
      <c r="W142" s="120" t="s">
        <v>2424</v>
      </c>
      <c r="X142" s="124" t="s">
        <v>3030</v>
      </c>
      <c r="Y142" s="122">
        <v>0</v>
      </c>
      <c r="Z142" s="67">
        <v>1</v>
      </c>
      <c r="AA142" s="67">
        <v>1</v>
      </c>
      <c r="AB142" s="108" t="s">
        <v>3017</v>
      </c>
      <c r="AC142" s="108" t="s">
        <v>2637</v>
      </c>
      <c r="AD142" s="66" t="s">
        <v>2638</v>
      </c>
      <c r="AE142" s="66"/>
      <c r="AF142" s="66"/>
      <c r="AG142" s="68" t="s">
        <v>62</v>
      </c>
      <c r="AH142" s="66"/>
      <c r="AI142" s="100" t="s">
        <v>2728</v>
      </c>
      <c r="AJ142" s="101"/>
      <c r="AK142" s="102"/>
      <c r="AL142" s="49">
        <f>VLOOKUP(G142,VALIDACIONES!P:Q,2,0)</f>
        <v>43170624</v>
      </c>
      <c r="AM142" s="55" t="str">
        <f t="shared" si="13"/>
        <v>IMPUTADO</v>
      </c>
      <c r="AN142" s="99" t="str">
        <f t="shared" si="14"/>
        <v>NO</v>
      </c>
    </row>
    <row r="143" spans="1:40" s="103" customFormat="1">
      <c r="A143" s="141">
        <v>46185</v>
      </c>
      <c r="B143" s="139" t="str">
        <f t="shared" si="11"/>
        <v>06 A 18</v>
      </c>
      <c r="C143" s="62" t="str">
        <f t="shared" si="12"/>
        <v>16:00 a 18:00</v>
      </c>
      <c r="D143" s="66" t="s">
        <v>2710</v>
      </c>
      <c r="E143" s="61">
        <v>6</v>
      </c>
      <c r="F143" s="78" t="s">
        <v>356</v>
      </c>
      <c r="G143" s="66" t="s">
        <v>933</v>
      </c>
      <c r="H143" s="114">
        <v>367105</v>
      </c>
      <c r="I143" s="138">
        <v>48380476</v>
      </c>
      <c r="J143" s="66" t="s">
        <v>2627</v>
      </c>
      <c r="K143" s="66" t="s">
        <v>173</v>
      </c>
      <c r="L143" s="61"/>
      <c r="M143" s="61" t="s">
        <v>173</v>
      </c>
      <c r="N143" s="61" t="s">
        <v>2414</v>
      </c>
      <c r="O143" s="66" t="s">
        <v>3031</v>
      </c>
      <c r="P143" s="104" t="s">
        <v>2664</v>
      </c>
      <c r="Q143" s="75">
        <v>0.70347222222222228</v>
      </c>
      <c r="R143" s="75">
        <v>0.78263888888888888</v>
      </c>
      <c r="S143" s="75">
        <v>0.70833333333333337</v>
      </c>
      <c r="T143" s="75" t="s">
        <v>2424</v>
      </c>
      <c r="U143" s="75" t="s">
        <v>2424</v>
      </c>
      <c r="V143" s="75" t="s">
        <v>2424</v>
      </c>
      <c r="W143" s="120" t="s">
        <v>2424</v>
      </c>
      <c r="X143" s="124" t="s">
        <v>3032</v>
      </c>
      <c r="Y143" s="122">
        <v>0</v>
      </c>
      <c r="Z143" s="67">
        <v>2</v>
      </c>
      <c r="AA143" s="67">
        <v>0</v>
      </c>
      <c r="AB143" s="108" t="s">
        <v>2692</v>
      </c>
      <c r="AC143" s="108" t="s">
        <v>2637</v>
      </c>
      <c r="AD143" s="66" t="s">
        <v>2645</v>
      </c>
      <c r="AE143" s="66"/>
      <c r="AF143" s="66" t="s">
        <v>3033</v>
      </c>
      <c r="AG143" s="68" t="s">
        <v>54</v>
      </c>
      <c r="AH143" s="66"/>
      <c r="AI143" s="100"/>
      <c r="AJ143" s="101"/>
      <c r="AK143" s="102"/>
      <c r="AL143" s="49">
        <f>VLOOKUP(G143,VALIDACIONES!P:Q,2,0)</f>
        <v>35092747</v>
      </c>
      <c r="AM143" s="55" t="str">
        <f t="shared" si="13"/>
        <v>IMPUTADO</v>
      </c>
      <c r="AN143" s="99" t="str">
        <f t="shared" si="14"/>
        <v>NO</v>
      </c>
    </row>
    <row r="144" spans="1:40" s="103" customFormat="1">
      <c r="A144" s="141">
        <v>46185</v>
      </c>
      <c r="B144" s="139" t="str">
        <f t="shared" si="11"/>
        <v>06 A 18</v>
      </c>
      <c r="C144" s="62" t="str">
        <f t="shared" si="12"/>
        <v>16:00 a 18:00</v>
      </c>
      <c r="D144" s="66" t="s">
        <v>243</v>
      </c>
      <c r="E144" s="61">
        <v>2</v>
      </c>
      <c r="F144" s="78" t="s">
        <v>2709</v>
      </c>
      <c r="G144" s="66" t="s">
        <v>1205</v>
      </c>
      <c r="H144" s="114">
        <v>367328</v>
      </c>
      <c r="I144" s="138">
        <v>48380756</v>
      </c>
      <c r="J144" s="66" t="s">
        <v>2627</v>
      </c>
      <c r="K144" s="66" t="s">
        <v>86</v>
      </c>
      <c r="L144" s="61" t="s">
        <v>136</v>
      </c>
      <c r="M144" s="61"/>
      <c r="N144" s="61"/>
      <c r="O144" s="66" t="s">
        <v>3034</v>
      </c>
      <c r="P144" s="104" t="s">
        <v>2655</v>
      </c>
      <c r="Q144" s="75">
        <v>0.74513888888888891</v>
      </c>
      <c r="R144" s="75">
        <v>0.77986111111111112</v>
      </c>
      <c r="S144" s="75">
        <v>0.74513888888888891</v>
      </c>
      <c r="T144" s="75" t="s">
        <v>2424</v>
      </c>
      <c r="U144" s="75" t="s">
        <v>2424</v>
      </c>
      <c r="V144" s="75" t="s">
        <v>2424</v>
      </c>
      <c r="W144" s="120" t="s">
        <v>2424</v>
      </c>
      <c r="X144" s="124" t="s">
        <v>3035</v>
      </c>
      <c r="Y144" s="122">
        <v>0</v>
      </c>
      <c r="Z144" s="67">
        <v>0</v>
      </c>
      <c r="AA144" s="67">
        <v>0</v>
      </c>
      <c r="AB144" s="108" t="s">
        <v>2656</v>
      </c>
      <c r="AC144" s="108" t="s">
        <v>2637</v>
      </c>
      <c r="AD144" s="66" t="s">
        <v>2638</v>
      </c>
      <c r="AE144" s="66"/>
      <c r="AF144" s="66"/>
      <c r="AG144" s="68" t="s">
        <v>45</v>
      </c>
      <c r="AH144" s="66"/>
      <c r="AI144" s="100"/>
      <c r="AJ144" s="101"/>
      <c r="AK144" s="102"/>
      <c r="AL144" s="49">
        <f>VLOOKUP(G144,VALIDACIONES!P:Q,2,0)</f>
        <v>42662009</v>
      </c>
      <c r="AM144" s="55" t="str">
        <f t="shared" si="13"/>
        <v>NADA</v>
      </c>
      <c r="AN144" s="99" t="str">
        <f t="shared" si="14"/>
        <v>NO</v>
      </c>
    </row>
    <row r="145" spans="1:40" s="103" customFormat="1">
      <c r="A145" s="141">
        <v>46185</v>
      </c>
      <c r="B145" s="139" t="str">
        <f t="shared" si="11"/>
        <v>06 A 18</v>
      </c>
      <c r="C145" s="62" t="str">
        <f t="shared" si="12"/>
        <v>16:00 a 18:00</v>
      </c>
      <c r="D145" s="66" t="s">
        <v>322</v>
      </c>
      <c r="E145" s="61">
        <v>5</v>
      </c>
      <c r="F145" s="78" t="s">
        <v>345</v>
      </c>
      <c r="G145" s="66" t="s">
        <v>935</v>
      </c>
      <c r="H145" s="114">
        <v>367129</v>
      </c>
      <c r="I145" s="138">
        <v>48380773</v>
      </c>
      <c r="J145" s="66" t="s">
        <v>2629</v>
      </c>
      <c r="K145" s="66" t="s">
        <v>173</v>
      </c>
      <c r="L145" s="61"/>
      <c r="M145" s="61"/>
      <c r="N145" s="61" t="s">
        <v>2431</v>
      </c>
      <c r="O145" s="66" t="s">
        <v>3036</v>
      </c>
      <c r="P145" s="104" t="s">
        <v>2691</v>
      </c>
      <c r="Q145" s="75">
        <v>0.7368055555555556</v>
      </c>
      <c r="R145" s="75">
        <v>0.75347222222222221</v>
      </c>
      <c r="S145" s="75">
        <v>0.74305555555555558</v>
      </c>
      <c r="T145" s="75" t="s">
        <v>2424</v>
      </c>
      <c r="U145" s="75" t="s">
        <v>2424</v>
      </c>
      <c r="V145" s="75" t="s">
        <v>2424</v>
      </c>
      <c r="W145" s="120" t="s">
        <v>2424</v>
      </c>
      <c r="X145" s="124" t="s">
        <v>3037</v>
      </c>
      <c r="Y145" s="122">
        <v>0</v>
      </c>
      <c r="Z145" s="67">
        <v>0</v>
      </c>
      <c r="AA145" s="67">
        <v>0</v>
      </c>
      <c r="AB145" s="108" t="s">
        <v>2945</v>
      </c>
      <c r="AC145" s="108" t="s">
        <v>2637</v>
      </c>
      <c r="AD145" s="66" t="s">
        <v>2638</v>
      </c>
      <c r="AE145" s="66"/>
      <c r="AF145" s="66"/>
      <c r="AG145" s="68" t="s">
        <v>45</v>
      </c>
      <c r="AH145" s="66"/>
      <c r="AI145" s="100"/>
      <c r="AJ145" s="101"/>
      <c r="AK145" s="102"/>
      <c r="AL145" s="49">
        <f>VLOOKUP(G145,VALIDACIONES!P:Q,2,0)</f>
        <v>41551914</v>
      </c>
      <c r="AM145" s="55" t="str">
        <f t="shared" si="13"/>
        <v>NADA</v>
      </c>
      <c r="AN145" s="99" t="str">
        <f t="shared" si="14"/>
        <v>NO</v>
      </c>
    </row>
    <row r="146" spans="1:40" s="103" customFormat="1">
      <c r="A146" s="141">
        <v>46185</v>
      </c>
      <c r="B146" s="139" t="str">
        <f t="shared" si="11"/>
        <v>06 A 18</v>
      </c>
      <c r="C146" s="62" t="str">
        <f t="shared" si="12"/>
        <v>16:00 a 18:00</v>
      </c>
      <c r="D146" s="66" t="s">
        <v>322</v>
      </c>
      <c r="E146" s="61">
        <v>5</v>
      </c>
      <c r="F146" s="78" t="s">
        <v>2631</v>
      </c>
      <c r="G146" s="66" t="s">
        <v>1552</v>
      </c>
      <c r="H146" s="114">
        <v>367139</v>
      </c>
      <c r="I146" s="138">
        <v>48381047</v>
      </c>
      <c r="J146" s="66" t="s">
        <v>2627</v>
      </c>
      <c r="K146" s="66" t="s">
        <v>2407</v>
      </c>
      <c r="L146" s="61"/>
      <c r="M146" s="61"/>
      <c r="N146" s="61"/>
      <c r="O146" s="66" t="s">
        <v>3038</v>
      </c>
      <c r="P146" s="104" t="s">
        <v>2662</v>
      </c>
      <c r="Q146" s="75">
        <v>0.74930555555555556</v>
      </c>
      <c r="R146" s="75">
        <v>0.76736111111111116</v>
      </c>
      <c r="S146" s="75" t="s">
        <v>2424</v>
      </c>
      <c r="T146" s="75" t="s">
        <v>2424</v>
      </c>
      <c r="U146" s="75" t="s">
        <v>2424</v>
      </c>
      <c r="V146" s="75" t="s">
        <v>2424</v>
      </c>
      <c r="W146" s="120" t="s">
        <v>2424</v>
      </c>
      <c r="X146" s="124" t="s">
        <v>3039</v>
      </c>
      <c r="Y146" s="122">
        <v>0</v>
      </c>
      <c r="Z146" s="67">
        <v>0</v>
      </c>
      <c r="AA146" s="67">
        <v>0</v>
      </c>
      <c r="AB146" s="108" t="s">
        <v>2642</v>
      </c>
      <c r="AC146" s="108" t="s">
        <v>2637</v>
      </c>
      <c r="AD146" s="66" t="s">
        <v>2645</v>
      </c>
      <c r="AE146" s="66"/>
      <c r="AF146" s="66"/>
      <c r="AG146" s="68" t="s">
        <v>45</v>
      </c>
      <c r="AH146" s="66"/>
      <c r="AI146" s="100"/>
      <c r="AJ146" s="101"/>
      <c r="AK146" s="102"/>
      <c r="AL146" s="49">
        <f>VLOOKUP(G146,VALIDACIONES!P:Q,2,0)</f>
        <v>18057238</v>
      </c>
      <c r="AM146" s="55" t="str">
        <f t="shared" si="13"/>
        <v>NADA</v>
      </c>
      <c r="AN146" s="99" t="str">
        <f t="shared" si="14"/>
        <v>NO</v>
      </c>
    </row>
    <row r="147" spans="1:40" s="103" customFormat="1">
      <c r="A147" s="141">
        <v>46185</v>
      </c>
      <c r="B147" s="139" t="str">
        <f t="shared" si="11"/>
        <v>18 A 06</v>
      </c>
      <c r="C147" s="62" t="str">
        <f t="shared" si="12"/>
        <v>18:00 a 20:00</v>
      </c>
      <c r="D147" s="66" t="s">
        <v>322</v>
      </c>
      <c r="E147" s="61">
        <v>5</v>
      </c>
      <c r="F147" s="78" t="s">
        <v>2634</v>
      </c>
      <c r="G147" s="66" t="s">
        <v>1874</v>
      </c>
      <c r="H147" s="114">
        <v>367132</v>
      </c>
      <c r="I147" s="138">
        <v>48380931</v>
      </c>
      <c r="J147" s="66" t="s">
        <v>2627</v>
      </c>
      <c r="K147" s="66" t="s">
        <v>86</v>
      </c>
      <c r="L147" s="61" t="s">
        <v>136</v>
      </c>
      <c r="M147" s="61"/>
      <c r="N147" s="61"/>
      <c r="O147" s="66" t="s">
        <v>3040</v>
      </c>
      <c r="P147" s="104" t="s">
        <v>2639</v>
      </c>
      <c r="Q147" s="75">
        <v>0.75624999999999998</v>
      </c>
      <c r="R147" s="75">
        <v>0.76111111111111107</v>
      </c>
      <c r="S147" s="75">
        <v>0.75624999999999998</v>
      </c>
      <c r="T147" s="75" t="s">
        <v>2424</v>
      </c>
      <c r="U147" s="75" t="s">
        <v>2424</v>
      </c>
      <c r="V147" s="75" t="s">
        <v>2424</v>
      </c>
      <c r="W147" s="120" t="s">
        <v>2424</v>
      </c>
      <c r="X147" s="124" t="s">
        <v>3041</v>
      </c>
      <c r="Y147" s="122">
        <v>0</v>
      </c>
      <c r="Z147" s="67">
        <v>0</v>
      </c>
      <c r="AA147" s="67">
        <v>0</v>
      </c>
      <c r="AB147" s="108" t="s">
        <v>2642</v>
      </c>
      <c r="AC147" s="108" t="s">
        <v>2637</v>
      </c>
      <c r="AD147" s="66" t="s">
        <v>2638</v>
      </c>
      <c r="AE147" s="66"/>
      <c r="AF147" s="66"/>
      <c r="AG147" s="68" t="s">
        <v>45</v>
      </c>
      <c r="AH147" s="66"/>
      <c r="AI147" s="100"/>
      <c r="AJ147" s="101"/>
      <c r="AK147" s="102"/>
      <c r="AL147" s="49">
        <f>VLOOKUP(G147,VALIDACIONES!P:Q,2,0)</f>
        <v>43445489</v>
      </c>
      <c r="AM147" s="55" t="str">
        <f t="shared" si="13"/>
        <v>NADA</v>
      </c>
      <c r="AN147" s="99" t="str">
        <f t="shared" si="14"/>
        <v>NO</v>
      </c>
    </row>
    <row r="148" spans="1:40" s="103" customFormat="1">
      <c r="A148" s="141">
        <v>46185</v>
      </c>
      <c r="B148" s="139" t="str">
        <f t="shared" si="11"/>
        <v>18 A 06</v>
      </c>
      <c r="C148" s="62" t="str">
        <f t="shared" si="12"/>
        <v>18:00 a 20:00</v>
      </c>
      <c r="D148" s="66" t="s">
        <v>322</v>
      </c>
      <c r="E148" s="61">
        <v>5</v>
      </c>
      <c r="F148" s="78" t="s">
        <v>328</v>
      </c>
      <c r="G148" s="66" t="s">
        <v>2245</v>
      </c>
      <c r="H148" s="114">
        <v>367099</v>
      </c>
      <c r="I148" s="138">
        <v>48380952</v>
      </c>
      <c r="J148" s="66" t="s">
        <v>2627</v>
      </c>
      <c r="K148" s="66" t="s">
        <v>145</v>
      </c>
      <c r="L148" s="61"/>
      <c r="M148" s="61"/>
      <c r="N148" s="61"/>
      <c r="O148" s="66" t="s">
        <v>3042</v>
      </c>
      <c r="P148" s="104" t="s">
        <v>2698</v>
      </c>
      <c r="Q148" s="75">
        <v>0.75763888888888886</v>
      </c>
      <c r="R148" s="75">
        <v>0.76041666666666663</v>
      </c>
      <c r="S148" s="75">
        <v>0.7583333333333333</v>
      </c>
      <c r="T148" s="75" t="s">
        <v>2424</v>
      </c>
      <c r="U148" s="75" t="s">
        <v>2424</v>
      </c>
      <c r="V148" s="75" t="s">
        <v>2424</v>
      </c>
      <c r="W148" s="120" t="s">
        <v>2424</v>
      </c>
      <c r="X148" s="124" t="s">
        <v>3043</v>
      </c>
      <c r="Y148" s="122">
        <v>0</v>
      </c>
      <c r="Z148" s="67">
        <v>0</v>
      </c>
      <c r="AA148" s="67">
        <v>0</v>
      </c>
      <c r="AB148" s="108" t="s">
        <v>2715</v>
      </c>
      <c r="AC148" s="108" t="s">
        <v>2637</v>
      </c>
      <c r="AD148" s="66" t="s">
        <v>2638</v>
      </c>
      <c r="AE148" s="66"/>
      <c r="AF148" s="66"/>
      <c r="AG148" s="68" t="s">
        <v>45</v>
      </c>
      <c r="AH148" s="66"/>
      <c r="AI148" s="100"/>
      <c r="AJ148" s="101"/>
      <c r="AK148" s="102"/>
      <c r="AL148" s="49">
        <f>VLOOKUP(G148,VALIDACIONES!P:Q,2,0)</f>
        <v>36895794</v>
      </c>
      <c r="AM148" s="55" t="str">
        <f t="shared" si="13"/>
        <v>NADA</v>
      </c>
      <c r="AN148" s="99" t="str">
        <f t="shared" si="14"/>
        <v>NO</v>
      </c>
    </row>
    <row r="149" spans="1:40" s="103" customFormat="1">
      <c r="A149" s="141">
        <v>46185</v>
      </c>
      <c r="B149" s="139" t="str">
        <f t="shared" si="11"/>
        <v>18 A 06</v>
      </c>
      <c r="C149" s="62" t="str">
        <f t="shared" si="12"/>
        <v>18:00 a 20:00</v>
      </c>
      <c r="D149" s="66" t="s">
        <v>322</v>
      </c>
      <c r="E149" s="61">
        <v>5</v>
      </c>
      <c r="F149" s="78" t="s">
        <v>2631</v>
      </c>
      <c r="G149" s="66" t="s">
        <v>1904</v>
      </c>
      <c r="H149" s="114">
        <v>367095</v>
      </c>
      <c r="I149" s="138">
        <v>48380997</v>
      </c>
      <c r="J149" s="66" t="s">
        <v>2627</v>
      </c>
      <c r="K149" s="66" t="s">
        <v>103</v>
      </c>
      <c r="L149" s="61"/>
      <c r="M149" s="61"/>
      <c r="N149" s="61"/>
      <c r="O149" s="66" t="s">
        <v>3044</v>
      </c>
      <c r="P149" s="104" t="s">
        <v>2652</v>
      </c>
      <c r="Q149" s="75">
        <v>0.75972222222222219</v>
      </c>
      <c r="R149" s="75">
        <v>0.78611111111111109</v>
      </c>
      <c r="S149" s="75">
        <v>0.76180555555555551</v>
      </c>
      <c r="T149" s="75" t="s">
        <v>2424</v>
      </c>
      <c r="U149" s="75">
        <v>0.76944444444444449</v>
      </c>
      <c r="V149" s="75" t="s">
        <v>2424</v>
      </c>
      <c r="W149" s="120" t="s">
        <v>2424</v>
      </c>
      <c r="X149" s="124" t="s">
        <v>3045</v>
      </c>
      <c r="Y149" s="122">
        <v>0</v>
      </c>
      <c r="Z149" s="67">
        <v>0</v>
      </c>
      <c r="AA149" s="67">
        <v>0</v>
      </c>
      <c r="AB149" s="108" t="s">
        <v>2660</v>
      </c>
      <c r="AC149" s="108" t="s">
        <v>2637</v>
      </c>
      <c r="AD149" s="66" t="s">
        <v>2638</v>
      </c>
      <c r="AE149" s="66"/>
      <c r="AF149" s="66"/>
      <c r="AG149" s="68" t="s">
        <v>45</v>
      </c>
      <c r="AH149" s="66"/>
      <c r="AI149" s="100"/>
      <c r="AJ149" s="101"/>
      <c r="AK149" s="102"/>
      <c r="AL149" s="49">
        <f>VLOOKUP(G149,VALIDACIONES!P:Q,2,0)</f>
        <v>47700706</v>
      </c>
      <c r="AM149" s="55" t="str">
        <f t="shared" si="13"/>
        <v>NADA</v>
      </c>
      <c r="AN149" s="99" t="str">
        <f t="shared" si="14"/>
        <v>NO</v>
      </c>
    </row>
    <row r="150" spans="1:40" s="103" customFormat="1">
      <c r="A150" s="141">
        <v>46185</v>
      </c>
      <c r="B150" s="139" t="str">
        <f t="shared" si="11"/>
        <v>18 A 06</v>
      </c>
      <c r="C150" s="62" t="str">
        <f t="shared" si="12"/>
        <v>18:00 a 20:00</v>
      </c>
      <c r="D150" s="66" t="s">
        <v>322</v>
      </c>
      <c r="E150" s="61">
        <v>5</v>
      </c>
      <c r="F150" s="78" t="s">
        <v>2634</v>
      </c>
      <c r="G150" s="66" t="s">
        <v>1837</v>
      </c>
      <c r="H150" s="114">
        <v>367297</v>
      </c>
      <c r="I150" s="138">
        <v>48381085</v>
      </c>
      <c r="J150" s="66" t="s">
        <v>2627</v>
      </c>
      <c r="K150" s="66" t="s">
        <v>198</v>
      </c>
      <c r="L150" s="61"/>
      <c r="M150" s="61" t="s">
        <v>130</v>
      </c>
      <c r="N150" s="61"/>
      <c r="O150" s="66" t="s">
        <v>3046</v>
      </c>
      <c r="P150" s="104" t="s">
        <v>2639</v>
      </c>
      <c r="Q150" s="75">
        <v>0.76249999999999996</v>
      </c>
      <c r="R150" s="75">
        <v>0.83888888888888891</v>
      </c>
      <c r="S150" s="75">
        <v>0.76944444444444449</v>
      </c>
      <c r="T150" s="75">
        <v>0.77708333333333335</v>
      </c>
      <c r="U150" s="75" t="s">
        <v>2424</v>
      </c>
      <c r="V150" s="75" t="s">
        <v>2424</v>
      </c>
      <c r="W150" s="120" t="s">
        <v>2424</v>
      </c>
      <c r="X150" s="124" t="s">
        <v>3047</v>
      </c>
      <c r="Y150" s="122">
        <v>0</v>
      </c>
      <c r="Z150" s="67">
        <v>1</v>
      </c>
      <c r="AA150" s="67">
        <v>1</v>
      </c>
      <c r="AB150" s="108" t="s">
        <v>2640</v>
      </c>
      <c r="AC150" s="108" t="s">
        <v>2637</v>
      </c>
      <c r="AD150" s="66" t="s">
        <v>2645</v>
      </c>
      <c r="AE150" s="66"/>
      <c r="AF150" s="66" t="s">
        <v>3048</v>
      </c>
      <c r="AG150" s="68" t="s">
        <v>54</v>
      </c>
      <c r="AH150" s="66"/>
      <c r="AI150" s="100"/>
      <c r="AJ150" s="101"/>
      <c r="AK150" s="102"/>
      <c r="AL150" s="49">
        <f>VLOOKUP(G150,VALIDACIONES!P:Q,2,0)</f>
        <v>43779589</v>
      </c>
      <c r="AM150" s="55" t="str">
        <f t="shared" si="13"/>
        <v>IMPUTADO</v>
      </c>
      <c r="AN150" s="99" t="str">
        <f t="shared" si="14"/>
        <v>NO</v>
      </c>
    </row>
    <row r="151" spans="1:40" s="103" customFormat="1">
      <c r="A151" s="141">
        <v>46185</v>
      </c>
      <c r="B151" s="139" t="str">
        <f t="shared" si="11"/>
        <v>18 A 06</v>
      </c>
      <c r="C151" s="62" t="str">
        <f t="shared" si="12"/>
        <v>18:00 a 20:00</v>
      </c>
      <c r="D151" s="66" t="s">
        <v>322</v>
      </c>
      <c r="E151" s="61">
        <v>5</v>
      </c>
      <c r="F151" s="78" t="s">
        <v>345</v>
      </c>
      <c r="G151" s="66" t="s">
        <v>2066</v>
      </c>
      <c r="H151" s="114">
        <v>367327</v>
      </c>
      <c r="I151" s="138">
        <v>48381022</v>
      </c>
      <c r="J151" s="66" t="s">
        <v>2629</v>
      </c>
      <c r="K151" s="66" t="s">
        <v>86</v>
      </c>
      <c r="L151" s="61" t="s">
        <v>173</v>
      </c>
      <c r="M151" s="61" t="s">
        <v>173</v>
      </c>
      <c r="N151" s="61"/>
      <c r="O151" s="66" t="s">
        <v>3049</v>
      </c>
      <c r="P151" s="104" t="s">
        <v>2664</v>
      </c>
      <c r="Q151" s="75">
        <v>0.76249999999999996</v>
      </c>
      <c r="R151" s="75">
        <v>0.8569444444444444</v>
      </c>
      <c r="S151" s="75">
        <v>0.76249999999999996</v>
      </c>
      <c r="T151" s="75" t="s">
        <v>2424</v>
      </c>
      <c r="U151" s="75" t="s">
        <v>2424</v>
      </c>
      <c r="V151" s="75" t="s">
        <v>2424</v>
      </c>
      <c r="W151" s="120" t="s">
        <v>2424</v>
      </c>
      <c r="X151" s="124" t="s">
        <v>3050</v>
      </c>
      <c r="Y151" s="122">
        <v>0</v>
      </c>
      <c r="Z151" s="67">
        <v>1</v>
      </c>
      <c r="AA151" s="67">
        <v>0</v>
      </c>
      <c r="AB151" s="108" t="s">
        <v>2692</v>
      </c>
      <c r="AC151" s="108" t="s">
        <v>2637</v>
      </c>
      <c r="AD151" s="66" t="s">
        <v>2638</v>
      </c>
      <c r="AE151" s="66"/>
      <c r="AF151" s="66" t="s">
        <v>2670</v>
      </c>
      <c r="AG151" s="68" t="s">
        <v>69</v>
      </c>
      <c r="AH151" s="66" t="s">
        <v>2727</v>
      </c>
      <c r="AI151" s="100"/>
      <c r="AJ151" s="101"/>
      <c r="AK151" s="102"/>
      <c r="AL151" s="49">
        <f>VLOOKUP(G151,VALIDACIONES!P:Q,2,0)</f>
        <v>47343705</v>
      </c>
      <c r="AM151" s="55" t="str">
        <f t="shared" si="13"/>
        <v>IMPUTADO</v>
      </c>
      <c r="AN151" s="99" t="str">
        <f t="shared" si="14"/>
        <v>NO</v>
      </c>
    </row>
    <row r="152" spans="1:40" s="103" customFormat="1">
      <c r="A152" s="141">
        <v>46185</v>
      </c>
      <c r="B152" s="139" t="str">
        <f t="shared" si="11"/>
        <v>18 A 06</v>
      </c>
      <c r="C152" s="62" t="str">
        <f t="shared" si="12"/>
        <v>18:00 a 20:00</v>
      </c>
      <c r="D152" s="66" t="s">
        <v>322</v>
      </c>
      <c r="E152" s="61">
        <v>5</v>
      </c>
      <c r="F152" s="78" t="s">
        <v>2632</v>
      </c>
      <c r="G152" s="66" t="s">
        <v>1865</v>
      </c>
      <c r="H152" s="114">
        <v>367183</v>
      </c>
      <c r="I152" s="138">
        <v>48381147</v>
      </c>
      <c r="J152" s="66" t="s">
        <v>2628</v>
      </c>
      <c r="K152" s="66" t="s">
        <v>86</v>
      </c>
      <c r="L152" s="61" t="s">
        <v>76</v>
      </c>
      <c r="M152" s="61"/>
      <c r="N152" s="61"/>
      <c r="O152" s="66" t="s">
        <v>3051</v>
      </c>
      <c r="P152" s="104" t="s">
        <v>2851</v>
      </c>
      <c r="Q152" s="75">
        <v>0.77222222222222225</v>
      </c>
      <c r="R152" s="75">
        <v>0.81666666666666665</v>
      </c>
      <c r="S152" s="75">
        <v>0.77222222222222225</v>
      </c>
      <c r="T152" s="75">
        <v>0.78680555555555554</v>
      </c>
      <c r="U152" s="75" t="s">
        <v>2424</v>
      </c>
      <c r="V152" s="75" t="s">
        <v>2424</v>
      </c>
      <c r="W152" s="120" t="s">
        <v>2424</v>
      </c>
      <c r="X152" s="124" t="s">
        <v>3052</v>
      </c>
      <c r="Y152" s="122">
        <v>0</v>
      </c>
      <c r="Z152" s="67">
        <v>0</v>
      </c>
      <c r="AA152" s="67">
        <v>1</v>
      </c>
      <c r="AB152" s="108" t="s">
        <v>2676</v>
      </c>
      <c r="AC152" s="108" t="s">
        <v>2637</v>
      </c>
      <c r="AD152" s="66" t="s">
        <v>2638</v>
      </c>
      <c r="AE152" s="66"/>
      <c r="AF152" s="66" t="s">
        <v>2719</v>
      </c>
      <c r="AG152" s="68" t="s">
        <v>45</v>
      </c>
      <c r="AH152" s="66"/>
      <c r="AI152" s="100"/>
      <c r="AJ152" s="101"/>
      <c r="AK152" s="102"/>
      <c r="AL152" s="49">
        <f>VLOOKUP(G152,VALIDACIONES!P:Q,2,0)</f>
        <v>47128781</v>
      </c>
      <c r="AM152" s="55" t="str">
        <f t="shared" si="13"/>
        <v>NADA</v>
      </c>
      <c r="AN152" s="99" t="str">
        <f t="shared" si="14"/>
        <v>NO</v>
      </c>
    </row>
    <row r="153" spans="1:40" s="103" customFormat="1">
      <c r="A153" s="141">
        <v>46185</v>
      </c>
      <c r="B153" s="139" t="str">
        <f t="shared" si="11"/>
        <v>18 A 06</v>
      </c>
      <c r="C153" s="62" t="str">
        <f t="shared" si="12"/>
        <v>18:00 a 20:00</v>
      </c>
      <c r="D153" s="66" t="s">
        <v>322</v>
      </c>
      <c r="E153" s="61">
        <v>5</v>
      </c>
      <c r="F153" s="78" t="s">
        <v>2631</v>
      </c>
      <c r="G153" s="66" t="s">
        <v>1235</v>
      </c>
      <c r="H153" s="114">
        <v>367248</v>
      </c>
      <c r="I153" s="138">
        <v>48381239</v>
      </c>
      <c r="J153" s="66" t="s">
        <v>2627</v>
      </c>
      <c r="K153" s="66" t="s">
        <v>86</v>
      </c>
      <c r="L153" s="61" t="s">
        <v>168</v>
      </c>
      <c r="M153" s="61" t="s">
        <v>173</v>
      </c>
      <c r="N153" s="61"/>
      <c r="O153" s="66" t="s">
        <v>3053</v>
      </c>
      <c r="P153" s="104" t="s">
        <v>2652</v>
      </c>
      <c r="Q153" s="75">
        <v>0.77847222222222223</v>
      </c>
      <c r="R153" s="75">
        <v>0.85347222222222219</v>
      </c>
      <c r="S153" s="75">
        <v>0.77847222222222223</v>
      </c>
      <c r="T153" s="75">
        <v>0.81458333333333333</v>
      </c>
      <c r="U153" s="75" t="s">
        <v>2424</v>
      </c>
      <c r="V153" s="75" t="s">
        <v>2424</v>
      </c>
      <c r="W153" s="120" t="s">
        <v>2424</v>
      </c>
      <c r="X153" s="124" t="s">
        <v>3054</v>
      </c>
      <c r="Y153" s="122">
        <v>0</v>
      </c>
      <c r="Z153" s="67">
        <v>1</v>
      </c>
      <c r="AA153" s="67">
        <v>0</v>
      </c>
      <c r="AB153" s="108" t="s">
        <v>2660</v>
      </c>
      <c r="AC153" s="108" t="s">
        <v>2637</v>
      </c>
      <c r="AD153" s="66" t="s">
        <v>2638</v>
      </c>
      <c r="AE153" s="66"/>
      <c r="AF153" s="66" t="s">
        <v>2706</v>
      </c>
      <c r="AG153" s="68" t="s">
        <v>62</v>
      </c>
      <c r="AH153" s="66"/>
      <c r="AI153" s="100"/>
      <c r="AJ153" s="101"/>
      <c r="AK153" s="102"/>
      <c r="AL153" s="49">
        <f>VLOOKUP(G153,VALIDACIONES!P:Q,2,0)</f>
        <v>47787990</v>
      </c>
      <c r="AM153" s="55" t="str">
        <f t="shared" si="13"/>
        <v>IMPUTADO</v>
      </c>
      <c r="AN153" s="99" t="str">
        <f t="shared" si="14"/>
        <v>NO</v>
      </c>
    </row>
    <row r="154" spans="1:40" s="103" customFormat="1">
      <c r="A154" s="141">
        <v>46185</v>
      </c>
      <c r="B154" s="139" t="str">
        <f t="shared" si="11"/>
        <v>18 A 06</v>
      </c>
      <c r="C154" s="62" t="str">
        <f t="shared" si="12"/>
        <v>18:00 a 20:00</v>
      </c>
      <c r="D154" s="66" t="s">
        <v>322</v>
      </c>
      <c r="E154" s="61">
        <v>5</v>
      </c>
      <c r="F154" s="78" t="s">
        <v>2632</v>
      </c>
      <c r="G154" s="66" t="s">
        <v>849</v>
      </c>
      <c r="H154" s="114">
        <v>367142</v>
      </c>
      <c r="I154" s="138">
        <v>48381274</v>
      </c>
      <c r="J154" s="66" t="s">
        <v>2628</v>
      </c>
      <c r="K154" s="66" t="s">
        <v>86</v>
      </c>
      <c r="L154" s="61" t="s">
        <v>76</v>
      </c>
      <c r="M154" s="61" t="s">
        <v>130</v>
      </c>
      <c r="N154" s="61"/>
      <c r="O154" s="66" t="s">
        <v>3055</v>
      </c>
      <c r="P154" s="104" t="s">
        <v>2686</v>
      </c>
      <c r="Q154" s="75">
        <v>0.77986111111111112</v>
      </c>
      <c r="R154" s="75">
        <v>0.82499999999999996</v>
      </c>
      <c r="S154" s="75">
        <v>0.77986111111111112</v>
      </c>
      <c r="T154" s="75">
        <v>0.79097222222222219</v>
      </c>
      <c r="U154" s="75" t="s">
        <v>2424</v>
      </c>
      <c r="V154" s="75" t="s">
        <v>2424</v>
      </c>
      <c r="W154" s="120" t="s">
        <v>2424</v>
      </c>
      <c r="X154" s="124" t="s">
        <v>3056</v>
      </c>
      <c r="Y154" s="122">
        <v>0</v>
      </c>
      <c r="Z154" s="67">
        <v>1</v>
      </c>
      <c r="AA154" s="67">
        <v>1</v>
      </c>
      <c r="AB154" s="108" t="s">
        <v>2687</v>
      </c>
      <c r="AC154" s="108" t="s">
        <v>2637</v>
      </c>
      <c r="AD154" s="66" t="s">
        <v>2638</v>
      </c>
      <c r="AE154" s="66"/>
      <c r="AF154" s="66" t="s">
        <v>3057</v>
      </c>
      <c r="AG154" s="68" t="s">
        <v>62</v>
      </c>
      <c r="AH154" s="66" t="s">
        <v>45</v>
      </c>
      <c r="AI154" s="100"/>
      <c r="AJ154" s="101"/>
      <c r="AK154" s="102"/>
      <c r="AL154" s="49">
        <f>VLOOKUP(G154,VALIDACIONES!P:Q,2,0)</f>
        <v>34438655</v>
      </c>
      <c r="AM154" s="55" t="str">
        <f t="shared" si="13"/>
        <v>IMPUTADO</v>
      </c>
      <c r="AN154" s="99" t="str">
        <f t="shared" si="14"/>
        <v>NO</v>
      </c>
    </row>
    <row r="155" spans="1:40" s="103" customFormat="1">
      <c r="A155" s="141">
        <v>46185</v>
      </c>
      <c r="B155" s="139" t="str">
        <f t="shared" si="11"/>
        <v>18 A 06</v>
      </c>
      <c r="C155" s="62" t="str">
        <f t="shared" si="12"/>
        <v>18:00 a 20:00</v>
      </c>
      <c r="D155" s="66" t="s">
        <v>322</v>
      </c>
      <c r="E155" s="61">
        <v>5</v>
      </c>
      <c r="F155" s="78" t="s">
        <v>328</v>
      </c>
      <c r="G155" s="66" t="s">
        <v>2445</v>
      </c>
      <c r="H155" s="114">
        <v>367255</v>
      </c>
      <c r="I155" s="138">
        <v>48381298</v>
      </c>
      <c r="J155" s="66" t="s">
        <v>2627</v>
      </c>
      <c r="K155" s="66" t="s">
        <v>86</v>
      </c>
      <c r="L155" s="61" t="s">
        <v>76</v>
      </c>
      <c r="M155" s="61" t="s">
        <v>130</v>
      </c>
      <c r="N155" s="61"/>
      <c r="O155" s="66" t="s">
        <v>3058</v>
      </c>
      <c r="P155" s="104" t="s">
        <v>2704</v>
      </c>
      <c r="Q155" s="75">
        <v>0.78333333333333333</v>
      </c>
      <c r="R155" s="75">
        <v>0.79652777777777772</v>
      </c>
      <c r="S155" s="75">
        <v>0.78333333333333333</v>
      </c>
      <c r="T155" s="75">
        <v>0.78611111111111109</v>
      </c>
      <c r="U155" s="75" t="s">
        <v>2424</v>
      </c>
      <c r="V155" s="75" t="s">
        <v>2424</v>
      </c>
      <c r="W155" s="120" t="s">
        <v>2424</v>
      </c>
      <c r="X155" s="124" t="s">
        <v>3059</v>
      </c>
      <c r="Y155" s="122">
        <v>0</v>
      </c>
      <c r="Z155" s="67">
        <v>1</v>
      </c>
      <c r="AA155" s="67">
        <v>1</v>
      </c>
      <c r="AB155" s="108" t="s">
        <v>2672</v>
      </c>
      <c r="AC155" s="108" t="s">
        <v>2637</v>
      </c>
      <c r="AD155" s="66" t="s">
        <v>2638</v>
      </c>
      <c r="AE155" s="66"/>
      <c r="AF155" s="66" t="s">
        <v>3060</v>
      </c>
      <c r="AG155" s="68" t="s">
        <v>62</v>
      </c>
      <c r="AH155" s="66" t="s">
        <v>45</v>
      </c>
      <c r="AI155" s="100"/>
      <c r="AJ155" s="101"/>
      <c r="AK155" s="102"/>
      <c r="AL155" s="49">
        <f>VLOOKUP(G155,VALIDACIONES!P:Q,2,0)</f>
        <v>45689445</v>
      </c>
      <c r="AM155" s="55" t="str">
        <f t="shared" si="13"/>
        <v>IMPUTADO</v>
      </c>
      <c r="AN155" s="99" t="str">
        <f t="shared" si="14"/>
        <v>NO</v>
      </c>
    </row>
    <row r="156" spans="1:40" s="103" customFormat="1">
      <c r="A156" s="141">
        <v>46185</v>
      </c>
      <c r="B156" s="139" t="str">
        <f t="shared" si="11"/>
        <v>18 A 06</v>
      </c>
      <c r="C156" s="62" t="str">
        <f t="shared" si="12"/>
        <v>18:00 a 20:00</v>
      </c>
      <c r="D156" s="66" t="s">
        <v>322</v>
      </c>
      <c r="E156" s="61">
        <v>5</v>
      </c>
      <c r="F156" s="78" t="s">
        <v>336</v>
      </c>
      <c r="G156" s="66" t="s">
        <v>1045</v>
      </c>
      <c r="H156" s="114">
        <v>367338</v>
      </c>
      <c r="I156" s="138">
        <v>48381411</v>
      </c>
      <c r="J156" s="66" t="s">
        <v>2627</v>
      </c>
      <c r="K156" s="66" t="s">
        <v>86</v>
      </c>
      <c r="L156" s="61" t="s">
        <v>76</v>
      </c>
      <c r="M156" s="61" t="s">
        <v>130</v>
      </c>
      <c r="N156" s="61"/>
      <c r="O156" s="66" t="s">
        <v>3061</v>
      </c>
      <c r="P156" s="104" t="s">
        <v>2893</v>
      </c>
      <c r="Q156" s="75">
        <v>0.79097222222222219</v>
      </c>
      <c r="R156" s="75">
        <v>0.8354166666666667</v>
      </c>
      <c r="S156" s="75">
        <v>0.79583333333333328</v>
      </c>
      <c r="T156" s="75">
        <v>0.79166666666666663</v>
      </c>
      <c r="U156" s="75" t="s">
        <v>2424</v>
      </c>
      <c r="V156" s="75" t="s">
        <v>2424</v>
      </c>
      <c r="W156" s="120" t="s">
        <v>2424</v>
      </c>
      <c r="X156" s="124" t="s">
        <v>3062</v>
      </c>
      <c r="Y156" s="122">
        <v>0</v>
      </c>
      <c r="Z156" s="67">
        <v>1</v>
      </c>
      <c r="AA156" s="67">
        <v>1</v>
      </c>
      <c r="AB156" s="108" t="s">
        <v>2650</v>
      </c>
      <c r="AC156" s="108" t="s">
        <v>2637</v>
      </c>
      <c r="AD156" s="66" t="s">
        <v>2638</v>
      </c>
      <c r="AE156" s="66"/>
      <c r="AF156" s="66" t="s">
        <v>3063</v>
      </c>
      <c r="AG156" s="68" t="s">
        <v>62</v>
      </c>
      <c r="AH156" s="66" t="s">
        <v>2727</v>
      </c>
      <c r="AI156" s="100"/>
      <c r="AJ156" s="101"/>
      <c r="AK156" s="102"/>
      <c r="AL156" s="49">
        <f>VLOOKUP(G156,VALIDACIONES!P:Q,2,0)</f>
        <v>39310688</v>
      </c>
      <c r="AM156" s="55" t="str">
        <f t="shared" si="13"/>
        <v>IMPUTADO</v>
      </c>
      <c r="AN156" s="99" t="str">
        <f t="shared" si="14"/>
        <v>NO</v>
      </c>
    </row>
    <row r="157" spans="1:40" s="103" customFormat="1">
      <c r="A157" s="141">
        <v>46185</v>
      </c>
      <c r="B157" s="139" t="str">
        <f t="shared" si="11"/>
        <v>18 A 06</v>
      </c>
      <c r="C157" s="62" t="str">
        <f t="shared" si="12"/>
        <v>18:00 a 20:00</v>
      </c>
      <c r="D157" s="66" t="s">
        <v>322</v>
      </c>
      <c r="E157" s="61">
        <v>5</v>
      </c>
      <c r="F157" s="78" t="s">
        <v>336</v>
      </c>
      <c r="G157" s="66" t="s">
        <v>1552</v>
      </c>
      <c r="H157" s="114">
        <v>367291</v>
      </c>
      <c r="I157" s="138">
        <v>48381453</v>
      </c>
      <c r="J157" s="66" t="s">
        <v>2627</v>
      </c>
      <c r="K157" s="66" t="s">
        <v>2407</v>
      </c>
      <c r="L157" s="61"/>
      <c r="M157" s="61"/>
      <c r="N157" s="61"/>
      <c r="O157" s="66" t="s">
        <v>3064</v>
      </c>
      <c r="P157" s="104" t="s">
        <v>2662</v>
      </c>
      <c r="Q157" s="75">
        <v>0.79166666666666663</v>
      </c>
      <c r="R157" s="75">
        <v>0.79791666666666672</v>
      </c>
      <c r="S157" s="75">
        <v>0.79652777777777772</v>
      </c>
      <c r="T157" s="75" t="s">
        <v>2424</v>
      </c>
      <c r="U157" s="75" t="s">
        <v>2424</v>
      </c>
      <c r="V157" s="75" t="s">
        <v>2424</v>
      </c>
      <c r="W157" s="120" t="s">
        <v>2424</v>
      </c>
      <c r="X157" s="124" t="s">
        <v>3065</v>
      </c>
      <c r="Y157" s="122">
        <v>0</v>
      </c>
      <c r="Z157" s="67">
        <v>0</v>
      </c>
      <c r="AA157" s="67">
        <v>0</v>
      </c>
      <c r="AB157" s="108" t="s">
        <v>2642</v>
      </c>
      <c r="AC157" s="108" t="s">
        <v>2637</v>
      </c>
      <c r="AD157" s="66" t="s">
        <v>2645</v>
      </c>
      <c r="AE157" s="66"/>
      <c r="AF157" s="66"/>
      <c r="AG157" s="68" t="s">
        <v>45</v>
      </c>
      <c r="AH157" s="66"/>
      <c r="AI157" s="100"/>
      <c r="AJ157" s="101"/>
      <c r="AK157" s="102"/>
      <c r="AL157" s="49">
        <f>VLOOKUP(G157,VALIDACIONES!P:Q,2,0)</f>
        <v>18057238</v>
      </c>
      <c r="AM157" s="55" t="str">
        <f t="shared" si="13"/>
        <v>NADA</v>
      </c>
      <c r="AN157" s="99" t="str">
        <f t="shared" si="14"/>
        <v>NO</v>
      </c>
    </row>
    <row r="158" spans="1:40" s="103" customFormat="1">
      <c r="A158" s="141">
        <v>46185</v>
      </c>
      <c r="B158" s="139" t="str">
        <f t="shared" si="11"/>
        <v>18 A 06</v>
      </c>
      <c r="C158" s="62" t="str">
        <f t="shared" si="12"/>
        <v>18:00 a 20:00</v>
      </c>
      <c r="D158" s="66" t="s">
        <v>322</v>
      </c>
      <c r="E158" s="61">
        <v>5</v>
      </c>
      <c r="F158" s="78" t="s">
        <v>2634</v>
      </c>
      <c r="G158" s="66" t="s">
        <v>517</v>
      </c>
      <c r="H158" s="114">
        <v>367346</v>
      </c>
      <c r="I158" s="138">
        <v>48381197</v>
      </c>
      <c r="J158" s="66" t="s">
        <v>2627</v>
      </c>
      <c r="K158" s="66" t="s">
        <v>86</v>
      </c>
      <c r="L158" s="61" t="s">
        <v>185</v>
      </c>
      <c r="M158" s="61"/>
      <c r="N158" s="61"/>
      <c r="O158" s="66" t="s">
        <v>3066</v>
      </c>
      <c r="P158" s="104" t="s">
        <v>2662</v>
      </c>
      <c r="Q158" s="75">
        <v>0.79374999999999996</v>
      </c>
      <c r="R158" s="75">
        <v>0.8125</v>
      </c>
      <c r="S158" s="75">
        <v>0.79374999999999996</v>
      </c>
      <c r="T158" s="75">
        <v>0.80486111111111114</v>
      </c>
      <c r="U158" s="75" t="s">
        <v>2424</v>
      </c>
      <c r="V158" s="75" t="s">
        <v>2424</v>
      </c>
      <c r="W158" s="120" t="s">
        <v>2424</v>
      </c>
      <c r="X158" s="124" t="s">
        <v>3067</v>
      </c>
      <c r="Y158" s="122">
        <v>0</v>
      </c>
      <c r="Z158" s="67">
        <v>0</v>
      </c>
      <c r="AA158" s="67">
        <v>0</v>
      </c>
      <c r="AB158" s="108" t="s">
        <v>2663</v>
      </c>
      <c r="AC158" s="108" t="s">
        <v>2637</v>
      </c>
      <c r="AD158" s="66" t="s">
        <v>2638</v>
      </c>
      <c r="AE158" s="66"/>
      <c r="AF158" s="66"/>
      <c r="AG158" s="68" t="s">
        <v>45</v>
      </c>
      <c r="AH158" s="66"/>
      <c r="AI158" s="100"/>
      <c r="AJ158" s="101"/>
      <c r="AK158" s="102"/>
      <c r="AL158" s="49">
        <f>VLOOKUP(G158,VALIDACIONES!P:Q,2,0)</f>
        <v>17212</v>
      </c>
      <c r="AM158" s="55" t="str">
        <f t="shared" si="13"/>
        <v>NADA</v>
      </c>
      <c r="AN158" s="99" t="str">
        <f t="shared" si="14"/>
        <v>NO</v>
      </c>
    </row>
    <row r="159" spans="1:40" s="103" customFormat="1">
      <c r="A159" s="141">
        <v>46185</v>
      </c>
      <c r="B159" s="139" t="str">
        <f t="shared" si="11"/>
        <v>18 A 06</v>
      </c>
      <c r="C159" s="62" t="str">
        <f t="shared" si="12"/>
        <v>18:00 a 20:00</v>
      </c>
      <c r="D159" s="66" t="s">
        <v>322</v>
      </c>
      <c r="E159" s="61">
        <v>5</v>
      </c>
      <c r="F159" s="78" t="s">
        <v>328</v>
      </c>
      <c r="G159" s="66" t="s">
        <v>1360</v>
      </c>
      <c r="H159" s="114">
        <v>367310</v>
      </c>
      <c r="I159" s="138">
        <v>48381428</v>
      </c>
      <c r="J159" s="66" t="s">
        <v>2627</v>
      </c>
      <c r="K159" s="66" t="s">
        <v>86</v>
      </c>
      <c r="L159" s="61" t="s">
        <v>76</v>
      </c>
      <c r="M159" s="61" t="s">
        <v>130</v>
      </c>
      <c r="N159" s="61"/>
      <c r="O159" s="66" t="s">
        <v>3068</v>
      </c>
      <c r="P159" s="104" t="s">
        <v>2673</v>
      </c>
      <c r="Q159" s="75">
        <v>0.79652777777777772</v>
      </c>
      <c r="R159" s="75">
        <v>0.80069444444444449</v>
      </c>
      <c r="S159" s="75">
        <v>0.79652777777777772</v>
      </c>
      <c r="T159" s="75">
        <v>0.79652777777777772</v>
      </c>
      <c r="U159" s="75" t="s">
        <v>2424</v>
      </c>
      <c r="V159" s="75" t="s">
        <v>2424</v>
      </c>
      <c r="W159" s="120" t="s">
        <v>2424</v>
      </c>
      <c r="X159" s="124" t="s">
        <v>3069</v>
      </c>
      <c r="Y159" s="122">
        <v>0</v>
      </c>
      <c r="Z159" s="67">
        <v>1</v>
      </c>
      <c r="AA159" s="67">
        <v>1</v>
      </c>
      <c r="AB159" s="108" t="s">
        <v>2697</v>
      </c>
      <c r="AC159" s="108" t="s">
        <v>2637</v>
      </c>
      <c r="AD159" s="66" t="s">
        <v>2638</v>
      </c>
      <c r="AE159" s="66" t="s">
        <v>2651</v>
      </c>
      <c r="AF159" s="66" t="s">
        <v>3063</v>
      </c>
      <c r="AG159" s="68" t="s">
        <v>62</v>
      </c>
      <c r="AH159" s="66" t="s">
        <v>3153</v>
      </c>
      <c r="AI159" s="100"/>
      <c r="AJ159" s="101"/>
      <c r="AK159" s="102"/>
      <c r="AL159" s="49">
        <f>VLOOKUP(G159,VALIDACIONES!P:Q,2,0)</f>
        <v>44544722</v>
      </c>
      <c r="AM159" s="55" t="str">
        <f t="shared" si="13"/>
        <v>IMPUTADO</v>
      </c>
      <c r="AN159" s="99" t="str">
        <f t="shared" si="14"/>
        <v>NO</v>
      </c>
    </row>
    <row r="160" spans="1:40" s="103" customFormat="1">
      <c r="A160" s="141">
        <v>46185</v>
      </c>
      <c r="B160" s="139" t="str">
        <f t="shared" si="11"/>
        <v>18 A 06</v>
      </c>
      <c r="C160" s="62" t="str">
        <f t="shared" si="12"/>
        <v>18:00 a 20:00</v>
      </c>
      <c r="D160" s="66" t="s">
        <v>322</v>
      </c>
      <c r="E160" s="61">
        <v>5</v>
      </c>
      <c r="F160" s="78" t="s">
        <v>2633</v>
      </c>
      <c r="G160" s="66" t="s">
        <v>1906</v>
      </c>
      <c r="H160" s="114">
        <v>367270</v>
      </c>
      <c r="I160" s="138">
        <v>48381435</v>
      </c>
      <c r="J160" s="66" t="s">
        <v>2627</v>
      </c>
      <c r="K160" s="66" t="s">
        <v>86</v>
      </c>
      <c r="L160" s="61" t="s">
        <v>136</v>
      </c>
      <c r="M160" s="61"/>
      <c r="N160" s="61"/>
      <c r="O160" s="66" t="s">
        <v>2713</v>
      </c>
      <c r="P160" s="104" t="s">
        <v>2673</v>
      </c>
      <c r="Q160" s="75">
        <v>0.80625000000000002</v>
      </c>
      <c r="R160" s="75">
        <v>0.80763888888888891</v>
      </c>
      <c r="S160" s="75">
        <v>0.80625000000000002</v>
      </c>
      <c r="T160" s="75" t="s">
        <v>2424</v>
      </c>
      <c r="U160" s="75" t="s">
        <v>2424</v>
      </c>
      <c r="V160" s="75" t="s">
        <v>2424</v>
      </c>
      <c r="W160" s="120" t="s">
        <v>2424</v>
      </c>
      <c r="X160" s="124" t="s">
        <v>3070</v>
      </c>
      <c r="Y160" s="122">
        <v>0</v>
      </c>
      <c r="Z160" s="67">
        <v>0</v>
      </c>
      <c r="AA160" s="67">
        <v>0</v>
      </c>
      <c r="AB160" s="108" t="s">
        <v>2679</v>
      </c>
      <c r="AC160" s="108" t="s">
        <v>2637</v>
      </c>
      <c r="AD160" s="66" t="s">
        <v>2638</v>
      </c>
      <c r="AE160" s="66"/>
      <c r="AF160" s="66"/>
      <c r="AG160" s="68" t="s">
        <v>45</v>
      </c>
      <c r="AH160" s="66"/>
      <c r="AI160" s="100"/>
      <c r="AJ160" s="101"/>
      <c r="AK160" s="102"/>
      <c r="AL160" s="49">
        <f>VLOOKUP(G160,VALIDACIONES!P:Q,2,0)</f>
        <v>46936229</v>
      </c>
      <c r="AM160" s="55" t="str">
        <f t="shared" si="13"/>
        <v>NADA</v>
      </c>
      <c r="AN160" s="99" t="str">
        <f t="shared" si="14"/>
        <v>NO</v>
      </c>
    </row>
    <row r="161" spans="1:40" s="103" customFormat="1">
      <c r="A161" s="141">
        <v>46185</v>
      </c>
      <c r="B161" s="139" t="str">
        <f t="shared" si="11"/>
        <v>18 A 06</v>
      </c>
      <c r="C161" s="62" t="str">
        <f t="shared" si="12"/>
        <v>18:00 a 20:00</v>
      </c>
      <c r="D161" s="66" t="s">
        <v>322</v>
      </c>
      <c r="E161" s="61">
        <v>5</v>
      </c>
      <c r="F161" s="78" t="s">
        <v>345</v>
      </c>
      <c r="G161" s="66" t="s">
        <v>1985</v>
      </c>
      <c r="H161" s="114">
        <v>367383</v>
      </c>
      <c r="I161" s="138">
        <v>48381600</v>
      </c>
      <c r="J161" s="66" t="s">
        <v>2629</v>
      </c>
      <c r="K161" s="66" t="s">
        <v>86</v>
      </c>
      <c r="L161" s="61" t="s">
        <v>131</v>
      </c>
      <c r="M161" s="61"/>
      <c r="N161" s="61"/>
      <c r="O161" s="66" t="s">
        <v>3071</v>
      </c>
      <c r="P161" s="104" t="s">
        <v>2691</v>
      </c>
      <c r="Q161" s="75">
        <v>0.80694444444444446</v>
      </c>
      <c r="R161" s="75">
        <v>0.85763888888888884</v>
      </c>
      <c r="S161" s="75">
        <v>0.80694444444444446</v>
      </c>
      <c r="T161" s="75" t="s">
        <v>2424</v>
      </c>
      <c r="U161" s="75" t="s">
        <v>2424</v>
      </c>
      <c r="V161" s="75" t="s">
        <v>2424</v>
      </c>
      <c r="W161" s="120" t="s">
        <v>2424</v>
      </c>
      <c r="X161" s="124" t="s">
        <v>3072</v>
      </c>
      <c r="Y161" s="122">
        <v>0</v>
      </c>
      <c r="Z161" s="67">
        <v>0</v>
      </c>
      <c r="AA161" s="67">
        <v>0</v>
      </c>
      <c r="AB161" s="108" t="s">
        <v>2945</v>
      </c>
      <c r="AC161" s="108" t="s">
        <v>2637</v>
      </c>
      <c r="AD161" s="66" t="s">
        <v>2638</v>
      </c>
      <c r="AE161" s="66"/>
      <c r="AF161" s="66"/>
      <c r="AG161" s="68" t="s">
        <v>45</v>
      </c>
      <c r="AH161" s="66"/>
      <c r="AI161" s="100" t="s">
        <v>3162</v>
      </c>
      <c r="AJ161" s="101"/>
      <c r="AK161" s="102"/>
      <c r="AL161" s="49">
        <f>VLOOKUP(G161,VALIDACIONES!P:Q,2,0)</f>
        <v>36561378</v>
      </c>
      <c r="AM161" s="55" t="str">
        <f t="shared" si="13"/>
        <v>NADA</v>
      </c>
      <c r="AN161" s="99" t="str">
        <f t="shared" si="14"/>
        <v>NO</v>
      </c>
    </row>
    <row r="162" spans="1:40" s="103" customFormat="1">
      <c r="A162" s="141">
        <v>46185</v>
      </c>
      <c r="B162" s="139" t="str">
        <f t="shared" si="11"/>
        <v>18 A 06</v>
      </c>
      <c r="C162" s="62" t="str">
        <f t="shared" si="12"/>
        <v>18:00 a 20:00</v>
      </c>
      <c r="D162" s="66" t="s">
        <v>322</v>
      </c>
      <c r="E162" s="61">
        <v>5</v>
      </c>
      <c r="F162" s="78" t="s">
        <v>336</v>
      </c>
      <c r="G162" s="66" t="s">
        <v>662</v>
      </c>
      <c r="H162" s="114">
        <v>367279</v>
      </c>
      <c r="I162" s="138">
        <v>48381684</v>
      </c>
      <c r="J162" s="66" t="s">
        <v>2627</v>
      </c>
      <c r="K162" s="66" t="s">
        <v>2407</v>
      </c>
      <c r="L162" s="61"/>
      <c r="M162" s="61"/>
      <c r="N162" s="61"/>
      <c r="O162" s="66" t="s">
        <v>3073</v>
      </c>
      <c r="P162" s="104" t="s">
        <v>2717</v>
      </c>
      <c r="Q162" s="75">
        <v>0.80833333333333335</v>
      </c>
      <c r="R162" s="75">
        <v>0.83402777777777781</v>
      </c>
      <c r="S162" s="75">
        <v>0.83333333333333337</v>
      </c>
      <c r="T162" s="75" t="s">
        <v>2424</v>
      </c>
      <c r="U162" s="75" t="s">
        <v>2424</v>
      </c>
      <c r="V162" s="75" t="s">
        <v>2424</v>
      </c>
      <c r="W162" s="120" t="s">
        <v>2424</v>
      </c>
      <c r="X162" s="124" t="s">
        <v>3074</v>
      </c>
      <c r="Y162" s="122">
        <v>0</v>
      </c>
      <c r="Z162" s="67">
        <v>0</v>
      </c>
      <c r="AA162" s="67">
        <v>0</v>
      </c>
      <c r="AB162" s="108" t="s">
        <v>2642</v>
      </c>
      <c r="AC162" s="108" t="s">
        <v>2637</v>
      </c>
      <c r="AD162" s="66" t="s">
        <v>2645</v>
      </c>
      <c r="AE162" s="66"/>
      <c r="AF162" s="66"/>
      <c r="AG162" s="68" t="s">
        <v>45</v>
      </c>
      <c r="AH162" s="66"/>
      <c r="AI162" s="100"/>
      <c r="AJ162" s="101"/>
      <c r="AK162" s="102"/>
      <c r="AL162" s="49">
        <f>VLOOKUP(G162,VALIDACIONES!P:Q,2,0)</f>
        <v>39742979</v>
      </c>
      <c r="AM162" s="55" t="str">
        <f t="shared" si="13"/>
        <v>NADA</v>
      </c>
      <c r="AN162" s="99" t="str">
        <f t="shared" si="14"/>
        <v>NO</v>
      </c>
    </row>
    <row r="163" spans="1:40" s="103" customFormat="1">
      <c r="A163" s="141">
        <v>46185</v>
      </c>
      <c r="B163" s="139" t="str">
        <f t="shared" si="11"/>
        <v>18 A 06</v>
      </c>
      <c r="C163" s="62" t="str">
        <f t="shared" si="12"/>
        <v>18:00 a 20:00</v>
      </c>
      <c r="D163" s="66" t="s">
        <v>322</v>
      </c>
      <c r="E163" s="61">
        <v>5</v>
      </c>
      <c r="F163" s="78" t="s">
        <v>2631</v>
      </c>
      <c r="G163" s="66" t="s">
        <v>662</v>
      </c>
      <c r="H163" s="114">
        <v>367299</v>
      </c>
      <c r="I163" s="138">
        <v>48381656</v>
      </c>
      <c r="J163" s="66" t="s">
        <v>2627</v>
      </c>
      <c r="K163" s="66" t="s">
        <v>173</v>
      </c>
      <c r="L163" s="61"/>
      <c r="M163" s="61"/>
      <c r="N163" s="61" t="s">
        <v>2413</v>
      </c>
      <c r="O163" s="66" t="s">
        <v>3075</v>
      </c>
      <c r="P163" s="104" t="s">
        <v>2652</v>
      </c>
      <c r="Q163" s="75">
        <v>0.81458333333333333</v>
      </c>
      <c r="R163" s="75">
        <v>0.82777777777777772</v>
      </c>
      <c r="S163" s="75">
        <v>0.81944444444444442</v>
      </c>
      <c r="T163" s="75" t="s">
        <v>2424</v>
      </c>
      <c r="U163" s="75" t="s">
        <v>2424</v>
      </c>
      <c r="V163" s="75" t="s">
        <v>2424</v>
      </c>
      <c r="W163" s="120" t="s">
        <v>2424</v>
      </c>
      <c r="X163" s="124" t="s">
        <v>3076</v>
      </c>
      <c r="Y163" s="122">
        <v>0</v>
      </c>
      <c r="Z163" s="67">
        <v>0</v>
      </c>
      <c r="AA163" s="67">
        <v>0</v>
      </c>
      <c r="AB163" s="108" t="s">
        <v>2660</v>
      </c>
      <c r="AC163" s="108" t="s">
        <v>2637</v>
      </c>
      <c r="AD163" s="66" t="s">
        <v>2638</v>
      </c>
      <c r="AE163" s="66"/>
      <c r="AF163" s="66"/>
      <c r="AG163" s="68" t="s">
        <v>45</v>
      </c>
      <c r="AH163" s="66"/>
      <c r="AI163" s="100"/>
      <c r="AJ163" s="101"/>
      <c r="AK163" s="102"/>
      <c r="AL163" s="49">
        <f>VLOOKUP(G163,VALIDACIONES!P:Q,2,0)</f>
        <v>39742979</v>
      </c>
      <c r="AM163" s="55" t="str">
        <f t="shared" si="13"/>
        <v>NADA</v>
      </c>
      <c r="AN163" s="99" t="str">
        <f t="shared" si="14"/>
        <v>NO</v>
      </c>
    </row>
    <row r="164" spans="1:40" s="103" customFormat="1">
      <c r="A164" s="141">
        <v>46185</v>
      </c>
      <c r="B164" s="139" t="str">
        <f t="shared" si="11"/>
        <v>18 A 06</v>
      </c>
      <c r="C164" s="62" t="str">
        <f t="shared" si="12"/>
        <v>18:00 a 20:00</v>
      </c>
      <c r="D164" s="66" t="s">
        <v>322</v>
      </c>
      <c r="E164" s="61">
        <v>5</v>
      </c>
      <c r="F164" s="78" t="s">
        <v>328</v>
      </c>
      <c r="G164" s="66" t="s">
        <v>1874</v>
      </c>
      <c r="H164" s="114">
        <v>367315</v>
      </c>
      <c r="I164" s="138">
        <v>48381717</v>
      </c>
      <c r="J164" s="66" t="s">
        <v>2627</v>
      </c>
      <c r="K164" s="66" t="s">
        <v>145</v>
      </c>
      <c r="L164" s="61"/>
      <c r="M164" s="61" t="s">
        <v>257</v>
      </c>
      <c r="N164" s="61"/>
      <c r="O164" s="66" t="s">
        <v>3077</v>
      </c>
      <c r="P164" s="104" t="s">
        <v>2639</v>
      </c>
      <c r="Q164" s="75">
        <v>0.81874999999999998</v>
      </c>
      <c r="R164" s="75">
        <v>0.83125000000000004</v>
      </c>
      <c r="S164" s="75">
        <v>0.82361111111111107</v>
      </c>
      <c r="T164" s="75" t="s">
        <v>2424</v>
      </c>
      <c r="U164" s="75" t="s">
        <v>2424</v>
      </c>
      <c r="V164" s="75" t="s">
        <v>2424</v>
      </c>
      <c r="W164" s="120" t="s">
        <v>2424</v>
      </c>
      <c r="X164" s="124" t="s">
        <v>3078</v>
      </c>
      <c r="Y164" s="122">
        <v>1</v>
      </c>
      <c r="Z164" s="67">
        <v>0</v>
      </c>
      <c r="AA164" s="67">
        <v>0</v>
      </c>
      <c r="AB164" s="108" t="s">
        <v>2640</v>
      </c>
      <c r="AC164" s="108" t="s">
        <v>2637</v>
      </c>
      <c r="AD164" s="66" t="s">
        <v>2638</v>
      </c>
      <c r="AE164" s="66"/>
      <c r="AF164" s="66" t="s">
        <v>3079</v>
      </c>
      <c r="AG164" s="68" t="s">
        <v>54</v>
      </c>
      <c r="AH164" s="66" t="s">
        <v>45</v>
      </c>
      <c r="AI164" s="100"/>
      <c r="AJ164" s="101"/>
      <c r="AK164" s="102"/>
      <c r="AL164" s="49">
        <f>VLOOKUP(G164,VALIDACIONES!P:Q,2,0)</f>
        <v>43445489</v>
      </c>
      <c r="AM164" s="55" t="str">
        <f t="shared" si="13"/>
        <v>IMPUTADO</v>
      </c>
      <c r="AN164" s="99" t="str">
        <f t="shared" si="14"/>
        <v>NO</v>
      </c>
    </row>
    <row r="165" spans="1:40" s="103" customFormat="1">
      <c r="A165" s="141">
        <v>46185</v>
      </c>
      <c r="B165" s="139" t="str">
        <f t="shared" si="11"/>
        <v>18 A 06</v>
      </c>
      <c r="C165" s="62" t="str">
        <f t="shared" si="12"/>
        <v>20:00 a 22:00</v>
      </c>
      <c r="D165" s="66" t="s">
        <v>322</v>
      </c>
      <c r="E165" s="61">
        <v>5</v>
      </c>
      <c r="F165" s="78" t="s">
        <v>336</v>
      </c>
      <c r="G165" s="66" t="s">
        <v>211</v>
      </c>
      <c r="H165" s="114">
        <v>367304</v>
      </c>
      <c r="I165" s="138">
        <v>48382072</v>
      </c>
      <c r="J165" s="66" t="s">
        <v>2627</v>
      </c>
      <c r="K165" s="66" t="s">
        <v>198</v>
      </c>
      <c r="L165" s="61"/>
      <c r="M165" s="61"/>
      <c r="N165" s="61"/>
      <c r="O165" s="66" t="s">
        <v>3080</v>
      </c>
      <c r="P165" s="104" t="s">
        <v>2684</v>
      </c>
      <c r="Q165" s="75">
        <v>0.85624999999999996</v>
      </c>
      <c r="R165" s="75">
        <v>0.87013888888888891</v>
      </c>
      <c r="S165" s="75">
        <v>0.85763888888888884</v>
      </c>
      <c r="T165" s="75" t="s">
        <v>2424</v>
      </c>
      <c r="U165" s="75" t="s">
        <v>2424</v>
      </c>
      <c r="V165" s="75" t="s">
        <v>2424</v>
      </c>
      <c r="W165" s="120" t="s">
        <v>2424</v>
      </c>
      <c r="X165" s="124" t="s">
        <v>3081</v>
      </c>
      <c r="Y165" s="122">
        <v>0</v>
      </c>
      <c r="Z165" s="67">
        <v>0</v>
      </c>
      <c r="AA165" s="67">
        <v>0</v>
      </c>
      <c r="AB165" s="108" t="s">
        <v>2685</v>
      </c>
      <c r="AC165" s="108" t="s">
        <v>2637</v>
      </c>
      <c r="AD165" s="66" t="s">
        <v>2638</v>
      </c>
      <c r="AE165" s="66"/>
      <c r="AF165" s="66"/>
      <c r="AG165" s="68" t="s">
        <v>45</v>
      </c>
      <c r="AH165" s="66"/>
      <c r="AI165" s="100"/>
      <c r="AJ165" s="101"/>
      <c r="AK165" s="102"/>
      <c r="AL165" s="49">
        <f>VLOOKUP(G165,VALIDACIONES!P:Q,2,0)</f>
        <v>17500576</v>
      </c>
      <c r="AM165" s="55" t="str">
        <f t="shared" si="13"/>
        <v>NADA</v>
      </c>
      <c r="AN165" s="99" t="str">
        <f t="shared" si="14"/>
        <v>NO</v>
      </c>
    </row>
    <row r="166" spans="1:40" s="103" customFormat="1">
      <c r="A166" s="141">
        <v>46185</v>
      </c>
      <c r="B166" s="139" t="str">
        <f t="shared" si="11"/>
        <v>18 A 06</v>
      </c>
      <c r="C166" s="62" t="str">
        <f t="shared" si="12"/>
        <v>20:00 a 22:00</v>
      </c>
      <c r="D166" s="66" t="s">
        <v>322</v>
      </c>
      <c r="E166" s="61">
        <v>5</v>
      </c>
      <c r="F166" s="78" t="s">
        <v>328</v>
      </c>
      <c r="G166" s="66" t="s">
        <v>959</v>
      </c>
      <c r="H166" s="114">
        <v>367316</v>
      </c>
      <c r="I166" s="138">
        <v>48382078</v>
      </c>
      <c r="J166" s="66" t="s">
        <v>2627</v>
      </c>
      <c r="K166" s="66" t="s">
        <v>86</v>
      </c>
      <c r="L166" s="61" t="s">
        <v>103</v>
      </c>
      <c r="M166" s="61"/>
      <c r="N166" s="61"/>
      <c r="O166" s="66" t="s">
        <v>3082</v>
      </c>
      <c r="P166" s="104" t="s">
        <v>2655</v>
      </c>
      <c r="Q166" s="75">
        <v>0.8569444444444444</v>
      </c>
      <c r="R166" s="75">
        <v>0.88194444444444442</v>
      </c>
      <c r="S166" s="75">
        <v>0.8569444444444444</v>
      </c>
      <c r="T166" s="75" t="s">
        <v>2424</v>
      </c>
      <c r="U166" s="75">
        <v>0.85972222222222228</v>
      </c>
      <c r="V166" s="75" t="s">
        <v>2424</v>
      </c>
      <c r="W166" s="120" t="s">
        <v>2424</v>
      </c>
      <c r="X166" s="124" t="s">
        <v>3083</v>
      </c>
      <c r="Y166" s="122">
        <v>0</v>
      </c>
      <c r="Z166" s="67">
        <v>0</v>
      </c>
      <c r="AA166" s="67">
        <v>0</v>
      </c>
      <c r="AB166" s="108" t="s">
        <v>2680</v>
      </c>
      <c r="AC166" s="108" t="s">
        <v>2637</v>
      </c>
      <c r="AD166" s="66" t="s">
        <v>2638</v>
      </c>
      <c r="AE166" s="66"/>
      <c r="AF166" s="66"/>
      <c r="AG166" s="68" t="s">
        <v>45</v>
      </c>
      <c r="AH166" s="66"/>
      <c r="AI166" s="100"/>
      <c r="AJ166" s="101"/>
      <c r="AK166" s="102"/>
      <c r="AL166" s="49">
        <f>VLOOKUP(G166,VALIDACIONES!P:Q,2,0)</f>
        <v>39911382</v>
      </c>
      <c r="AM166" s="55" t="str">
        <f t="shared" si="13"/>
        <v>NADA</v>
      </c>
      <c r="AN166" s="99" t="str">
        <f t="shared" si="14"/>
        <v>NO</v>
      </c>
    </row>
    <row r="167" spans="1:40" s="103" customFormat="1">
      <c r="A167" s="141">
        <v>46185</v>
      </c>
      <c r="B167" s="139" t="str">
        <f t="shared" ref="B167:B185" si="15">IF(AND(VALUE(Q167)&gt;=VALUE("06:00"),VALUE(Q167)&lt;=VALUE("17:59")),"06 A 18","18 A 06")</f>
        <v>18 A 06</v>
      </c>
      <c r="C167" s="62" t="str">
        <f t="shared" ref="C167:C185" si="16">IF(AND(VALUE(Q167)&gt;=VALUE("00:00"),VALUE(Q167)&lt;=VALUE("01:59")),"00:00 a 02:00",IF(AND(VALUE(Q167)&gt;=VALUE("02:00"),VALUE(Q167)&lt;=VALUE("03:59")),"02:00 a 04:00",IF(AND(VALUE(Q167)&gt;=VALUE("04:00"),VALUE(Q167)&lt;=VALUE("05:59")),"04:00 a 06:00",IF(AND(VALUE(Q167)&gt;=VALUE("06:00"),VALUE(Q167)&lt;=VALUE("07:59")),"06:00 a 08:00",IF(AND(VALUE(Q167)&gt;=VALUE("08:00"),VALUE(Q167)&lt;=VALUE("09:59")),"08:00 a 10:00",IF(AND(VALUE(Q167)&gt;=VALUE("10:00"),VALUE(Q167)&lt;=VALUE("11:59")),"10:00 a 12:00",IF(AND(VALUE(Q167)&gt;=VALUE("12:00"),VALUE(Q167)&lt;=VALUE("13:59")),"12:00 a 14:00",IF(AND(VALUE(Q167)&gt;=VALUE("14:00"),VALUE(Q167)&lt;=VALUE("15:59")),"14:00 a 16:00",IF(AND(VALUE(Q167)&gt;=VALUE("16:00"),VALUE(Q167)&lt;=VALUE("17:59")),"16:00 a 18:00",IF(AND(VALUE(Q167)&gt;=VALUE("18:00"),VALUE(Q167)&lt;=VALUE("19:59")),"18:00 a 20:00",IF(AND(VALUE(Q167)&gt;=VALUE("20:00"),VALUE(Q167)&lt;=VALUE("21:59")),"20:00 a 22:00",IF(AND(VALUE(Q167)&gt;=VALUE("22:00"),VALUE(Q167)&lt;=VALUE("23:59")),"22:00 a 00:00","no corresponde"))))))))))))</f>
        <v>20:00 a 22:00</v>
      </c>
      <c r="D167" s="66" t="s">
        <v>322</v>
      </c>
      <c r="E167" s="61">
        <v>5</v>
      </c>
      <c r="F167" s="78" t="s">
        <v>336</v>
      </c>
      <c r="G167" s="66" t="s">
        <v>2445</v>
      </c>
      <c r="H167" s="114">
        <v>367349</v>
      </c>
      <c r="I167" s="138">
        <v>48382059</v>
      </c>
      <c r="J167" s="66" t="s">
        <v>2627</v>
      </c>
      <c r="K167" s="66" t="s">
        <v>198</v>
      </c>
      <c r="L167" s="61"/>
      <c r="M167" s="61"/>
      <c r="N167" s="61"/>
      <c r="O167" s="66" t="s">
        <v>3084</v>
      </c>
      <c r="P167" s="104" t="s">
        <v>2700</v>
      </c>
      <c r="Q167" s="75">
        <v>0.86041666666666672</v>
      </c>
      <c r="R167" s="75">
        <v>0.86805555555555558</v>
      </c>
      <c r="S167" s="75">
        <v>0.86041666666666672</v>
      </c>
      <c r="T167" s="75" t="s">
        <v>2424</v>
      </c>
      <c r="U167" s="75" t="s">
        <v>2424</v>
      </c>
      <c r="V167" s="75" t="s">
        <v>2424</v>
      </c>
      <c r="W167" s="120" t="s">
        <v>2424</v>
      </c>
      <c r="X167" s="124" t="s">
        <v>3085</v>
      </c>
      <c r="Y167" s="122">
        <v>0</v>
      </c>
      <c r="Z167" s="67">
        <v>0</v>
      </c>
      <c r="AA167" s="67">
        <v>0</v>
      </c>
      <c r="AB167" s="108" t="s">
        <v>2656</v>
      </c>
      <c r="AC167" s="108" t="s">
        <v>2637</v>
      </c>
      <c r="AD167" s="66" t="s">
        <v>2638</v>
      </c>
      <c r="AE167" s="66"/>
      <c r="AF167" s="66"/>
      <c r="AG167" s="68" t="s">
        <v>45</v>
      </c>
      <c r="AH167" s="66"/>
      <c r="AI167" s="100"/>
      <c r="AJ167" s="101"/>
      <c r="AK167" s="102"/>
      <c r="AL167" s="49">
        <f>VLOOKUP(G167,VALIDACIONES!P:Q,2,0)</f>
        <v>45689445</v>
      </c>
      <c r="AM167" s="55" t="str">
        <f t="shared" ref="AM167:AM185" si="17">IF(OR(Z167&gt;0,Y167&gt;0),"IMPUTADO","NADA")</f>
        <v>NADA</v>
      </c>
      <c r="AN167" s="99" t="str">
        <f t="shared" ref="AN167:AN185" si="18">IF(AND(AM167="IMPUTADO",ISBLANK(M167)),"FALTO","NO")</f>
        <v>NO</v>
      </c>
    </row>
    <row r="168" spans="1:40" s="103" customFormat="1">
      <c r="A168" s="141">
        <v>46185</v>
      </c>
      <c r="B168" s="139" t="str">
        <f t="shared" si="15"/>
        <v>18 A 06</v>
      </c>
      <c r="C168" s="62" t="str">
        <f t="shared" si="16"/>
        <v>20:00 a 22:00</v>
      </c>
      <c r="D168" s="66" t="s">
        <v>322</v>
      </c>
      <c r="E168" s="61">
        <v>5</v>
      </c>
      <c r="F168" s="78" t="s">
        <v>345</v>
      </c>
      <c r="G168" s="66" t="s">
        <v>763</v>
      </c>
      <c r="H168" s="114">
        <v>367512</v>
      </c>
      <c r="I168" s="138">
        <v>48382136</v>
      </c>
      <c r="J168" s="66" t="s">
        <v>2629</v>
      </c>
      <c r="K168" s="66" t="s">
        <v>86</v>
      </c>
      <c r="L168" s="61" t="s">
        <v>185</v>
      </c>
      <c r="M168" s="61"/>
      <c r="N168" s="61"/>
      <c r="O168" s="66" t="s">
        <v>3086</v>
      </c>
      <c r="P168" s="104" t="s">
        <v>2691</v>
      </c>
      <c r="Q168" s="75">
        <v>0.86319444444444449</v>
      </c>
      <c r="R168" s="75">
        <v>0.90347222222222223</v>
      </c>
      <c r="S168" s="75">
        <v>0.86319444444444449</v>
      </c>
      <c r="T168" s="75" t="s">
        <v>3087</v>
      </c>
      <c r="U168" s="75" t="s">
        <v>2424</v>
      </c>
      <c r="V168" s="75" t="s">
        <v>2424</v>
      </c>
      <c r="W168" s="120" t="s">
        <v>2424</v>
      </c>
      <c r="X168" s="124" t="s">
        <v>3088</v>
      </c>
      <c r="Y168" s="122">
        <v>0</v>
      </c>
      <c r="Z168" s="67">
        <v>0</v>
      </c>
      <c r="AA168" s="67">
        <v>0</v>
      </c>
      <c r="AB168" s="108" t="s">
        <v>2945</v>
      </c>
      <c r="AC168" s="108" t="s">
        <v>2637</v>
      </c>
      <c r="AD168" s="66" t="s">
        <v>2638</v>
      </c>
      <c r="AE168" s="66"/>
      <c r="AF168" s="66"/>
      <c r="AG168" s="68" t="s">
        <v>45</v>
      </c>
      <c r="AH168" s="66"/>
      <c r="AI168" s="100"/>
      <c r="AJ168" s="101"/>
      <c r="AK168" s="102"/>
      <c r="AL168" s="49">
        <f>VLOOKUP(G168,VALIDACIONES!P:Q,2,0)</f>
        <v>11614</v>
      </c>
      <c r="AM168" s="55" t="str">
        <f t="shared" si="17"/>
        <v>NADA</v>
      </c>
      <c r="AN168" s="99" t="str">
        <f t="shared" si="18"/>
        <v>NO</v>
      </c>
    </row>
    <row r="169" spans="1:40" s="103" customFormat="1">
      <c r="A169" s="141">
        <v>46185</v>
      </c>
      <c r="B169" s="139" t="str">
        <f t="shared" si="15"/>
        <v>18 A 06</v>
      </c>
      <c r="C169" s="62" t="str">
        <f t="shared" si="16"/>
        <v>20:00 a 22:00</v>
      </c>
      <c r="D169" s="66" t="s">
        <v>322</v>
      </c>
      <c r="E169" s="61">
        <v>5</v>
      </c>
      <c r="F169" s="78" t="s">
        <v>328</v>
      </c>
      <c r="G169" s="66" t="s">
        <v>2026</v>
      </c>
      <c r="H169" s="114">
        <v>367632</v>
      </c>
      <c r="I169" s="138">
        <v>48382009</v>
      </c>
      <c r="J169" s="66" t="s">
        <v>2627</v>
      </c>
      <c r="K169" s="66" t="s">
        <v>86</v>
      </c>
      <c r="L169" s="61" t="s">
        <v>168</v>
      </c>
      <c r="M169" s="61" t="s">
        <v>173</v>
      </c>
      <c r="N169" s="61"/>
      <c r="O169" s="66" t="s">
        <v>3089</v>
      </c>
      <c r="P169" s="104" t="s">
        <v>2664</v>
      </c>
      <c r="Q169" s="75">
        <v>0.86736111111111114</v>
      </c>
      <c r="R169" s="75">
        <v>3.4722222222222224E-2</v>
      </c>
      <c r="S169" s="75">
        <v>0.86736111111111114</v>
      </c>
      <c r="T169" s="75">
        <v>0.88958333333333328</v>
      </c>
      <c r="U169" s="75" t="s">
        <v>2424</v>
      </c>
      <c r="V169" s="75" t="s">
        <v>2424</v>
      </c>
      <c r="W169" s="120" t="s">
        <v>2424</v>
      </c>
      <c r="X169" s="124" t="s">
        <v>3090</v>
      </c>
      <c r="Y169" s="122">
        <v>0</v>
      </c>
      <c r="Z169" s="67">
        <v>1</v>
      </c>
      <c r="AA169" s="67">
        <v>0</v>
      </c>
      <c r="AB169" s="108" t="s">
        <v>2689</v>
      </c>
      <c r="AC169" s="108" t="s">
        <v>2637</v>
      </c>
      <c r="AD169" s="66" t="s">
        <v>2638</v>
      </c>
      <c r="AE169" s="66" t="s">
        <v>2651</v>
      </c>
      <c r="AF169" s="66" t="s">
        <v>2706</v>
      </c>
      <c r="AG169" s="68" t="s">
        <v>62</v>
      </c>
      <c r="AH169" s="66" t="s">
        <v>3153</v>
      </c>
      <c r="AI169" s="100"/>
      <c r="AJ169" s="101"/>
      <c r="AK169" s="102"/>
      <c r="AL169" s="49">
        <f>VLOOKUP(G169,VALIDACIONES!P:Q,2,0)</f>
        <v>36845661</v>
      </c>
      <c r="AM169" s="55" t="str">
        <f t="shared" si="17"/>
        <v>IMPUTADO</v>
      </c>
      <c r="AN169" s="99" t="str">
        <f t="shared" si="18"/>
        <v>NO</v>
      </c>
    </row>
    <row r="170" spans="1:40" s="103" customFormat="1">
      <c r="A170" s="141">
        <v>46185</v>
      </c>
      <c r="B170" s="139" t="str">
        <f t="shared" si="15"/>
        <v>18 A 06</v>
      </c>
      <c r="C170" s="62" t="str">
        <f t="shared" si="16"/>
        <v>20:00 a 22:00</v>
      </c>
      <c r="D170" s="66" t="s">
        <v>322</v>
      </c>
      <c r="E170" s="61">
        <v>5</v>
      </c>
      <c r="F170" s="78" t="s">
        <v>2633</v>
      </c>
      <c r="G170" s="66" t="s">
        <v>1736</v>
      </c>
      <c r="H170" s="114">
        <v>367351</v>
      </c>
      <c r="I170" s="138">
        <v>48382190</v>
      </c>
      <c r="J170" s="66" t="s">
        <v>2627</v>
      </c>
      <c r="K170" s="66" t="s">
        <v>86</v>
      </c>
      <c r="L170" s="61" t="s">
        <v>125</v>
      </c>
      <c r="M170" s="61"/>
      <c r="N170" s="61"/>
      <c r="O170" s="66" t="s">
        <v>3091</v>
      </c>
      <c r="P170" s="104" t="s">
        <v>2673</v>
      </c>
      <c r="Q170" s="75">
        <v>0.86805555555555558</v>
      </c>
      <c r="R170" s="75">
        <v>0.91180555555555554</v>
      </c>
      <c r="S170" s="75">
        <v>0.86805555555555558</v>
      </c>
      <c r="T170" s="75">
        <v>0.89513888888888893</v>
      </c>
      <c r="U170" s="75" t="s">
        <v>2424</v>
      </c>
      <c r="V170" s="75" t="s">
        <v>2424</v>
      </c>
      <c r="W170" s="120" t="s">
        <v>2424</v>
      </c>
      <c r="X170" s="124" t="s">
        <v>3092</v>
      </c>
      <c r="Y170" s="122">
        <v>0</v>
      </c>
      <c r="Z170" s="67">
        <v>0</v>
      </c>
      <c r="AA170" s="67">
        <v>1</v>
      </c>
      <c r="AB170" s="108" t="s">
        <v>2679</v>
      </c>
      <c r="AC170" s="108" t="s">
        <v>2637</v>
      </c>
      <c r="AD170" s="66" t="s">
        <v>2638</v>
      </c>
      <c r="AE170" s="66"/>
      <c r="AF170" s="66" t="s">
        <v>3093</v>
      </c>
      <c r="AG170" s="68" t="s">
        <v>45</v>
      </c>
      <c r="AH170" s="66"/>
      <c r="AI170" s="100"/>
      <c r="AJ170" s="101"/>
      <c r="AK170" s="102"/>
      <c r="AL170" s="49">
        <f>VLOOKUP(G170,VALIDACIONES!P:Q,2,0)</f>
        <v>44533037</v>
      </c>
      <c r="AM170" s="55" t="str">
        <f t="shared" si="17"/>
        <v>NADA</v>
      </c>
      <c r="AN170" s="99" t="str">
        <f t="shared" si="18"/>
        <v>NO</v>
      </c>
    </row>
    <row r="171" spans="1:40" s="103" customFormat="1">
      <c r="A171" s="141">
        <v>46185</v>
      </c>
      <c r="B171" s="139" t="str">
        <f t="shared" si="15"/>
        <v>18 A 06</v>
      </c>
      <c r="C171" s="62" t="str">
        <f t="shared" si="16"/>
        <v>20:00 a 22:00</v>
      </c>
      <c r="D171" s="66" t="s">
        <v>322</v>
      </c>
      <c r="E171" s="61">
        <v>5</v>
      </c>
      <c r="F171" s="78" t="s">
        <v>345</v>
      </c>
      <c r="G171" s="66" t="s">
        <v>466</v>
      </c>
      <c r="H171" s="114">
        <v>367447</v>
      </c>
      <c r="I171" s="138">
        <v>48382225</v>
      </c>
      <c r="J171" s="66" t="s">
        <v>2629</v>
      </c>
      <c r="K171" s="66" t="s">
        <v>86</v>
      </c>
      <c r="L171" s="61" t="s">
        <v>173</v>
      </c>
      <c r="M171" s="61" t="s">
        <v>173</v>
      </c>
      <c r="N171" s="61"/>
      <c r="O171" s="66" t="s">
        <v>3094</v>
      </c>
      <c r="P171" s="104" t="s">
        <v>2664</v>
      </c>
      <c r="Q171" s="75">
        <v>0.86875000000000002</v>
      </c>
      <c r="R171" s="75">
        <v>46317</v>
      </c>
      <c r="S171" s="75">
        <v>0.86875000000000002</v>
      </c>
      <c r="T171" s="75" t="s">
        <v>2424</v>
      </c>
      <c r="U171" s="75" t="s">
        <v>2424</v>
      </c>
      <c r="V171" s="75" t="s">
        <v>2424</v>
      </c>
      <c r="W171" s="120" t="s">
        <v>2424</v>
      </c>
      <c r="X171" s="124" t="s">
        <v>3095</v>
      </c>
      <c r="Y171" s="122">
        <v>0</v>
      </c>
      <c r="Z171" s="67">
        <v>2</v>
      </c>
      <c r="AA171" s="67">
        <v>0</v>
      </c>
      <c r="AB171" s="108" t="s">
        <v>2692</v>
      </c>
      <c r="AC171" s="108" t="s">
        <v>2637</v>
      </c>
      <c r="AD171" s="66" t="s">
        <v>2638</v>
      </c>
      <c r="AE171" s="66"/>
      <c r="AF171" s="66" t="s">
        <v>2724</v>
      </c>
      <c r="AG171" s="68" t="s">
        <v>62</v>
      </c>
      <c r="AH171" s="66"/>
      <c r="AI171" s="100"/>
      <c r="AJ171" s="101"/>
      <c r="AK171" s="102"/>
      <c r="AL171" s="49">
        <f>VLOOKUP(G171,VALIDACIONES!P:Q,2,0)</f>
        <v>23782468</v>
      </c>
      <c r="AM171" s="55" t="str">
        <f t="shared" si="17"/>
        <v>IMPUTADO</v>
      </c>
      <c r="AN171" s="99" t="str">
        <f t="shared" si="18"/>
        <v>NO</v>
      </c>
    </row>
    <row r="172" spans="1:40" s="103" customFormat="1">
      <c r="A172" s="141">
        <v>46185</v>
      </c>
      <c r="B172" s="139" t="str">
        <f t="shared" si="15"/>
        <v>18 A 06</v>
      </c>
      <c r="C172" s="62" t="str">
        <f t="shared" si="16"/>
        <v>20:00 a 22:00</v>
      </c>
      <c r="D172" s="66" t="s">
        <v>322</v>
      </c>
      <c r="E172" s="61">
        <v>5</v>
      </c>
      <c r="F172" s="78" t="s">
        <v>2634</v>
      </c>
      <c r="G172" s="66" t="s">
        <v>635</v>
      </c>
      <c r="H172" s="114">
        <v>367551</v>
      </c>
      <c r="I172" s="138">
        <v>48382201</v>
      </c>
      <c r="J172" s="66" t="s">
        <v>2627</v>
      </c>
      <c r="K172" s="66" t="s">
        <v>86</v>
      </c>
      <c r="L172" s="61" t="s">
        <v>136</v>
      </c>
      <c r="M172" s="61"/>
      <c r="N172" s="61"/>
      <c r="O172" s="66" t="s">
        <v>3096</v>
      </c>
      <c r="P172" s="104" t="s">
        <v>2677</v>
      </c>
      <c r="Q172" s="75">
        <v>0.86875000000000002</v>
      </c>
      <c r="R172" s="75">
        <v>0.90277777777777779</v>
      </c>
      <c r="S172" s="75">
        <v>0.86875000000000002</v>
      </c>
      <c r="T172" s="75" t="s">
        <v>2424</v>
      </c>
      <c r="U172" s="75" t="s">
        <v>2424</v>
      </c>
      <c r="V172" s="75" t="s">
        <v>2424</v>
      </c>
      <c r="W172" s="120" t="s">
        <v>2424</v>
      </c>
      <c r="X172" s="124" t="s">
        <v>3097</v>
      </c>
      <c r="Y172" s="122">
        <v>0</v>
      </c>
      <c r="Z172" s="67">
        <v>0</v>
      </c>
      <c r="AA172" s="67">
        <v>0</v>
      </c>
      <c r="AB172" s="108" t="s">
        <v>2640</v>
      </c>
      <c r="AC172" s="108" t="s">
        <v>2637</v>
      </c>
      <c r="AD172" s="66" t="s">
        <v>2638</v>
      </c>
      <c r="AE172" s="66"/>
      <c r="AF172" s="66"/>
      <c r="AG172" s="68" t="s">
        <v>45</v>
      </c>
      <c r="AH172" s="66"/>
      <c r="AI172" s="100"/>
      <c r="AJ172" s="101"/>
      <c r="AK172" s="102"/>
      <c r="AL172" s="49">
        <f>VLOOKUP(G172,VALIDACIONES!P:Q,2,0)</f>
        <v>42157414</v>
      </c>
      <c r="AM172" s="55" t="str">
        <f t="shared" si="17"/>
        <v>NADA</v>
      </c>
      <c r="AN172" s="99" t="str">
        <f t="shared" si="18"/>
        <v>NO</v>
      </c>
    </row>
    <row r="173" spans="1:40" s="103" customFormat="1">
      <c r="A173" s="141">
        <v>46185</v>
      </c>
      <c r="B173" s="139" t="str">
        <f t="shared" si="15"/>
        <v>18 A 06</v>
      </c>
      <c r="C173" s="62" t="str">
        <f t="shared" si="16"/>
        <v>20:00 a 22:00</v>
      </c>
      <c r="D173" s="66" t="s">
        <v>322</v>
      </c>
      <c r="E173" s="61">
        <v>5</v>
      </c>
      <c r="F173" s="78" t="s">
        <v>2632</v>
      </c>
      <c r="G173" s="66" t="s">
        <v>538</v>
      </c>
      <c r="H173" s="114">
        <v>367334</v>
      </c>
      <c r="I173" s="138">
        <v>48382227</v>
      </c>
      <c r="J173" s="66" t="s">
        <v>2628</v>
      </c>
      <c r="K173" s="66" t="s">
        <v>86</v>
      </c>
      <c r="L173" s="61" t="s">
        <v>185</v>
      </c>
      <c r="M173" s="61"/>
      <c r="N173" s="61"/>
      <c r="O173" s="66" t="s">
        <v>3098</v>
      </c>
      <c r="P173" s="104" t="s">
        <v>2646</v>
      </c>
      <c r="Q173" s="75">
        <v>0.87638888888888888</v>
      </c>
      <c r="R173" s="75">
        <v>0.88472222222222219</v>
      </c>
      <c r="S173" s="75">
        <v>0.87638888888888888</v>
      </c>
      <c r="T173" s="75">
        <v>0.87916666666666665</v>
      </c>
      <c r="U173" s="75" t="s">
        <v>2424</v>
      </c>
      <c r="V173" s="75" t="s">
        <v>2424</v>
      </c>
      <c r="W173" s="120" t="s">
        <v>2424</v>
      </c>
      <c r="X173" s="124" t="s">
        <v>3099</v>
      </c>
      <c r="Y173" s="122">
        <v>0</v>
      </c>
      <c r="Z173" s="67">
        <v>0</v>
      </c>
      <c r="AA173" s="67">
        <v>1</v>
      </c>
      <c r="AB173" s="108" t="s">
        <v>2647</v>
      </c>
      <c r="AC173" s="108" t="s">
        <v>2637</v>
      </c>
      <c r="AD173" s="66" t="s">
        <v>2638</v>
      </c>
      <c r="AE173" s="66"/>
      <c r="AF173" s="66" t="s">
        <v>2719</v>
      </c>
      <c r="AG173" s="68" t="s">
        <v>45</v>
      </c>
      <c r="AH173" s="66"/>
      <c r="AI173" s="100"/>
      <c r="AJ173" s="101"/>
      <c r="AK173" s="102"/>
      <c r="AL173" s="49">
        <f>VLOOKUP(G173,VALIDACIONES!P:Q,2,0)</f>
        <v>35948823</v>
      </c>
      <c r="AM173" s="55" t="str">
        <f t="shared" si="17"/>
        <v>NADA</v>
      </c>
      <c r="AN173" s="99" t="str">
        <f t="shared" si="18"/>
        <v>NO</v>
      </c>
    </row>
    <row r="174" spans="1:40" s="103" customFormat="1">
      <c r="A174" s="141">
        <v>46185</v>
      </c>
      <c r="B174" s="139" t="str">
        <f t="shared" si="15"/>
        <v>18 A 06</v>
      </c>
      <c r="C174" s="62" t="str">
        <f t="shared" si="16"/>
        <v>20:00 a 22:00</v>
      </c>
      <c r="D174" s="66" t="s">
        <v>322</v>
      </c>
      <c r="E174" s="61">
        <v>5</v>
      </c>
      <c r="F174" s="78" t="s">
        <v>2634</v>
      </c>
      <c r="G174" s="66" t="s">
        <v>517</v>
      </c>
      <c r="H174" s="114">
        <v>367303</v>
      </c>
      <c r="I174" s="138">
        <v>48382271</v>
      </c>
      <c r="J174" s="66" t="s">
        <v>2627</v>
      </c>
      <c r="K174" s="66" t="s">
        <v>86</v>
      </c>
      <c r="L174" s="61" t="s">
        <v>125</v>
      </c>
      <c r="M174" s="61"/>
      <c r="N174" s="61"/>
      <c r="O174" s="66" t="s">
        <v>3100</v>
      </c>
      <c r="P174" s="104" t="s">
        <v>2641</v>
      </c>
      <c r="Q174" s="75">
        <v>0.87638888888888888</v>
      </c>
      <c r="R174" s="75">
        <v>0.88194444444444442</v>
      </c>
      <c r="S174" s="75">
        <v>0.87638888888888888</v>
      </c>
      <c r="T174" s="75" t="s">
        <v>2424</v>
      </c>
      <c r="U174" s="75" t="s">
        <v>2424</v>
      </c>
      <c r="V174" s="75" t="s">
        <v>2424</v>
      </c>
      <c r="W174" s="120" t="s">
        <v>2424</v>
      </c>
      <c r="X174" s="124" t="s">
        <v>3101</v>
      </c>
      <c r="Y174" s="122">
        <v>0</v>
      </c>
      <c r="Z174" s="67">
        <v>0</v>
      </c>
      <c r="AA174" s="67">
        <v>0</v>
      </c>
      <c r="AB174" s="108" t="s">
        <v>2642</v>
      </c>
      <c r="AC174" s="108" t="s">
        <v>2637</v>
      </c>
      <c r="AD174" s="66" t="s">
        <v>2638</v>
      </c>
      <c r="AE174" s="66"/>
      <c r="AF174" s="66"/>
      <c r="AG174" s="68" t="s">
        <v>45</v>
      </c>
      <c r="AH174" s="66"/>
      <c r="AI174" s="100"/>
      <c r="AJ174" s="101"/>
      <c r="AK174" s="102"/>
      <c r="AL174" s="49">
        <f>VLOOKUP(G174,VALIDACIONES!P:Q,2,0)</f>
        <v>17212</v>
      </c>
      <c r="AM174" s="55" t="str">
        <f t="shared" si="17"/>
        <v>NADA</v>
      </c>
      <c r="AN174" s="99" t="str">
        <f t="shared" si="18"/>
        <v>NO</v>
      </c>
    </row>
    <row r="175" spans="1:40" s="103" customFormat="1">
      <c r="A175" s="141">
        <v>46185</v>
      </c>
      <c r="B175" s="139" t="str">
        <f t="shared" si="15"/>
        <v>18 A 06</v>
      </c>
      <c r="C175" s="62" t="str">
        <f t="shared" si="16"/>
        <v>20:00 a 22:00</v>
      </c>
      <c r="D175" s="66" t="s">
        <v>322</v>
      </c>
      <c r="E175" s="61">
        <v>5</v>
      </c>
      <c r="F175" s="78" t="s">
        <v>345</v>
      </c>
      <c r="G175" s="66" t="s">
        <v>763</v>
      </c>
      <c r="H175" s="114">
        <v>367506</v>
      </c>
      <c r="I175" s="138">
        <v>48382060</v>
      </c>
      <c r="J175" s="66" t="s">
        <v>2629</v>
      </c>
      <c r="K175" s="66" t="s">
        <v>86</v>
      </c>
      <c r="L175" s="61" t="s">
        <v>131</v>
      </c>
      <c r="M175" s="61" t="s">
        <v>173</v>
      </c>
      <c r="N175" s="61" t="s">
        <v>2417</v>
      </c>
      <c r="O175" s="66" t="s">
        <v>3102</v>
      </c>
      <c r="P175" s="104" t="s">
        <v>2664</v>
      </c>
      <c r="Q175" s="75">
        <v>0.87847222222222221</v>
      </c>
      <c r="R175" s="75">
        <v>0.95208333333333328</v>
      </c>
      <c r="S175" s="75">
        <v>0.87847222222222221</v>
      </c>
      <c r="T175" s="75" t="s">
        <v>2424</v>
      </c>
      <c r="U175" s="75" t="s">
        <v>2424</v>
      </c>
      <c r="V175" s="75" t="s">
        <v>2424</v>
      </c>
      <c r="W175" s="120" t="s">
        <v>2424</v>
      </c>
      <c r="X175" s="124" t="s">
        <v>3103</v>
      </c>
      <c r="Y175" s="122">
        <v>0</v>
      </c>
      <c r="Z175" s="67">
        <v>1</v>
      </c>
      <c r="AA175" s="67">
        <v>0</v>
      </c>
      <c r="AB175" s="108" t="s">
        <v>2665</v>
      </c>
      <c r="AC175" s="108" t="s">
        <v>2637</v>
      </c>
      <c r="AD175" s="66" t="s">
        <v>2638</v>
      </c>
      <c r="AE175" s="66"/>
      <c r="AF175" s="66" t="s">
        <v>2670</v>
      </c>
      <c r="AG175" s="68" t="s">
        <v>62</v>
      </c>
      <c r="AH175" s="66" t="s">
        <v>2727</v>
      </c>
      <c r="AI175" s="100"/>
      <c r="AJ175" s="101"/>
      <c r="AK175" s="102"/>
      <c r="AL175" s="49">
        <f>VLOOKUP(G175,VALIDACIONES!P:Q,2,0)</f>
        <v>11614</v>
      </c>
      <c r="AM175" s="55" t="str">
        <f t="shared" si="17"/>
        <v>IMPUTADO</v>
      </c>
      <c r="AN175" s="99" t="str">
        <f t="shared" si="18"/>
        <v>NO</v>
      </c>
    </row>
    <row r="176" spans="1:40" s="103" customFormat="1">
      <c r="A176" s="141">
        <v>46185</v>
      </c>
      <c r="B176" s="139" t="str">
        <f t="shared" si="15"/>
        <v>18 A 06</v>
      </c>
      <c r="C176" s="62" t="str">
        <f t="shared" si="16"/>
        <v>20:00 a 22:00</v>
      </c>
      <c r="D176" s="66" t="s">
        <v>322</v>
      </c>
      <c r="E176" s="61">
        <v>5</v>
      </c>
      <c r="F176" s="78" t="s">
        <v>2631</v>
      </c>
      <c r="G176" s="66" t="s">
        <v>1758</v>
      </c>
      <c r="H176" s="114">
        <v>367701</v>
      </c>
      <c r="I176" s="138">
        <v>48382343</v>
      </c>
      <c r="J176" s="66" t="s">
        <v>2627</v>
      </c>
      <c r="K176" s="66" t="s">
        <v>2407</v>
      </c>
      <c r="L176" s="61"/>
      <c r="M176" s="61"/>
      <c r="N176" s="61"/>
      <c r="O176" s="66" t="s">
        <v>2960</v>
      </c>
      <c r="P176" s="104" t="s">
        <v>2652</v>
      </c>
      <c r="Q176" s="75">
        <v>0.87847222222222221</v>
      </c>
      <c r="R176" s="75">
        <v>0.88055555555555554</v>
      </c>
      <c r="S176" s="75">
        <v>0.88055555555555554</v>
      </c>
      <c r="T176" s="75" t="s">
        <v>2424</v>
      </c>
      <c r="U176" s="75" t="s">
        <v>2424</v>
      </c>
      <c r="V176" s="75" t="s">
        <v>2424</v>
      </c>
      <c r="W176" s="120" t="s">
        <v>2424</v>
      </c>
      <c r="X176" s="124" t="s">
        <v>3104</v>
      </c>
      <c r="Y176" s="122">
        <v>0</v>
      </c>
      <c r="Z176" s="67">
        <v>0</v>
      </c>
      <c r="AA176" s="67">
        <v>0</v>
      </c>
      <c r="AB176" s="108" t="s">
        <v>2653</v>
      </c>
      <c r="AC176" s="108" t="s">
        <v>2637</v>
      </c>
      <c r="AD176" s="66" t="s">
        <v>2645</v>
      </c>
      <c r="AE176" s="66"/>
      <c r="AF176" s="66"/>
      <c r="AG176" s="68" t="s">
        <v>45</v>
      </c>
      <c r="AH176" s="66"/>
      <c r="AI176" s="100"/>
      <c r="AJ176" s="101"/>
      <c r="AK176" s="102"/>
      <c r="AL176" s="49">
        <f>VLOOKUP(G176,VALIDACIONES!P:Q,2,0)</f>
        <v>46252382</v>
      </c>
      <c r="AM176" s="55" t="str">
        <f t="shared" si="17"/>
        <v>NADA</v>
      </c>
      <c r="AN176" s="99" t="str">
        <f t="shared" si="18"/>
        <v>NO</v>
      </c>
    </row>
    <row r="177" spans="1:40" s="103" customFormat="1">
      <c r="A177" s="141">
        <v>46185</v>
      </c>
      <c r="B177" s="139" t="str">
        <f t="shared" si="15"/>
        <v>18 A 06</v>
      </c>
      <c r="C177" s="62" t="str">
        <f t="shared" si="16"/>
        <v>20:00 a 22:00</v>
      </c>
      <c r="D177" s="66" t="s">
        <v>322</v>
      </c>
      <c r="E177" s="61">
        <v>5</v>
      </c>
      <c r="F177" s="78" t="s">
        <v>2634</v>
      </c>
      <c r="G177" s="66" t="s">
        <v>517</v>
      </c>
      <c r="H177" s="114">
        <v>367344</v>
      </c>
      <c r="I177" s="138">
        <v>48382355</v>
      </c>
      <c r="J177" s="66" t="s">
        <v>2627</v>
      </c>
      <c r="K177" s="66" t="s">
        <v>86</v>
      </c>
      <c r="L177" s="61" t="s">
        <v>125</v>
      </c>
      <c r="M177" s="61"/>
      <c r="N177" s="61"/>
      <c r="O177" s="66" t="s">
        <v>3100</v>
      </c>
      <c r="P177" s="104" t="s">
        <v>2641</v>
      </c>
      <c r="Q177" s="75">
        <v>0.87986111111111109</v>
      </c>
      <c r="R177" s="75">
        <v>0.89444444444444449</v>
      </c>
      <c r="S177" s="75">
        <v>0.87986111111111109</v>
      </c>
      <c r="T177" s="75" t="s">
        <v>2424</v>
      </c>
      <c r="U177" s="75" t="s">
        <v>2424</v>
      </c>
      <c r="V177" s="75" t="s">
        <v>2424</v>
      </c>
      <c r="W177" s="120" t="s">
        <v>2424</v>
      </c>
      <c r="X177" s="124" t="s">
        <v>3105</v>
      </c>
      <c r="Y177" s="122">
        <v>0</v>
      </c>
      <c r="Z177" s="67">
        <v>0</v>
      </c>
      <c r="AA177" s="67">
        <v>0</v>
      </c>
      <c r="AB177" s="108" t="s">
        <v>2642</v>
      </c>
      <c r="AC177" s="108" t="s">
        <v>2637</v>
      </c>
      <c r="AD177" s="66" t="s">
        <v>2638</v>
      </c>
      <c r="AE177" s="66"/>
      <c r="AF177" s="66"/>
      <c r="AG177" s="68" t="s">
        <v>45</v>
      </c>
      <c r="AH177" s="66"/>
      <c r="AI177" s="100"/>
      <c r="AJ177" s="101"/>
      <c r="AK177" s="102"/>
      <c r="AL177" s="49">
        <f>VLOOKUP(G177,VALIDACIONES!P:Q,2,0)</f>
        <v>17212</v>
      </c>
      <c r="AM177" s="55" t="str">
        <f t="shared" si="17"/>
        <v>NADA</v>
      </c>
      <c r="AN177" s="99" t="str">
        <f t="shared" si="18"/>
        <v>NO</v>
      </c>
    </row>
    <row r="178" spans="1:40" s="103" customFormat="1">
      <c r="A178" s="141">
        <v>46185</v>
      </c>
      <c r="B178" s="139" t="str">
        <f t="shared" si="15"/>
        <v>18 A 06</v>
      </c>
      <c r="C178" s="62" t="str">
        <f t="shared" si="16"/>
        <v>20:00 a 22:00</v>
      </c>
      <c r="D178" s="66" t="s">
        <v>322</v>
      </c>
      <c r="E178" s="61">
        <v>5</v>
      </c>
      <c r="F178" s="78" t="s">
        <v>2631</v>
      </c>
      <c r="G178" s="66" t="s">
        <v>1904</v>
      </c>
      <c r="H178" s="114">
        <v>367435</v>
      </c>
      <c r="I178" s="138">
        <v>48382244</v>
      </c>
      <c r="J178" s="66" t="s">
        <v>2627</v>
      </c>
      <c r="K178" s="66" t="s">
        <v>86</v>
      </c>
      <c r="L178" s="61" t="s">
        <v>76</v>
      </c>
      <c r="M178" s="61" t="s">
        <v>130</v>
      </c>
      <c r="N178" s="61"/>
      <c r="O178" s="66" t="s">
        <v>3106</v>
      </c>
      <c r="P178" s="104" t="s">
        <v>2717</v>
      </c>
      <c r="Q178" s="75">
        <v>0.8833333333333333</v>
      </c>
      <c r="R178" s="75">
        <v>0.93402777777777779</v>
      </c>
      <c r="S178" s="75">
        <v>0.8833333333333333</v>
      </c>
      <c r="T178" s="75">
        <v>0.8833333333333333</v>
      </c>
      <c r="U178" s="75" t="s">
        <v>2424</v>
      </c>
      <c r="V178" s="75" t="s">
        <v>2424</v>
      </c>
      <c r="W178" s="120" t="s">
        <v>2424</v>
      </c>
      <c r="X178" s="124" t="s">
        <v>3107</v>
      </c>
      <c r="Y178" s="122">
        <v>0</v>
      </c>
      <c r="Z178" s="67">
        <v>1</v>
      </c>
      <c r="AA178" s="67">
        <v>1</v>
      </c>
      <c r="AB178" s="108" t="s">
        <v>2657</v>
      </c>
      <c r="AC178" s="108" t="s">
        <v>2637</v>
      </c>
      <c r="AD178" s="66" t="s">
        <v>2638</v>
      </c>
      <c r="AE178" s="66"/>
      <c r="AF178" s="66" t="s">
        <v>3060</v>
      </c>
      <c r="AG178" s="68" t="s">
        <v>62</v>
      </c>
      <c r="AH178" s="66"/>
      <c r="AI178" s="100"/>
      <c r="AJ178" s="101"/>
      <c r="AK178" s="102"/>
      <c r="AL178" s="49">
        <f>VLOOKUP(G178,VALIDACIONES!P:Q,2,0)</f>
        <v>47700706</v>
      </c>
      <c r="AM178" s="55" t="str">
        <f t="shared" si="17"/>
        <v>IMPUTADO</v>
      </c>
      <c r="AN178" s="99" t="str">
        <f t="shared" si="18"/>
        <v>NO</v>
      </c>
    </row>
    <row r="179" spans="1:40" s="103" customFormat="1">
      <c r="A179" s="141">
        <v>46185</v>
      </c>
      <c r="B179" s="139" t="str">
        <f t="shared" si="15"/>
        <v>18 A 06</v>
      </c>
      <c r="C179" s="62" t="str">
        <f t="shared" si="16"/>
        <v>20:00 a 22:00</v>
      </c>
      <c r="D179" s="66" t="s">
        <v>322</v>
      </c>
      <c r="E179" s="61">
        <v>5</v>
      </c>
      <c r="F179" s="78" t="s">
        <v>345</v>
      </c>
      <c r="G179" s="66" t="s">
        <v>935</v>
      </c>
      <c r="H179" s="114">
        <v>367492</v>
      </c>
      <c r="I179" s="138">
        <v>48382462</v>
      </c>
      <c r="J179" s="66" t="s">
        <v>2629</v>
      </c>
      <c r="K179" s="66" t="s">
        <v>203</v>
      </c>
      <c r="L179" s="61"/>
      <c r="M179" s="61"/>
      <c r="N179" s="61"/>
      <c r="O179" s="66" t="s">
        <v>3108</v>
      </c>
      <c r="P179" s="104" t="s">
        <v>3021</v>
      </c>
      <c r="Q179" s="75">
        <v>0.89444444444444449</v>
      </c>
      <c r="R179" s="75">
        <v>0.96875</v>
      </c>
      <c r="S179" s="75">
        <v>0.90208333333333335</v>
      </c>
      <c r="T179" s="75">
        <v>0.8979166666666667</v>
      </c>
      <c r="U179" s="75" t="s">
        <v>2424</v>
      </c>
      <c r="V179" s="75" t="s">
        <v>2424</v>
      </c>
      <c r="W179" s="120" t="s">
        <v>2424</v>
      </c>
      <c r="X179" s="124" t="s">
        <v>3109</v>
      </c>
      <c r="Y179" s="122">
        <v>0</v>
      </c>
      <c r="Z179" s="67">
        <v>0</v>
      </c>
      <c r="AA179" s="67">
        <v>1</v>
      </c>
      <c r="AB179" s="108" t="s">
        <v>3023</v>
      </c>
      <c r="AC179" s="108" t="s">
        <v>2637</v>
      </c>
      <c r="AD179" s="66" t="s">
        <v>2638</v>
      </c>
      <c r="AE179" s="66"/>
      <c r="AF179" s="66" t="s">
        <v>2669</v>
      </c>
      <c r="AG179" s="68" t="s">
        <v>45</v>
      </c>
      <c r="AH179" s="66"/>
      <c r="AI179" s="100"/>
      <c r="AJ179" s="101"/>
      <c r="AK179" s="102"/>
      <c r="AL179" s="49">
        <f>VLOOKUP(G179,VALIDACIONES!P:Q,2,0)</f>
        <v>41551914</v>
      </c>
      <c r="AM179" s="55" t="str">
        <f t="shared" si="17"/>
        <v>NADA</v>
      </c>
      <c r="AN179" s="99" t="str">
        <f t="shared" si="18"/>
        <v>NO</v>
      </c>
    </row>
    <row r="180" spans="1:40" s="103" customFormat="1">
      <c r="A180" s="141">
        <v>46185</v>
      </c>
      <c r="B180" s="139" t="str">
        <f t="shared" si="15"/>
        <v>18 A 06</v>
      </c>
      <c r="C180" s="62" t="str">
        <f t="shared" si="16"/>
        <v>20:00 a 22:00</v>
      </c>
      <c r="D180" s="66" t="s">
        <v>322</v>
      </c>
      <c r="E180" s="61">
        <v>5</v>
      </c>
      <c r="F180" s="78" t="s">
        <v>2631</v>
      </c>
      <c r="G180" s="66" t="s">
        <v>791</v>
      </c>
      <c r="H180" s="114">
        <v>367647</v>
      </c>
      <c r="I180" s="138">
        <v>48382603</v>
      </c>
      <c r="J180" s="66" t="s">
        <v>2627</v>
      </c>
      <c r="K180" s="66" t="s">
        <v>173</v>
      </c>
      <c r="L180" s="61"/>
      <c r="M180" s="61"/>
      <c r="N180" s="61" t="s">
        <v>2417</v>
      </c>
      <c r="O180" s="66" t="s">
        <v>3110</v>
      </c>
      <c r="P180" s="104" t="s">
        <v>2717</v>
      </c>
      <c r="Q180" s="75">
        <v>0.89930555555555558</v>
      </c>
      <c r="R180" s="75">
        <v>0.92777777777777781</v>
      </c>
      <c r="S180" s="75">
        <v>0.92500000000000004</v>
      </c>
      <c r="T180" s="75" t="s">
        <v>2424</v>
      </c>
      <c r="U180" s="75" t="s">
        <v>2424</v>
      </c>
      <c r="V180" s="75" t="s">
        <v>2424</v>
      </c>
      <c r="W180" s="120" t="s">
        <v>2424</v>
      </c>
      <c r="X180" s="124" t="s">
        <v>3111</v>
      </c>
      <c r="Y180" s="122">
        <v>0</v>
      </c>
      <c r="Z180" s="67">
        <v>0</v>
      </c>
      <c r="AA180" s="67">
        <v>0</v>
      </c>
      <c r="AB180" s="108" t="s">
        <v>2657</v>
      </c>
      <c r="AC180" s="108" t="s">
        <v>2637</v>
      </c>
      <c r="AD180" s="66" t="s">
        <v>2638</v>
      </c>
      <c r="AE180" s="66"/>
      <c r="AF180" s="66"/>
      <c r="AG180" s="68" t="s">
        <v>45</v>
      </c>
      <c r="AH180" s="66"/>
      <c r="AI180" s="100"/>
      <c r="AJ180" s="101"/>
      <c r="AK180" s="102"/>
      <c r="AL180" s="49">
        <f>VLOOKUP(G180,VALIDACIONES!P:Q,2,0)</f>
        <v>27382983</v>
      </c>
      <c r="AM180" s="55" t="str">
        <f t="shared" si="17"/>
        <v>NADA</v>
      </c>
      <c r="AN180" s="99" t="str">
        <f t="shared" si="18"/>
        <v>NO</v>
      </c>
    </row>
    <row r="181" spans="1:40" s="103" customFormat="1">
      <c r="A181" s="141">
        <v>46185</v>
      </c>
      <c r="B181" s="139" t="str">
        <f t="shared" si="15"/>
        <v>18 A 06</v>
      </c>
      <c r="C181" s="62" t="str">
        <f t="shared" si="16"/>
        <v>20:00 a 22:00</v>
      </c>
      <c r="D181" s="66" t="s">
        <v>322</v>
      </c>
      <c r="E181" s="61">
        <v>5</v>
      </c>
      <c r="F181" s="78" t="s">
        <v>2634</v>
      </c>
      <c r="G181" s="66" t="s">
        <v>224</v>
      </c>
      <c r="H181" s="114">
        <v>367630</v>
      </c>
      <c r="I181" s="138">
        <v>48382447</v>
      </c>
      <c r="J181" s="66" t="s">
        <v>2627</v>
      </c>
      <c r="K181" s="66" t="s">
        <v>86</v>
      </c>
      <c r="L181" s="61" t="s">
        <v>103</v>
      </c>
      <c r="M181" s="61"/>
      <c r="N181" s="61"/>
      <c r="O181" s="66" t="s">
        <v>3112</v>
      </c>
      <c r="P181" s="104" t="s">
        <v>2643</v>
      </c>
      <c r="Q181" s="75">
        <v>0.90069444444444446</v>
      </c>
      <c r="R181" s="75">
        <v>0.91597222222222219</v>
      </c>
      <c r="S181" s="75">
        <v>0.90069444444444446</v>
      </c>
      <c r="T181" s="75" t="s">
        <v>2424</v>
      </c>
      <c r="U181" s="75" t="s">
        <v>2424</v>
      </c>
      <c r="V181" s="75" t="s">
        <v>2424</v>
      </c>
      <c r="W181" s="120" t="s">
        <v>2424</v>
      </c>
      <c r="X181" s="124" t="s">
        <v>3113</v>
      </c>
      <c r="Y181" s="122">
        <v>0</v>
      </c>
      <c r="Z181" s="67">
        <v>0</v>
      </c>
      <c r="AA181" s="67">
        <v>0</v>
      </c>
      <c r="AB181" s="108" t="s">
        <v>2644</v>
      </c>
      <c r="AC181" s="108" t="s">
        <v>2637</v>
      </c>
      <c r="AD181" s="66" t="s">
        <v>2638</v>
      </c>
      <c r="AE181" s="66"/>
      <c r="AF181" s="66"/>
      <c r="AG181" s="68" t="s">
        <v>45</v>
      </c>
      <c r="AH181" s="66"/>
      <c r="AI181" s="100"/>
      <c r="AJ181" s="101"/>
      <c r="AK181" s="102"/>
      <c r="AL181" s="49">
        <f>VLOOKUP(G181,VALIDACIONES!P:Q,2,0)</f>
        <v>45428311</v>
      </c>
      <c r="AM181" s="55" t="str">
        <f t="shared" si="17"/>
        <v>NADA</v>
      </c>
      <c r="AN181" s="99" t="str">
        <f t="shared" si="18"/>
        <v>NO</v>
      </c>
    </row>
    <row r="182" spans="1:40" s="103" customFormat="1">
      <c r="A182" s="141">
        <v>46185</v>
      </c>
      <c r="B182" s="139" t="str">
        <f t="shared" si="15"/>
        <v>18 A 06</v>
      </c>
      <c r="C182" s="62" t="str">
        <f t="shared" si="16"/>
        <v>20:00 a 22:00</v>
      </c>
      <c r="D182" s="66" t="s">
        <v>322</v>
      </c>
      <c r="E182" s="61">
        <v>5</v>
      </c>
      <c r="F182" s="78" t="s">
        <v>2633</v>
      </c>
      <c r="G182" s="66" t="s">
        <v>1797</v>
      </c>
      <c r="H182" s="114">
        <v>367732</v>
      </c>
      <c r="I182" s="138">
        <v>48382588</v>
      </c>
      <c r="J182" s="66" t="s">
        <v>2627</v>
      </c>
      <c r="K182" s="66" t="s">
        <v>86</v>
      </c>
      <c r="L182" s="61" t="s">
        <v>76</v>
      </c>
      <c r="M182" s="61" t="s">
        <v>130</v>
      </c>
      <c r="N182" s="61"/>
      <c r="O182" s="66" t="s">
        <v>3114</v>
      </c>
      <c r="P182" s="104" t="s">
        <v>2655</v>
      </c>
      <c r="Q182" s="75">
        <v>0.90972222222222221</v>
      </c>
      <c r="R182" s="75">
        <v>0.97499999999999998</v>
      </c>
      <c r="S182" s="75">
        <v>0.91111111111111109</v>
      </c>
      <c r="T182" s="75">
        <v>0.91597222222222219</v>
      </c>
      <c r="U182" s="75" t="s">
        <v>2424</v>
      </c>
      <c r="V182" s="75" t="s">
        <v>2424</v>
      </c>
      <c r="W182" s="120" t="s">
        <v>2424</v>
      </c>
      <c r="X182" s="124" t="s">
        <v>3115</v>
      </c>
      <c r="Y182" s="122">
        <v>0</v>
      </c>
      <c r="Z182" s="67">
        <v>1</v>
      </c>
      <c r="AA182" s="67">
        <v>1</v>
      </c>
      <c r="AB182" s="108" t="s">
        <v>2680</v>
      </c>
      <c r="AC182" s="108" t="s">
        <v>2637</v>
      </c>
      <c r="AD182" s="66" t="s">
        <v>2638</v>
      </c>
      <c r="AE182" s="66"/>
      <c r="AF182" s="66" t="s">
        <v>3060</v>
      </c>
      <c r="AG182" s="68" t="s">
        <v>62</v>
      </c>
      <c r="AH182" s="66"/>
      <c r="AI182" s="100"/>
      <c r="AJ182" s="101"/>
      <c r="AK182" s="102"/>
      <c r="AL182" s="49">
        <f>VLOOKUP(G182,VALIDACIONES!P:Q,2,0)</f>
        <v>39561148</v>
      </c>
      <c r="AM182" s="55" t="str">
        <f t="shared" si="17"/>
        <v>IMPUTADO</v>
      </c>
      <c r="AN182" s="99" t="str">
        <f t="shared" si="18"/>
        <v>NO</v>
      </c>
    </row>
    <row r="183" spans="1:40" s="103" customFormat="1">
      <c r="A183" s="141">
        <v>46185</v>
      </c>
      <c r="B183" s="139" t="str">
        <f t="shared" si="15"/>
        <v>18 A 06</v>
      </c>
      <c r="C183" s="62" t="str">
        <f t="shared" si="16"/>
        <v>22:00 a 00:00</v>
      </c>
      <c r="D183" s="66" t="s">
        <v>322</v>
      </c>
      <c r="E183" s="61">
        <v>5</v>
      </c>
      <c r="F183" s="78" t="s">
        <v>2631</v>
      </c>
      <c r="G183" s="66" t="s">
        <v>1041</v>
      </c>
      <c r="H183" s="114">
        <v>367655</v>
      </c>
      <c r="I183" s="138">
        <v>48382766</v>
      </c>
      <c r="J183" s="66" t="s">
        <v>2627</v>
      </c>
      <c r="K183" s="66" t="s">
        <v>2407</v>
      </c>
      <c r="L183" s="61"/>
      <c r="M183" s="61"/>
      <c r="N183" s="61"/>
      <c r="O183" s="66" t="s">
        <v>3116</v>
      </c>
      <c r="P183" s="104" t="s">
        <v>2652</v>
      </c>
      <c r="Q183" s="75">
        <v>0.92361111111111116</v>
      </c>
      <c r="R183" s="75">
        <v>0.93958333333333333</v>
      </c>
      <c r="S183" s="75">
        <v>0.93888888888888888</v>
      </c>
      <c r="T183" s="75" t="s">
        <v>2424</v>
      </c>
      <c r="U183" s="75" t="s">
        <v>2424</v>
      </c>
      <c r="V183" s="75" t="s">
        <v>2424</v>
      </c>
      <c r="W183" s="120" t="s">
        <v>2424</v>
      </c>
      <c r="X183" s="124" t="s">
        <v>3117</v>
      </c>
      <c r="Y183" s="122">
        <v>0</v>
      </c>
      <c r="Z183" s="67">
        <v>0</v>
      </c>
      <c r="AA183" s="67">
        <v>0</v>
      </c>
      <c r="AB183" s="108" t="s">
        <v>2653</v>
      </c>
      <c r="AC183" s="108" t="s">
        <v>2637</v>
      </c>
      <c r="AD183" s="66" t="s">
        <v>2645</v>
      </c>
      <c r="AE183" s="66"/>
      <c r="AF183" s="66"/>
      <c r="AG183" s="68" t="s">
        <v>45</v>
      </c>
      <c r="AH183" s="66"/>
      <c r="AI183" s="100"/>
      <c r="AJ183" s="101"/>
      <c r="AK183" s="102"/>
      <c r="AL183" s="49">
        <f>VLOOKUP(G183,VALIDACIONES!P:Q,2,0)</f>
        <v>44698317</v>
      </c>
      <c r="AM183" s="55" t="str">
        <f t="shared" si="17"/>
        <v>NADA</v>
      </c>
      <c r="AN183" s="99" t="str">
        <f t="shared" si="18"/>
        <v>NO</v>
      </c>
    </row>
    <row r="184" spans="1:40" s="103" customFormat="1">
      <c r="A184" s="141">
        <v>46185</v>
      </c>
      <c r="B184" s="139" t="str">
        <f t="shared" si="15"/>
        <v>18 A 06</v>
      </c>
      <c r="C184" s="62" t="str">
        <f t="shared" si="16"/>
        <v>22:00 a 00:00</v>
      </c>
      <c r="D184" s="66" t="s">
        <v>322</v>
      </c>
      <c r="E184" s="61">
        <v>5</v>
      </c>
      <c r="F184" s="78" t="s">
        <v>2631</v>
      </c>
      <c r="G184" s="66" t="s">
        <v>997</v>
      </c>
      <c r="H184" s="114">
        <v>367581</v>
      </c>
      <c r="I184" s="138">
        <v>48382780</v>
      </c>
      <c r="J184" s="66" t="s">
        <v>2627</v>
      </c>
      <c r="K184" s="66" t="s">
        <v>2407</v>
      </c>
      <c r="L184" s="61"/>
      <c r="M184" s="61"/>
      <c r="N184" s="61"/>
      <c r="O184" s="66" t="s">
        <v>3118</v>
      </c>
      <c r="P184" s="104" t="s">
        <v>2652</v>
      </c>
      <c r="Q184" s="75">
        <v>0.9291666666666667</v>
      </c>
      <c r="R184" s="75">
        <v>0.93055555555555558</v>
      </c>
      <c r="S184" s="75" t="s">
        <v>2424</v>
      </c>
      <c r="T184" s="75" t="s">
        <v>2424</v>
      </c>
      <c r="U184" s="75" t="s">
        <v>2424</v>
      </c>
      <c r="V184" s="75" t="s">
        <v>2424</v>
      </c>
      <c r="W184" s="120" t="s">
        <v>2424</v>
      </c>
      <c r="X184" s="124" t="s">
        <v>3119</v>
      </c>
      <c r="Y184" s="122">
        <v>0</v>
      </c>
      <c r="Z184" s="67">
        <v>0</v>
      </c>
      <c r="AA184" s="67">
        <v>0</v>
      </c>
      <c r="AB184" s="108" t="s">
        <v>2660</v>
      </c>
      <c r="AC184" s="108" t="s">
        <v>2637</v>
      </c>
      <c r="AD184" s="66" t="s">
        <v>2645</v>
      </c>
      <c r="AE184" s="66"/>
      <c r="AF184" s="66"/>
      <c r="AG184" s="68" t="s">
        <v>45</v>
      </c>
      <c r="AH184" s="66"/>
      <c r="AI184" s="100"/>
      <c r="AJ184" s="101"/>
      <c r="AK184" s="102"/>
      <c r="AL184" s="49">
        <f>VLOOKUP(G184,VALIDACIONES!P:Q,2,0)</f>
        <v>46703873</v>
      </c>
      <c r="AM184" s="55" t="str">
        <f t="shared" si="17"/>
        <v>NADA</v>
      </c>
      <c r="AN184" s="99" t="str">
        <f t="shared" si="18"/>
        <v>NO</v>
      </c>
    </row>
    <row r="185" spans="1:40" s="103" customFormat="1">
      <c r="A185" s="141">
        <v>46185</v>
      </c>
      <c r="B185" s="139" t="str">
        <f t="shared" si="15"/>
        <v>18 A 06</v>
      </c>
      <c r="C185" s="62" t="str">
        <f t="shared" si="16"/>
        <v>22:00 a 00:00</v>
      </c>
      <c r="D185" s="66" t="s">
        <v>322</v>
      </c>
      <c r="E185" s="61">
        <v>5</v>
      </c>
      <c r="F185" s="78" t="s">
        <v>2631</v>
      </c>
      <c r="G185" s="66" t="s">
        <v>2189</v>
      </c>
      <c r="H185" s="114">
        <v>367566</v>
      </c>
      <c r="I185" s="138">
        <v>48382811</v>
      </c>
      <c r="J185" s="66" t="s">
        <v>2627</v>
      </c>
      <c r="K185" s="66" t="s">
        <v>166</v>
      </c>
      <c r="L185" s="61"/>
      <c r="M185" s="61" t="s">
        <v>227</v>
      </c>
      <c r="N185" s="61"/>
      <c r="O185" s="66" t="s">
        <v>2991</v>
      </c>
      <c r="P185" s="104" t="s">
        <v>2635</v>
      </c>
      <c r="Q185" s="75">
        <v>0.93125000000000002</v>
      </c>
      <c r="R185" s="75">
        <v>0.97638888888888886</v>
      </c>
      <c r="S185" s="75">
        <v>0.94097222222222221</v>
      </c>
      <c r="T185" s="75" t="s">
        <v>2424</v>
      </c>
      <c r="U185" s="75" t="s">
        <v>2424</v>
      </c>
      <c r="V185" s="75" t="s">
        <v>2424</v>
      </c>
      <c r="W185" s="120" t="s">
        <v>2424</v>
      </c>
      <c r="X185" s="124" t="s">
        <v>3120</v>
      </c>
      <c r="Y185" s="122">
        <v>1</v>
      </c>
      <c r="Z185" s="67">
        <v>0</v>
      </c>
      <c r="AA185" s="67">
        <v>0</v>
      </c>
      <c r="AB185" s="108">
        <v>5</v>
      </c>
      <c r="AC185" s="108" t="s">
        <v>2637</v>
      </c>
      <c r="AD185" s="66" t="s">
        <v>2645</v>
      </c>
      <c r="AE185" s="66"/>
      <c r="AF185" s="66" t="s">
        <v>3079</v>
      </c>
      <c r="AG185" s="68" t="s">
        <v>54</v>
      </c>
      <c r="AH185" s="66"/>
      <c r="AI185" s="100"/>
      <c r="AJ185" s="101"/>
      <c r="AK185" s="102"/>
      <c r="AL185" s="49">
        <f>VLOOKUP(G185,VALIDACIONES!P:Q,2,0)</f>
        <v>22310347</v>
      </c>
      <c r="AM185" s="55" t="str">
        <f t="shared" si="17"/>
        <v>IMPUTADO</v>
      </c>
      <c r="AN185" s="99" t="str">
        <f t="shared" si="18"/>
        <v>NO</v>
      </c>
    </row>
    <row r="186" spans="1:40" s="103" customFormat="1">
      <c r="A186" s="141">
        <v>46185</v>
      </c>
      <c r="B186" s="139" t="str">
        <f t="shared" si="11"/>
        <v>18 A 06</v>
      </c>
      <c r="C186" s="62" t="str">
        <f t="shared" si="12"/>
        <v>22:00 a 00:00</v>
      </c>
      <c r="D186" s="66" t="s">
        <v>322</v>
      </c>
      <c r="E186" s="61">
        <v>5</v>
      </c>
      <c r="F186" s="78" t="s">
        <v>336</v>
      </c>
      <c r="G186" s="66" t="s">
        <v>2026</v>
      </c>
      <c r="H186" s="114">
        <v>367656</v>
      </c>
      <c r="I186" s="138">
        <v>48382749</v>
      </c>
      <c r="J186" s="66" t="s">
        <v>2627</v>
      </c>
      <c r="K186" s="66" t="s">
        <v>86</v>
      </c>
      <c r="L186" s="61" t="s">
        <v>173</v>
      </c>
      <c r="M186" s="61"/>
      <c r="N186" s="61"/>
      <c r="O186" s="66" t="s">
        <v>3121</v>
      </c>
      <c r="P186" s="104" t="s">
        <v>3122</v>
      </c>
      <c r="Q186" s="75">
        <v>0.93194444444444446</v>
      </c>
      <c r="R186" s="75">
        <v>0.98611111111111116</v>
      </c>
      <c r="S186" s="75">
        <v>0.93194444444444446</v>
      </c>
      <c r="T186" s="75" t="s">
        <v>2424</v>
      </c>
      <c r="U186" s="75" t="s">
        <v>2424</v>
      </c>
      <c r="V186" s="75" t="s">
        <v>2424</v>
      </c>
      <c r="W186" s="120" t="s">
        <v>2424</v>
      </c>
      <c r="X186" s="124" t="s">
        <v>3123</v>
      </c>
      <c r="Y186" s="122">
        <v>0</v>
      </c>
      <c r="Z186" s="67">
        <v>0</v>
      </c>
      <c r="AA186" s="67">
        <v>0</v>
      </c>
      <c r="AB186" s="108" t="s">
        <v>2685</v>
      </c>
      <c r="AC186" s="108" t="s">
        <v>2637</v>
      </c>
      <c r="AD186" s="66" t="s">
        <v>2638</v>
      </c>
      <c r="AE186" s="66"/>
      <c r="AF186" s="66"/>
      <c r="AG186" s="68" t="s">
        <v>45</v>
      </c>
      <c r="AH186" s="66"/>
      <c r="AI186" s="100"/>
      <c r="AJ186" s="101"/>
      <c r="AK186" s="102"/>
      <c r="AL186" s="49">
        <f>VLOOKUP(G186,VALIDACIONES!P:Q,2,0)</f>
        <v>36845661</v>
      </c>
      <c r="AM186" s="55" t="str">
        <f t="shared" si="13"/>
        <v>NADA</v>
      </c>
      <c r="AN186" s="99" t="str">
        <f t="shared" si="14"/>
        <v>NO</v>
      </c>
    </row>
    <row r="187" spans="1:40" s="103" customFormat="1">
      <c r="A187" s="141">
        <v>46185</v>
      </c>
      <c r="B187" s="139" t="str">
        <f t="shared" si="11"/>
        <v>18 A 06</v>
      </c>
      <c r="C187" s="62" t="str">
        <f t="shared" si="12"/>
        <v>22:00 a 00:00</v>
      </c>
      <c r="D187" s="66" t="s">
        <v>322</v>
      </c>
      <c r="E187" s="61">
        <v>5</v>
      </c>
      <c r="F187" s="78" t="s">
        <v>2634</v>
      </c>
      <c r="G187" s="66" t="s">
        <v>531</v>
      </c>
      <c r="H187" s="114">
        <v>367845</v>
      </c>
      <c r="I187" s="138">
        <v>48382805</v>
      </c>
      <c r="J187" s="66" t="s">
        <v>2627</v>
      </c>
      <c r="K187" s="66" t="s">
        <v>86</v>
      </c>
      <c r="L187" s="61" t="s">
        <v>109</v>
      </c>
      <c r="M187" s="61"/>
      <c r="N187" s="61"/>
      <c r="O187" s="66" t="s">
        <v>3124</v>
      </c>
      <c r="P187" s="104" t="s">
        <v>2662</v>
      </c>
      <c r="Q187" s="75">
        <v>0.93958333333333333</v>
      </c>
      <c r="R187" s="75">
        <v>0.94722222222222219</v>
      </c>
      <c r="S187" s="75">
        <v>0.93958333333333333</v>
      </c>
      <c r="T187" s="75" t="s">
        <v>2424</v>
      </c>
      <c r="U187" s="75">
        <v>0.93958333333333333</v>
      </c>
      <c r="V187" s="75" t="s">
        <v>2424</v>
      </c>
      <c r="W187" s="120" t="s">
        <v>2424</v>
      </c>
      <c r="X187" s="124" t="s">
        <v>3125</v>
      </c>
      <c r="Y187" s="122">
        <v>0</v>
      </c>
      <c r="Z187" s="67">
        <v>0</v>
      </c>
      <c r="AA187" s="67">
        <v>0</v>
      </c>
      <c r="AB187" s="108" t="s">
        <v>2663</v>
      </c>
      <c r="AC187" s="108" t="s">
        <v>2637</v>
      </c>
      <c r="AD187" s="66" t="s">
        <v>2638</v>
      </c>
      <c r="AE187" s="66"/>
      <c r="AF187" s="66"/>
      <c r="AG187" s="68" t="s">
        <v>45</v>
      </c>
      <c r="AH187" s="66"/>
      <c r="AI187" s="100"/>
      <c r="AJ187" s="101"/>
      <c r="AK187" s="102"/>
      <c r="AL187" s="49">
        <f>VLOOKUP(G187,VALIDACIONES!P:Q,2,0)</f>
        <v>43311360</v>
      </c>
      <c r="AM187" s="55" t="str">
        <f t="shared" si="13"/>
        <v>NADA</v>
      </c>
      <c r="AN187" s="99" t="str">
        <f t="shared" si="14"/>
        <v>NO</v>
      </c>
    </row>
    <row r="188" spans="1:40" s="103" customFormat="1">
      <c r="A188" s="141">
        <v>46185</v>
      </c>
      <c r="B188" s="139" t="str">
        <f t="shared" si="11"/>
        <v>18 A 06</v>
      </c>
      <c r="C188" s="62" t="str">
        <f t="shared" si="12"/>
        <v>22:00 a 00:00</v>
      </c>
      <c r="D188" s="66" t="s">
        <v>322</v>
      </c>
      <c r="E188" s="61">
        <v>5</v>
      </c>
      <c r="F188" s="78" t="s">
        <v>345</v>
      </c>
      <c r="G188" s="66" t="s">
        <v>783</v>
      </c>
      <c r="H188" s="114">
        <v>367636</v>
      </c>
      <c r="I188" s="138">
        <v>48382448</v>
      </c>
      <c r="J188" s="66" t="s">
        <v>2629</v>
      </c>
      <c r="K188" s="66" t="s">
        <v>86</v>
      </c>
      <c r="L188" s="61" t="s">
        <v>198</v>
      </c>
      <c r="M188" s="61" t="s">
        <v>120</v>
      </c>
      <c r="N188" s="61"/>
      <c r="O188" s="66" t="s">
        <v>3126</v>
      </c>
      <c r="P188" s="104" t="s">
        <v>2691</v>
      </c>
      <c r="Q188" s="75">
        <v>0.94027777777777777</v>
      </c>
      <c r="R188" s="75">
        <v>0.95625000000000004</v>
      </c>
      <c r="S188" s="75" t="s">
        <v>2424</v>
      </c>
      <c r="T188" s="75" t="s">
        <v>2424</v>
      </c>
      <c r="U188" s="75" t="s">
        <v>2424</v>
      </c>
      <c r="V188" s="75" t="s">
        <v>2424</v>
      </c>
      <c r="W188" s="120" t="s">
        <v>2424</v>
      </c>
      <c r="X188" s="124" t="s">
        <v>3127</v>
      </c>
      <c r="Y188" s="122">
        <v>0</v>
      </c>
      <c r="Z188" s="67">
        <v>1</v>
      </c>
      <c r="AA188" s="67">
        <v>0</v>
      </c>
      <c r="AB188" s="108" t="s">
        <v>2945</v>
      </c>
      <c r="AC188" s="108" t="s">
        <v>2637</v>
      </c>
      <c r="AD188" s="66" t="s">
        <v>2638</v>
      </c>
      <c r="AE188" s="66"/>
      <c r="AF188" s="66" t="s">
        <v>2681</v>
      </c>
      <c r="AG188" s="68" t="s">
        <v>62</v>
      </c>
      <c r="AH188" s="66" t="s">
        <v>2727</v>
      </c>
      <c r="AI188" s="100"/>
      <c r="AJ188" s="101"/>
      <c r="AK188" s="102"/>
      <c r="AL188" s="49">
        <f>VLOOKUP(G188,VALIDACIONES!P:Q,2,0)</f>
        <v>43819657</v>
      </c>
      <c r="AM188" s="55" t="str">
        <f t="shared" si="13"/>
        <v>IMPUTADO</v>
      </c>
      <c r="AN188" s="99" t="str">
        <f t="shared" si="14"/>
        <v>NO</v>
      </c>
    </row>
    <row r="189" spans="1:40" s="103" customFormat="1">
      <c r="A189" s="141">
        <v>46185</v>
      </c>
      <c r="B189" s="139" t="str">
        <f t="shared" ref="B189" si="19">IF(AND(VALUE(Q189)&gt;=VALUE("06:00"),VALUE(Q189)&lt;=VALUE("17:59")),"06 A 18","18 A 06")</f>
        <v>18 A 06</v>
      </c>
      <c r="C189" s="62" t="str">
        <f t="shared" ref="C189" si="20">IF(AND(VALUE(Q189)&gt;=VALUE("00:00"),VALUE(Q189)&lt;=VALUE("01:59")),"00:00 a 02:00",IF(AND(VALUE(Q189)&gt;=VALUE("02:00"),VALUE(Q189)&lt;=VALUE("03:59")),"02:00 a 04:00",IF(AND(VALUE(Q189)&gt;=VALUE("04:00"),VALUE(Q189)&lt;=VALUE("05:59")),"04:00 a 06:00",IF(AND(VALUE(Q189)&gt;=VALUE("06:00"),VALUE(Q189)&lt;=VALUE("07:59")),"06:00 a 08:00",IF(AND(VALUE(Q189)&gt;=VALUE("08:00"),VALUE(Q189)&lt;=VALUE("09:59")),"08:00 a 10:00",IF(AND(VALUE(Q189)&gt;=VALUE("10:00"),VALUE(Q189)&lt;=VALUE("11:59")),"10:00 a 12:00",IF(AND(VALUE(Q189)&gt;=VALUE("12:00"),VALUE(Q189)&lt;=VALUE("13:59")),"12:00 a 14:00",IF(AND(VALUE(Q189)&gt;=VALUE("14:00"),VALUE(Q189)&lt;=VALUE("15:59")),"14:00 a 16:00",IF(AND(VALUE(Q189)&gt;=VALUE("16:00"),VALUE(Q189)&lt;=VALUE("17:59")),"16:00 a 18:00",IF(AND(VALUE(Q189)&gt;=VALUE("18:00"),VALUE(Q189)&lt;=VALUE("19:59")),"18:00 a 20:00",IF(AND(VALUE(Q189)&gt;=VALUE("20:00"),VALUE(Q189)&lt;=VALUE("21:59")),"20:00 a 22:00",IF(AND(VALUE(Q189)&gt;=VALUE("22:00"),VALUE(Q189)&lt;=VALUE("23:59")),"22:00 a 00:00","no corresponde"))))))))))))</f>
        <v>22:00 a 00:00</v>
      </c>
      <c r="D189" s="66" t="s">
        <v>322</v>
      </c>
      <c r="E189" s="61">
        <v>5</v>
      </c>
      <c r="F189" s="78" t="s">
        <v>2634</v>
      </c>
      <c r="G189" s="66" t="s">
        <v>946</v>
      </c>
      <c r="H189" s="114">
        <v>367849</v>
      </c>
      <c r="I189" s="138">
        <v>48382651</v>
      </c>
      <c r="J189" s="66" t="s">
        <v>2627</v>
      </c>
      <c r="K189" s="66" t="s">
        <v>86</v>
      </c>
      <c r="L189" s="61" t="s">
        <v>198</v>
      </c>
      <c r="M189" s="61" t="s">
        <v>130</v>
      </c>
      <c r="N189" s="61"/>
      <c r="O189" s="66" t="s">
        <v>3128</v>
      </c>
      <c r="P189" s="104" t="s">
        <v>2662</v>
      </c>
      <c r="Q189" s="75">
        <v>0.94791666666666663</v>
      </c>
      <c r="R189" s="75">
        <v>5.347222222222222E-2</v>
      </c>
      <c r="S189" s="75">
        <v>3.125E-2</v>
      </c>
      <c r="T189" s="75">
        <v>1.2500000000000001E-2</v>
      </c>
      <c r="U189" s="75" t="s">
        <v>2424</v>
      </c>
      <c r="V189" s="75" t="s">
        <v>2424</v>
      </c>
      <c r="W189" s="120" t="s">
        <v>2424</v>
      </c>
      <c r="X189" s="124" t="s">
        <v>3129</v>
      </c>
      <c r="Y189" s="122">
        <v>0</v>
      </c>
      <c r="Z189" s="67">
        <v>1</v>
      </c>
      <c r="AA189" s="67">
        <v>0</v>
      </c>
      <c r="AB189" s="108" t="s">
        <v>2642</v>
      </c>
      <c r="AC189" s="108" t="s">
        <v>2637</v>
      </c>
      <c r="AD189" s="66" t="s">
        <v>2638</v>
      </c>
      <c r="AE189" s="66"/>
      <c r="AF189" s="66" t="s">
        <v>2706</v>
      </c>
      <c r="AG189" s="68" t="s">
        <v>62</v>
      </c>
      <c r="AH189" s="66" t="s">
        <v>45</v>
      </c>
      <c r="AI189" s="100"/>
      <c r="AJ189" s="101"/>
      <c r="AK189" s="102"/>
      <c r="AL189" s="49">
        <f>VLOOKUP(G189,VALIDACIONES!P:Q,2,0)</f>
        <v>42118147</v>
      </c>
      <c r="AM189" s="55" t="str">
        <f t="shared" ref="AM189" si="21">IF(OR(Z189&gt;0,Y189&gt;0),"IMPUTADO","NADA")</f>
        <v>IMPUTADO</v>
      </c>
      <c r="AN189" s="99" t="str">
        <f t="shared" ref="AN189" si="22">IF(AND(AM189="IMPUTADO",ISBLANK(M189)),"FALTO","NO")</f>
        <v>NO</v>
      </c>
    </row>
    <row r="190" spans="1:40" s="103" customFormat="1">
      <c r="A190" s="141">
        <v>46185</v>
      </c>
      <c r="B190" s="139" t="str">
        <f t="shared" si="11"/>
        <v>18 A 06</v>
      </c>
      <c r="C190" s="62" t="str">
        <f t="shared" si="12"/>
        <v>22:00 a 00:00</v>
      </c>
      <c r="D190" s="66" t="s">
        <v>322</v>
      </c>
      <c r="E190" s="61">
        <v>5</v>
      </c>
      <c r="F190" s="78" t="s">
        <v>2633</v>
      </c>
      <c r="G190" s="66" t="s">
        <v>2441</v>
      </c>
      <c r="H190" s="114">
        <v>367894</v>
      </c>
      <c r="I190" s="138">
        <v>48383024</v>
      </c>
      <c r="J190" s="66" t="s">
        <v>2627</v>
      </c>
      <c r="K190" s="66" t="s">
        <v>86</v>
      </c>
      <c r="L190" s="61" t="s">
        <v>76</v>
      </c>
      <c r="M190" s="61"/>
      <c r="N190" s="61"/>
      <c r="O190" s="66" t="s">
        <v>3130</v>
      </c>
      <c r="P190" s="104" t="s">
        <v>2693</v>
      </c>
      <c r="Q190" s="75">
        <v>0.96250000000000002</v>
      </c>
      <c r="R190" s="75">
        <v>6.2500000000000003E-3</v>
      </c>
      <c r="S190" s="75">
        <v>0.98333333333333328</v>
      </c>
      <c r="T190" s="75" t="s">
        <v>2424</v>
      </c>
      <c r="U190" s="75" t="s">
        <v>2424</v>
      </c>
      <c r="V190" s="75" t="s">
        <v>2424</v>
      </c>
      <c r="W190" s="120" t="s">
        <v>2424</v>
      </c>
      <c r="X190" s="124" t="s">
        <v>3131</v>
      </c>
      <c r="Y190" s="122">
        <v>0</v>
      </c>
      <c r="Z190" s="67">
        <v>0</v>
      </c>
      <c r="AA190" s="67">
        <v>0</v>
      </c>
      <c r="AB190" s="108" t="s">
        <v>2694</v>
      </c>
      <c r="AC190" s="108" t="s">
        <v>2637</v>
      </c>
      <c r="AD190" s="66" t="s">
        <v>2638</v>
      </c>
      <c r="AE190" s="66" t="s">
        <v>2651</v>
      </c>
      <c r="AF190" s="66"/>
      <c r="AG190" s="68" t="s">
        <v>45</v>
      </c>
      <c r="AH190" s="66"/>
      <c r="AI190" s="100"/>
      <c r="AJ190" s="101"/>
      <c r="AK190" s="102"/>
      <c r="AL190" s="49">
        <f>VLOOKUP(G190,VALIDACIONES!P:Q,2,0)</f>
        <v>44850611</v>
      </c>
      <c r="AM190" s="55" t="str">
        <f t="shared" si="13"/>
        <v>NADA</v>
      </c>
      <c r="AN190" s="99" t="str">
        <f t="shared" si="14"/>
        <v>NO</v>
      </c>
    </row>
    <row r="191" spans="1:40" s="103" customFormat="1">
      <c r="A191" s="141">
        <v>46185</v>
      </c>
      <c r="B191" s="139" t="str">
        <f t="shared" ref="B191:B199" si="23">IF(AND(VALUE(Q191)&gt;=VALUE("06:00"),VALUE(Q191)&lt;=VALUE("17:59")),"06 A 18","18 A 06")</f>
        <v>18 A 06</v>
      </c>
      <c r="C191" s="62" t="str">
        <f t="shared" ref="C191:C199" si="24">IF(AND(VALUE(Q191)&gt;=VALUE("00:00"),VALUE(Q191)&lt;=VALUE("01:59")),"00:00 a 02:00",IF(AND(VALUE(Q191)&gt;=VALUE("02:00"),VALUE(Q191)&lt;=VALUE("03:59")),"02:00 a 04:00",IF(AND(VALUE(Q191)&gt;=VALUE("04:00"),VALUE(Q191)&lt;=VALUE("05:59")),"04:00 a 06:00",IF(AND(VALUE(Q191)&gt;=VALUE("06:00"),VALUE(Q191)&lt;=VALUE("07:59")),"06:00 a 08:00",IF(AND(VALUE(Q191)&gt;=VALUE("08:00"),VALUE(Q191)&lt;=VALUE("09:59")),"08:00 a 10:00",IF(AND(VALUE(Q191)&gt;=VALUE("10:00"),VALUE(Q191)&lt;=VALUE("11:59")),"10:00 a 12:00",IF(AND(VALUE(Q191)&gt;=VALUE("12:00"),VALUE(Q191)&lt;=VALUE("13:59")),"12:00 a 14:00",IF(AND(VALUE(Q191)&gt;=VALUE("14:00"),VALUE(Q191)&lt;=VALUE("15:59")),"14:00 a 16:00",IF(AND(VALUE(Q191)&gt;=VALUE("16:00"),VALUE(Q191)&lt;=VALUE("17:59")),"16:00 a 18:00",IF(AND(VALUE(Q191)&gt;=VALUE("18:00"),VALUE(Q191)&lt;=VALUE("19:59")),"18:00 a 20:00",IF(AND(VALUE(Q191)&gt;=VALUE("20:00"),VALUE(Q191)&lt;=VALUE("21:59")),"20:00 a 22:00",IF(AND(VALUE(Q191)&gt;=VALUE("22:00"),VALUE(Q191)&lt;=VALUE("23:59")),"22:00 a 00:00","no corresponde"))))))))))))</f>
        <v>22:00 a 00:00</v>
      </c>
      <c r="D191" s="66" t="s">
        <v>322</v>
      </c>
      <c r="E191" s="61">
        <v>5</v>
      </c>
      <c r="F191" s="78" t="s">
        <v>2631</v>
      </c>
      <c r="G191" s="66" t="s">
        <v>1758</v>
      </c>
      <c r="H191" s="114">
        <v>367698</v>
      </c>
      <c r="I191" s="138">
        <v>48383033</v>
      </c>
      <c r="J191" s="66" t="s">
        <v>2627</v>
      </c>
      <c r="K191" s="66" t="s">
        <v>173</v>
      </c>
      <c r="L191" s="61"/>
      <c r="M191" s="61" t="s">
        <v>173</v>
      </c>
      <c r="N191" s="61" t="s">
        <v>2417</v>
      </c>
      <c r="O191" s="66" t="s">
        <v>3132</v>
      </c>
      <c r="P191" s="104" t="s">
        <v>2652</v>
      </c>
      <c r="Q191" s="75">
        <v>0.96666666666666667</v>
      </c>
      <c r="R191" s="75">
        <v>3.0555555555555555E-2</v>
      </c>
      <c r="S191" s="75">
        <v>0.98263888888888884</v>
      </c>
      <c r="T191" s="75" t="s">
        <v>2424</v>
      </c>
      <c r="U191" s="75" t="s">
        <v>2424</v>
      </c>
      <c r="V191" s="75" t="s">
        <v>2424</v>
      </c>
      <c r="W191" s="120" t="s">
        <v>2424</v>
      </c>
      <c r="X191" s="124" t="s">
        <v>3133</v>
      </c>
      <c r="Y191" s="122">
        <v>0</v>
      </c>
      <c r="Z191" s="67">
        <v>1</v>
      </c>
      <c r="AA191" s="67">
        <v>0</v>
      </c>
      <c r="AB191" s="108" t="s">
        <v>2653</v>
      </c>
      <c r="AC191" s="108" t="s">
        <v>2637</v>
      </c>
      <c r="AD191" s="66" t="s">
        <v>2638</v>
      </c>
      <c r="AE191" s="66" t="s">
        <v>2651</v>
      </c>
      <c r="AF191" s="66" t="s">
        <v>2670</v>
      </c>
      <c r="AG191" s="68" t="s">
        <v>54</v>
      </c>
      <c r="AH191" s="66"/>
      <c r="AI191" s="100"/>
      <c r="AJ191" s="101"/>
      <c r="AK191" s="102"/>
      <c r="AL191" s="49">
        <f>VLOOKUP(G191,VALIDACIONES!P:Q,2,0)</f>
        <v>46252382</v>
      </c>
      <c r="AM191" s="55" t="str">
        <f t="shared" ref="AM191:AM199" si="25">IF(OR(Z191&gt;0,Y191&gt;0),"IMPUTADO","NADA")</f>
        <v>IMPUTADO</v>
      </c>
      <c r="AN191" s="99" t="str">
        <f t="shared" ref="AN191:AN199" si="26">IF(AND(AM191="IMPUTADO",ISBLANK(M191)),"FALTO","NO")</f>
        <v>NO</v>
      </c>
    </row>
    <row r="192" spans="1:40" s="103" customFormat="1">
      <c r="A192" s="141">
        <v>46185</v>
      </c>
      <c r="B192" s="139" t="str">
        <f t="shared" si="23"/>
        <v>18 A 06</v>
      </c>
      <c r="C192" s="62" t="str">
        <f t="shared" si="24"/>
        <v>22:00 a 00:00</v>
      </c>
      <c r="D192" s="66" t="s">
        <v>322</v>
      </c>
      <c r="E192" s="61">
        <v>5</v>
      </c>
      <c r="F192" s="78" t="s">
        <v>2634</v>
      </c>
      <c r="G192" s="66" t="s">
        <v>2453</v>
      </c>
      <c r="H192" s="114">
        <v>367549</v>
      </c>
      <c r="I192" s="138">
        <v>48383094</v>
      </c>
      <c r="J192" s="66" t="s">
        <v>2627</v>
      </c>
      <c r="K192" s="66" t="s">
        <v>86</v>
      </c>
      <c r="L192" s="61" t="s">
        <v>103</v>
      </c>
      <c r="M192" s="61"/>
      <c r="N192" s="61"/>
      <c r="O192" s="66" t="s">
        <v>3134</v>
      </c>
      <c r="P192" s="104" t="s">
        <v>2662</v>
      </c>
      <c r="Q192" s="75">
        <v>0.96875</v>
      </c>
      <c r="R192" s="75">
        <v>0.97430555555555554</v>
      </c>
      <c r="S192" s="75">
        <v>0.96875</v>
      </c>
      <c r="T192" s="75" t="s">
        <v>2424</v>
      </c>
      <c r="U192" s="75">
        <v>0.98402777777777772</v>
      </c>
      <c r="V192" s="75" t="s">
        <v>2424</v>
      </c>
      <c r="W192" s="120" t="s">
        <v>2424</v>
      </c>
      <c r="X192" s="124" t="s">
        <v>3135</v>
      </c>
      <c r="Y192" s="122">
        <v>0</v>
      </c>
      <c r="Z192" s="67">
        <v>0</v>
      </c>
      <c r="AA192" s="67">
        <v>0</v>
      </c>
      <c r="AB192" s="108" t="s">
        <v>2642</v>
      </c>
      <c r="AC192" s="108" t="s">
        <v>2637</v>
      </c>
      <c r="AD192" s="66" t="s">
        <v>2638</v>
      </c>
      <c r="AE192" s="66"/>
      <c r="AF192" s="66"/>
      <c r="AG192" s="68" t="s">
        <v>45</v>
      </c>
      <c r="AH192" s="66"/>
      <c r="AI192" s="100"/>
      <c r="AJ192" s="101"/>
      <c r="AK192" s="102"/>
      <c r="AL192" s="49">
        <f>VLOOKUP(G192,VALIDACIONES!P:Q,2,0)</f>
        <v>47689313</v>
      </c>
      <c r="AM192" s="55" t="str">
        <f t="shared" si="25"/>
        <v>NADA</v>
      </c>
      <c r="AN192" s="99" t="str">
        <f t="shared" si="26"/>
        <v>NO</v>
      </c>
    </row>
    <row r="193" spans="1:40" s="103" customFormat="1">
      <c r="A193" s="141">
        <v>46185</v>
      </c>
      <c r="B193" s="139" t="str">
        <f t="shared" si="23"/>
        <v>18 A 06</v>
      </c>
      <c r="C193" s="62" t="str">
        <f t="shared" si="24"/>
        <v>22:00 a 00:00</v>
      </c>
      <c r="D193" s="66" t="s">
        <v>322</v>
      </c>
      <c r="E193" s="61">
        <v>5</v>
      </c>
      <c r="F193" s="78" t="s">
        <v>2633</v>
      </c>
      <c r="G193" s="66" t="s">
        <v>2069</v>
      </c>
      <c r="H193" s="114">
        <v>367754</v>
      </c>
      <c r="I193" s="138">
        <v>48383099</v>
      </c>
      <c r="J193" s="66" t="s">
        <v>2627</v>
      </c>
      <c r="K193" s="66" t="s">
        <v>145</v>
      </c>
      <c r="L193" s="61"/>
      <c r="M193" s="61"/>
      <c r="N193" s="61"/>
      <c r="O193" s="66" t="s">
        <v>3136</v>
      </c>
      <c r="P193" s="104" t="s">
        <v>2673</v>
      </c>
      <c r="Q193" s="75">
        <v>0.97152777777777777</v>
      </c>
      <c r="R193" s="75">
        <v>2.0833333333333333E-3</v>
      </c>
      <c r="S193" s="75">
        <v>0.9770833333333333</v>
      </c>
      <c r="T193" s="75" t="s">
        <v>2424</v>
      </c>
      <c r="U193" s="75" t="s">
        <v>2424</v>
      </c>
      <c r="V193" s="75" t="s">
        <v>2424</v>
      </c>
      <c r="W193" s="120" t="s">
        <v>2424</v>
      </c>
      <c r="X193" s="124" t="s">
        <v>3137</v>
      </c>
      <c r="Y193" s="122">
        <v>0</v>
      </c>
      <c r="Z193" s="67">
        <v>0</v>
      </c>
      <c r="AA193" s="67">
        <v>0</v>
      </c>
      <c r="AB193" s="108" t="s">
        <v>2679</v>
      </c>
      <c r="AC193" s="108" t="s">
        <v>2637</v>
      </c>
      <c r="AD193" s="66" t="s">
        <v>2638</v>
      </c>
      <c r="AE193" s="66" t="s">
        <v>2651</v>
      </c>
      <c r="AF193" s="66"/>
      <c r="AG193" s="68" t="s">
        <v>45</v>
      </c>
      <c r="AH193" s="66"/>
      <c r="AI193" s="100"/>
      <c r="AJ193" s="101"/>
      <c r="AK193" s="102"/>
      <c r="AL193" s="49">
        <f>VLOOKUP(G193,VALIDACIONES!P:Q,2,0)</f>
        <v>44544554</v>
      </c>
      <c r="AM193" s="55" t="str">
        <f t="shared" si="25"/>
        <v>NADA</v>
      </c>
      <c r="AN193" s="99" t="str">
        <f t="shared" si="26"/>
        <v>NO</v>
      </c>
    </row>
    <row r="194" spans="1:40" s="103" customFormat="1">
      <c r="A194" s="141">
        <v>46185</v>
      </c>
      <c r="B194" s="139" t="str">
        <f t="shared" si="23"/>
        <v>18 A 06</v>
      </c>
      <c r="C194" s="62" t="str">
        <f t="shared" si="24"/>
        <v>22:00 a 00:00</v>
      </c>
      <c r="D194" s="66" t="s">
        <v>322</v>
      </c>
      <c r="E194" s="61">
        <v>5</v>
      </c>
      <c r="F194" s="78" t="s">
        <v>2634</v>
      </c>
      <c r="G194" s="66" t="s">
        <v>946</v>
      </c>
      <c r="H194" s="114">
        <v>367643</v>
      </c>
      <c r="I194" s="138">
        <v>48383106</v>
      </c>
      <c r="J194" s="66" t="s">
        <v>2627</v>
      </c>
      <c r="K194" s="66" t="s">
        <v>86</v>
      </c>
      <c r="L194" s="61" t="s">
        <v>136</v>
      </c>
      <c r="M194" s="61"/>
      <c r="N194" s="61"/>
      <c r="O194" s="66" t="s">
        <v>3138</v>
      </c>
      <c r="P194" s="104" t="s">
        <v>2639</v>
      </c>
      <c r="Q194" s="75">
        <v>0.97222222222222221</v>
      </c>
      <c r="R194" s="75">
        <v>0.99791666666666667</v>
      </c>
      <c r="S194" s="75">
        <v>0.97222222222222221</v>
      </c>
      <c r="T194" s="75">
        <v>0.98750000000000004</v>
      </c>
      <c r="U194" s="75" t="s">
        <v>2424</v>
      </c>
      <c r="V194" s="75" t="s">
        <v>2424</v>
      </c>
      <c r="W194" s="120" t="s">
        <v>2424</v>
      </c>
      <c r="X194" s="124" t="s">
        <v>3139</v>
      </c>
      <c r="Y194" s="122">
        <v>0</v>
      </c>
      <c r="Z194" s="67">
        <v>0</v>
      </c>
      <c r="AA194" s="67">
        <v>0</v>
      </c>
      <c r="AB194" s="108" t="s">
        <v>2640</v>
      </c>
      <c r="AC194" s="108" t="s">
        <v>2637</v>
      </c>
      <c r="AD194" s="66" t="s">
        <v>2638</v>
      </c>
      <c r="AE194" s="66"/>
      <c r="AF194" s="66"/>
      <c r="AG194" s="68" t="s">
        <v>45</v>
      </c>
      <c r="AH194" s="66"/>
      <c r="AI194" s="100"/>
      <c r="AJ194" s="101"/>
      <c r="AK194" s="102"/>
      <c r="AL194" s="49">
        <f>VLOOKUP(G194,VALIDACIONES!P:Q,2,0)</f>
        <v>42118147</v>
      </c>
      <c r="AM194" s="55" t="str">
        <f t="shared" si="25"/>
        <v>NADA</v>
      </c>
      <c r="AN194" s="99" t="str">
        <f t="shared" si="26"/>
        <v>NO</v>
      </c>
    </row>
    <row r="195" spans="1:40" s="103" customFormat="1">
      <c r="A195" s="141">
        <v>46185</v>
      </c>
      <c r="B195" s="139" t="str">
        <f t="shared" si="23"/>
        <v>18 A 06</v>
      </c>
      <c r="C195" s="62" t="str">
        <f t="shared" si="24"/>
        <v>22:00 a 00:00</v>
      </c>
      <c r="D195" s="66" t="s">
        <v>322</v>
      </c>
      <c r="E195" s="61">
        <v>5</v>
      </c>
      <c r="F195" s="78" t="s">
        <v>328</v>
      </c>
      <c r="G195" s="66" t="s">
        <v>956</v>
      </c>
      <c r="H195" s="114">
        <v>367657</v>
      </c>
      <c r="I195" s="138">
        <v>48383156</v>
      </c>
      <c r="J195" s="66" t="s">
        <v>2627</v>
      </c>
      <c r="K195" s="66" t="s">
        <v>103</v>
      </c>
      <c r="L195" s="61"/>
      <c r="M195" s="61"/>
      <c r="N195" s="61"/>
      <c r="O195" s="66" t="s">
        <v>3140</v>
      </c>
      <c r="P195" s="104" t="s">
        <v>3015</v>
      </c>
      <c r="Q195" s="75">
        <v>0.97777777777777775</v>
      </c>
      <c r="R195" s="75">
        <v>0.99305555555555558</v>
      </c>
      <c r="S195" s="75">
        <v>0.97777777777777775</v>
      </c>
      <c r="T195" s="75" t="s">
        <v>2424</v>
      </c>
      <c r="U195" s="75">
        <v>0.98124999999999996</v>
      </c>
      <c r="V195" s="75" t="s">
        <v>2424</v>
      </c>
      <c r="W195" s="120" t="s">
        <v>2424</v>
      </c>
      <c r="X195" s="124" t="s">
        <v>3141</v>
      </c>
      <c r="Y195" s="122">
        <v>0</v>
      </c>
      <c r="Z195" s="67">
        <v>0</v>
      </c>
      <c r="AA195" s="67">
        <v>0</v>
      </c>
      <c r="AB195" s="108" t="s">
        <v>3017</v>
      </c>
      <c r="AC195" s="108" t="s">
        <v>2637</v>
      </c>
      <c r="AD195" s="66" t="s">
        <v>2638</v>
      </c>
      <c r="AE195" s="66"/>
      <c r="AF195" s="66"/>
      <c r="AG195" s="68" t="s">
        <v>45</v>
      </c>
      <c r="AH195" s="66"/>
      <c r="AI195" s="100"/>
      <c r="AJ195" s="101"/>
      <c r="AK195" s="102"/>
      <c r="AL195" s="49">
        <f>VLOOKUP(G195,VALIDACIONES!P:Q,2,0)</f>
        <v>40015710</v>
      </c>
      <c r="AM195" s="55" t="str">
        <f t="shared" si="25"/>
        <v>NADA</v>
      </c>
      <c r="AN195" s="99" t="str">
        <f t="shared" si="26"/>
        <v>NO</v>
      </c>
    </row>
    <row r="196" spans="1:40" s="103" customFormat="1">
      <c r="A196" s="141">
        <v>46185</v>
      </c>
      <c r="B196" s="139" t="str">
        <f t="shared" si="23"/>
        <v>18 A 06</v>
      </c>
      <c r="C196" s="62" t="str">
        <f t="shared" si="24"/>
        <v>22:00 a 00:00</v>
      </c>
      <c r="D196" s="66" t="s">
        <v>322</v>
      </c>
      <c r="E196" s="61">
        <v>5</v>
      </c>
      <c r="F196" s="78" t="s">
        <v>328</v>
      </c>
      <c r="G196" s="66" t="s">
        <v>1666</v>
      </c>
      <c r="H196" s="114">
        <v>367568</v>
      </c>
      <c r="I196" s="138">
        <v>48382978</v>
      </c>
      <c r="J196" s="66" t="s">
        <v>2627</v>
      </c>
      <c r="K196" s="66" t="s">
        <v>86</v>
      </c>
      <c r="L196" s="61" t="s">
        <v>136</v>
      </c>
      <c r="M196" s="61" t="s">
        <v>218</v>
      </c>
      <c r="N196" s="61"/>
      <c r="O196" s="66" t="s">
        <v>3142</v>
      </c>
      <c r="P196" s="104" t="s">
        <v>2704</v>
      </c>
      <c r="Q196" s="75">
        <v>0.98402777777777772</v>
      </c>
      <c r="R196" s="75">
        <v>1.3888888888888889E-3</v>
      </c>
      <c r="S196" s="75">
        <v>0.98402777777777772</v>
      </c>
      <c r="T196" s="75" t="s">
        <v>2424</v>
      </c>
      <c r="U196" s="75" t="s">
        <v>2424</v>
      </c>
      <c r="V196" s="75" t="s">
        <v>2424</v>
      </c>
      <c r="W196" s="120" t="s">
        <v>2424</v>
      </c>
      <c r="X196" s="124" t="s">
        <v>3143</v>
      </c>
      <c r="Y196" s="122">
        <v>1</v>
      </c>
      <c r="Z196" s="67">
        <v>0</v>
      </c>
      <c r="AA196" s="67">
        <v>0</v>
      </c>
      <c r="AB196" s="108" t="s">
        <v>3144</v>
      </c>
      <c r="AC196" s="108" t="s">
        <v>2637</v>
      </c>
      <c r="AD196" s="66" t="s">
        <v>2638</v>
      </c>
      <c r="AE196" s="66"/>
      <c r="AF196" s="66" t="s">
        <v>2723</v>
      </c>
      <c r="AG196" s="68" t="s">
        <v>62</v>
      </c>
      <c r="AH196" s="66"/>
      <c r="AI196" s="100"/>
      <c r="AJ196" s="101"/>
      <c r="AK196" s="102"/>
      <c r="AL196" s="49">
        <f>VLOOKUP(G196,VALIDACIONES!P:Q,2,0)</f>
        <v>37667255</v>
      </c>
      <c r="AM196" s="55" t="str">
        <f t="shared" si="25"/>
        <v>IMPUTADO</v>
      </c>
      <c r="AN196" s="99" t="str">
        <f t="shared" si="26"/>
        <v>NO</v>
      </c>
    </row>
    <row r="197" spans="1:40" s="103" customFormat="1">
      <c r="A197" s="141">
        <v>46185</v>
      </c>
      <c r="B197" s="139" t="str">
        <f t="shared" si="23"/>
        <v>18 A 06</v>
      </c>
      <c r="C197" s="62" t="str">
        <f t="shared" si="24"/>
        <v>22:00 a 00:00</v>
      </c>
      <c r="D197" s="66" t="s">
        <v>322</v>
      </c>
      <c r="E197" s="61">
        <v>5</v>
      </c>
      <c r="F197" s="78" t="s">
        <v>2634</v>
      </c>
      <c r="G197" s="66" t="s">
        <v>224</v>
      </c>
      <c r="H197" s="114">
        <v>367829</v>
      </c>
      <c r="I197" s="138">
        <v>48383239</v>
      </c>
      <c r="J197" s="66" t="s">
        <v>2627</v>
      </c>
      <c r="K197" s="66" t="s">
        <v>145</v>
      </c>
      <c r="L197" s="61"/>
      <c r="M197" s="61" t="s">
        <v>257</v>
      </c>
      <c r="N197" s="61"/>
      <c r="O197" s="66" t="s">
        <v>3145</v>
      </c>
      <c r="P197" s="104" t="s">
        <v>2639</v>
      </c>
      <c r="Q197" s="75">
        <v>0.98888888888888893</v>
      </c>
      <c r="R197" s="75">
        <v>0.99930555555555556</v>
      </c>
      <c r="S197" s="75">
        <v>0.9916666666666667</v>
      </c>
      <c r="T197" s="75" t="s">
        <v>2424</v>
      </c>
      <c r="U197" s="75" t="s">
        <v>2424</v>
      </c>
      <c r="V197" s="75" t="s">
        <v>2424</v>
      </c>
      <c r="W197" s="120" t="s">
        <v>2424</v>
      </c>
      <c r="X197" s="124" t="s">
        <v>3146</v>
      </c>
      <c r="Y197" s="122">
        <v>1</v>
      </c>
      <c r="Z197" s="67">
        <v>0</v>
      </c>
      <c r="AA197" s="67">
        <v>0</v>
      </c>
      <c r="AB197" s="108" t="s">
        <v>2640</v>
      </c>
      <c r="AC197" s="108" t="s">
        <v>2637</v>
      </c>
      <c r="AD197" s="66" t="s">
        <v>2645</v>
      </c>
      <c r="AE197" s="66"/>
      <c r="AF197" s="66" t="s">
        <v>3079</v>
      </c>
      <c r="AG197" s="68" t="s">
        <v>54</v>
      </c>
      <c r="AH197" s="66"/>
      <c r="AI197" s="100"/>
      <c r="AJ197" s="101"/>
      <c r="AK197" s="102"/>
      <c r="AL197" s="49">
        <f>VLOOKUP(G197,VALIDACIONES!P:Q,2,0)</f>
        <v>45428311</v>
      </c>
      <c r="AM197" s="55" t="str">
        <f t="shared" si="25"/>
        <v>IMPUTADO</v>
      </c>
      <c r="AN197" s="99" t="str">
        <f t="shared" si="26"/>
        <v>NO</v>
      </c>
    </row>
    <row r="198" spans="1:40" s="103" customFormat="1">
      <c r="A198" s="141">
        <v>46185</v>
      </c>
      <c r="B198" s="139" t="str">
        <f t="shared" si="23"/>
        <v>18 A 06</v>
      </c>
      <c r="C198" s="62" t="str">
        <f t="shared" si="24"/>
        <v>22:00 a 00:00</v>
      </c>
      <c r="D198" s="66" t="s">
        <v>322</v>
      </c>
      <c r="E198" s="61">
        <v>5</v>
      </c>
      <c r="F198" s="78" t="s">
        <v>2631</v>
      </c>
      <c r="G198" s="66" t="s">
        <v>770</v>
      </c>
      <c r="H198" s="114">
        <v>367755</v>
      </c>
      <c r="I198" s="138">
        <v>48383243</v>
      </c>
      <c r="J198" s="66" t="s">
        <v>2627</v>
      </c>
      <c r="K198" s="66" t="s">
        <v>86</v>
      </c>
      <c r="L198" s="61" t="s">
        <v>198</v>
      </c>
      <c r="M198" s="61" t="s">
        <v>198</v>
      </c>
      <c r="N198" s="61"/>
      <c r="O198" s="66" t="s">
        <v>3147</v>
      </c>
      <c r="P198" s="104" t="s">
        <v>2661</v>
      </c>
      <c r="Q198" s="75">
        <v>0.99305555555555558</v>
      </c>
      <c r="R198" s="75">
        <v>8.6805555555555552E-2</v>
      </c>
      <c r="S198" s="75">
        <v>0.99305555555555558</v>
      </c>
      <c r="T198" s="75" t="s">
        <v>2424</v>
      </c>
      <c r="U198" s="75" t="s">
        <v>2424</v>
      </c>
      <c r="V198" s="75" t="s">
        <v>2424</v>
      </c>
      <c r="W198" s="120" t="s">
        <v>2424</v>
      </c>
      <c r="X198" s="124" t="s">
        <v>3148</v>
      </c>
      <c r="Y198" s="122">
        <v>0</v>
      </c>
      <c r="Z198" s="67">
        <v>1</v>
      </c>
      <c r="AA198" s="67">
        <v>0</v>
      </c>
      <c r="AB198" s="108" t="s">
        <v>2675</v>
      </c>
      <c r="AC198" s="108" t="s">
        <v>2637</v>
      </c>
      <c r="AD198" s="66" t="s">
        <v>2638</v>
      </c>
      <c r="AE198" s="66"/>
      <c r="AF198" s="66" t="s">
        <v>2670</v>
      </c>
      <c r="AG198" s="68" t="s">
        <v>62</v>
      </c>
      <c r="AH198" s="66"/>
      <c r="AI198" s="100"/>
      <c r="AJ198" s="101"/>
      <c r="AK198" s="102"/>
      <c r="AL198" s="49">
        <f>VLOOKUP(G198,VALIDACIONES!P:Q,2,0)</f>
        <v>34059155</v>
      </c>
      <c r="AM198" s="55" t="str">
        <f t="shared" si="25"/>
        <v>IMPUTADO</v>
      </c>
      <c r="AN198" s="99" t="str">
        <f t="shared" si="26"/>
        <v>NO</v>
      </c>
    </row>
    <row r="199" spans="1:40" s="103" customFormat="1">
      <c r="A199" s="141">
        <v>46185</v>
      </c>
      <c r="B199" s="139" t="str">
        <f t="shared" si="23"/>
        <v>18 A 06</v>
      </c>
      <c r="C199" s="62" t="str">
        <f t="shared" si="24"/>
        <v>22:00 a 00:00</v>
      </c>
      <c r="D199" s="66" t="s">
        <v>322</v>
      </c>
      <c r="E199" s="61">
        <v>5</v>
      </c>
      <c r="F199" s="78" t="s">
        <v>2631</v>
      </c>
      <c r="G199" s="66" t="s">
        <v>1758</v>
      </c>
      <c r="H199" s="114">
        <v>367683</v>
      </c>
      <c r="I199" s="138">
        <v>48382966</v>
      </c>
      <c r="J199" s="66" t="s">
        <v>2627</v>
      </c>
      <c r="K199" s="66" t="s">
        <v>166</v>
      </c>
      <c r="L199" s="61"/>
      <c r="M199" s="61" t="s">
        <v>227</v>
      </c>
      <c r="N199" s="61"/>
      <c r="O199" s="66" t="s">
        <v>3149</v>
      </c>
      <c r="P199" s="104" t="s">
        <v>2652</v>
      </c>
      <c r="Q199" s="75">
        <v>0.99513888888888891</v>
      </c>
      <c r="R199" s="75">
        <v>2.5000000000000001E-2</v>
      </c>
      <c r="S199" s="75">
        <v>0.99652777777777779</v>
      </c>
      <c r="T199" s="75" t="s">
        <v>2424</v>
      </c>
      <c r="U199" s="75" t="s">
        <v>2424</v>
      </c>
      <c r="V199" s="75" t="s">
        <v>2424</v>
      </c>
      <c r="W199" s="120" t="s">
        <v>2424</v>
      </c>
      <c r="X199" s="124" t="s">
        <v>3150</v>
      </c>
      <c r="Y199" s="122">
        <v>1</v>
      </c>
      <c r="Z199" s="67">
        <v>0</v>
      </c>
      <c r="AA199" s="67">
        <v>0</v>
      </c>
      <c r="AB199" s="108" t="s">
        <v>2653</v>
      </c>
      <c r="AC199" s="108" t="s">
        <v>2637</v>
      </c>
      <c r="AD199" s="66" t="s">
        <v>2645</v>
      </c>
      <c r="AE199" s="66"/>
      <c r="AF199" s="66" t="s">
        <v>3079</v>
      </c>
      <c r="AG199" s="68" t="s">
        <v>54</v>
      </c>
      <c r="AH199" s="66"/>
      <c r="AI199" s="100"/>
      <c r="AJ199" s="101" t="s">
        <v>3163</v>
      </c>
      <c r="AK199" s="102"/>
      <c r="AL199" s="49">
        <f>VLOOKUP(G199,VALIDACIONES!P:Q,2,0)</f>
        <v>46252382</v>
      </c>
      <c r="AM199" s="55" t="str">
        <f t="shared" si="25"/>
        <v>IMPUTADO</v>
      </c>
      <c r="AN199" s="99" t="str">
        <f t="shared" si="26"/>
        <v>NO</v>
      </c>
    </row>
    <row r="200" spans="1:40">
      <c r="AL200" s="81"/>
      <c r="AM200" s="30"/>
      <c r="AN200" s="30"/>
    </row>
    <row r="201" spans="1:40" ht="19.5" thickBot="1">
      <c r="H201" s="117"/>
      <c r="I201" s="142" t="s">
        <v>2432</v>
      </c>
      <c r="J201" s="142"/>
      <c r="K201" s="143"/>
      <c r="L201" s="95">
        <f>COUNTIF(K2:K199,"COLABORACION")</f>
        <v>110</v>
      </c>
      <c r="R201"/>
      <c r="AM201" s="30"/>
      <c r="AN201" s="30"/>
    </row>
    <row r="202" spans="1:40" ht="18.75">
      <c r="H202" s="144" t="s">
        <v>2433</v>
      </c>
      <c r="I202" s="144"/>
      <c r="J202" s="144"/>
      <c r="K202" s="145"/>
      <c r="L202" s="93">
        <f>SUMIF(K2:K199,"COLABORACION",Y2:Y199)+SUMIF(K2:K199,"COLABORACION",Z2:Z199)</f>
        <v>52</v>
      </c>
      <c r="AM202" s="30"/>
      <c r="AN202" s="30"/>
    </row>
    <row r="203" spans="1:40">
      <c r="AM203" s="30"/>
      <c r="AN203" s="30"/>
    </row>
    <row r="204" spans="1:40">
      <c r="L204" s="94"/>
      <c r="AM204" s="30"/>
      <c r="AN204" s="30"/>
    </row>
    <row r="205" spans="1:40">
      <c r="AM205" s="30"/>
      <c r="AN205" s="30"/>
    </row>
    <row r="206" spans="1:40">
      <c r="Q206" s="94"/>
      <c r="AM206" s="30"/>
      <c r="AN206" s="30"/>
    </row>
    <row r="207" spans="1:40">
      <c r="AM207" s="30"/>
      <c r="AN207" s="30"/>
    </row>
    <row r="208" spans="1:40">
      <c r="AM208" s="30"/>
      <c r="AN208" s="30"/>
    </row>
    <row r="209" spans="39:40">
      <c r="AM209" s="30"/>
      <c r="AN209" s="30"/>
    </row>
    <row r="210" spans="39:40">
      <c r="AM210" s="30"/>
      <c r="AN210" s="30"/>
    </row>
    <row r="211" spans="39:40">
      <c r="AM211" s="30"/>
      <c r="AN211" s="30"/>
    </row>
    <row r="212" spans="39:40">
      <c r="AM212" s="30"/>
      <c r="AN212" s="30"/>
    </row>
    <row r="213" spans="39:40">
      <c r="AM213" s="54"/>
    </row>
    <row r="214" spans="39:40">
      <c r="AM214" s="54"/>
    </row>
  </sheetData>
  <autoFilter ref="A1:AN199" xr:uid="{00000000-0001-0000-0000-000000000000}">
    <filterColumn colId="7">
      <filters>
        <filter val="365035"/>
        <filter val="365061"/>
        <filter val="365065"/>
        <filter val="365076"/>
        <filter val="365086"/>
        <filter val="365092"/>
        <filter val="365094"/>
        <filter val="365103"/>
        <filter val="365165"/>
        <filter val="365169"/>
        <filter val="365182"/>
        <filter val="365207"/>
        <filter val="365215"/>
        <filter val="365224"/>
        <filter val="365234"/>
        <filter val="365241"/>
        <filter val="365244"/>
        <filter val="365245"/>
        <filter val="365246"/>
        <filter val="365248"/>
        <filter val="365255"/>
        <filter val="365256"/>
        <filter val="365257"/>
        <filter val="365261"/>
        <filter val="365262"/>
        <filter val="365263"/>
        <filter val="365305"/>
        <filter val="365339"/>
        <filter val="365374"/>
        <filter val="365378"/>
        <filter val="365405"/>
        <filter val="365415"/>
        <filter val="365420"/>
        <filter val="365463"/>
        <filter val="365466"/>
        <filter val="365468"/>
        <filter val="365487"/>
        <filter val="365489"/>
        <filter val="365492"/>
        <filter val="365494"/>
        <filter val="365495"/>
        <filter val="365499"/>
        <filter val="365504"/>
        <filter val="365511"/>
        <filter val="365590"/>
        <filter val="365595"/>
        <filter val="365599"/>
        <filter val="365604"/>
        <filter val="365663"/>
        <filter val="365666"/>
        <filter val="365669"/>
        <filter val="365672"/>
        <filter val="365696"/>
        <filter val="365698"/>
        <filter val="365703"/>
        <filter val="365708"/>
        <filter val="365734"/>
        <filter val="365739"/>
        <filter val="365771"/>
        <filter val="365774"/>
        <filter val="365782"/>
        <filter val="365784"/>
        <filter val="365829"/>
        <filter val="365831"/>
        <filter val="365832"/>
        <filter val="365839"/>
        <filter val="365841"/>
        <filter val="365844"/>
        <filter val="365847"/>
        <filter val="365850"/>
        <filter val="365855"/>
        <filter val="365859"/>
        <filter val="365863"/>
        <filter val="365870"/>
        <filter val="365937"/>
        <filter val="365960"/>
        <filter val="365970"/>
        <filter val="365972"/>
        <filter val="366109"/>
        <filter val="366113"/>
        <filter val="366120"/>
        <filter val="366126"/>
        <filter val="366127"/>
        <filter val="366128"/>
        <filter val="366136"/>
        <filter val="366142"/>
        <filter val="366159"/>
        <filter val="366165"/>
        <filter val="366169"/>
        <filter val="366171"/>
        <filter val="366176"/>
        <filter val="366190"/>
        <filter val="366209"/>
        <filter val="366214"/>
        <filter val="366217"/>
        <filter val="366218"/>
        <filter val="366224"/>
        <filter val="366230"/>
        <filter val="366234"/>
        <filter val="366243"/>
        <filter val="366247"/>
        <filter val="366252"/>
        <filter val="366365"/>
        <filter val="366419"/>
        <filter val="366430"/>
        <filter val="366487"/>
        <filter val="366558"/>
        <filter val="366566"/>
        <filter val="366709"/>
        <filter val="366720"/>
        <filter val="366722"/>
        <filter val="366726"/>
        <filter val="366730"/>
        <filter val="366731"/>
        <filter val="366747"/>
        <filter val="366749"/>
        <filter val="366764"/>
        <filter val="366768"/>
        <filter val="366798"/>
        <filter val="366821"/>
        <filter val="366827"/>
        <filter val="366832"/>
        <filter val="366853"/>
        <filter val="366860"/>
        <filter val="366863"/>
        <filter val="366885"/>
        <filter val="366965"/>
        <filter val="367050"/>
        <filter val="367095"/>
        <filter val="367096"/>
        <filter val="367099"/>
        <filter val="367100"/>
        <filter val="367105"/>
        <filter val="367129"/>
        <filter val="367132"/>
        <filter val="367133"/>
        <filter val="367139"/>
        <filter val="367142"/>
        <filter val="367144"/>
        <filter val="367183"/>
        <filter val="367248"/>
        <filter val="367255"/>
        <filter val="367270"/>
        <filter val="367279"/>
        <filter val="367291"/>
        <filter val="367297"/>
        <filter val="367299"/>
        <filter val="367303"/>
        <filter val="367304"/>
        <filter val="367310"/>
        <filter val="367315"/>
        <filter val="367316"/>
        <filter val="367324"/>
        <filter val="367327"/>
        <filter val="367328"/>
        <filter val="367334"/>
        <filter val="367338"/>
        <filter val="367344"/>
        <filter val="367346"/>
        <filter val="367349"/>
        <filter val="367351"/>
        <filter val="367372"/>
        <filter val="367374"/>
        <filter val="367375"/>
        <filter val="367383"/>
        <filter val="367435"/>
        <filter val="367447"/>
        <filter val="367492"/>
        <filter val="367506"/>
        <filter val="367512"/>
        <filter val="367549"/>
        <filter val="367551"/>
        <filter val="367566"/>
        <filter val="367568"/>
        <filter val="367581"/>
        <filter val="367630"/>
        <filter val="367632"/>
        <filter val="367636"/>
        <filter val="367643"/>
        <filter val="367647"/>
        <filter val="367655"/>
        <filter val="367656"/>
        <filter val="367657"/>
        <filter val="367683"/>
        <filter val="367698"/>
        <filter val="367701"/>
        <filter val="367732"/>
        <filter val="367754"/>
        <filter val="367755"/>
        <filter val="367829"/>
        <filter val="367845"/>
        <filter val="367849"/>
        <filter val="367894"/>
      </filters>
    </filterColumn>
  </autoFilter>
  <sortState xmlns:xlrd2="http://schemas.microsoft.com/office/spreadsheetml/2017/richdata2" ref="A2:AM205">
    <sortCondition ref="Q2"/>
  </sortState>
  <mergeCells count="2">
    <mergeCell ref="I201:K201"/>
    <mergeCell ref="H202:K202"/>
  </mergeCells>
  <conditionalFormatting sqref="B1:B1048576">
    <cfRule type="containsErrors" dxfId="20" priority="104">
      <formula>ISERROR(B1)</formula>
    </cfRule>
  </conditionalFormatting>
  <conditionalFormatting sqref="K2:K199">
    <cfRule type="expression" dxfId="19" priority="10">
      <formula>AND(AG2="COLABORACION CON IMPUTADO/S",K2&lt;&gt;"COLABORACION")</formula>
    </cfRule>
    <cfRule type="expression" dxfId="18" priority="14">
      <formula>AND(AG2="COLABORACION CON INTERVENCION DIRECTA CON IMPUTADO/S",K2&lt;&gt;"COLABORACION")</formula>
    </cfRule>
  </conditionalFormatting>
  <conditionalFormatting sqref="L2 L4:L199">
    <cfRule type="expression" dxfId="17" priority="8">
      <formula>AND(K2="TOTEM",ISBLANK(L2))</formula>
    </cfRule>
    <cfRule type="expression" dxfId="16" priority="22">
      <formula>AND(K2="COLABORACION",ISBLANK(L2))</formula>
    </cfRule>
  </conditionalFormatting>
  <conditionalFormatting sqref="M2:M199">
    <cfRule type="expression" dxfId="15" priority="544">
      <formula>AN2="FALTO"</formula>
    </cfRule>
  </conditionalFormatting>
  <conditionalFormatting sqref="O1:O199">
    <cfRule type="containsText" dxfId="14" priority="92" operator="containsText" text="LINEA">
      <formula>NOT(ISERROR(SEARCH("LINEA",O1)))</formula>
    </cfRule>
  </conditionalFormatting>
  <conditionalFormatting sqref="P1:P199">
    <cfRule type="cellIs" dxfId="13" priority="91" operator="equal">
      <formula>"SUBTE"</formula>
    </cfRule>
  </conditionalFormatting>
  <conditionalFormatting sqref="AG2:AG199">
    <cfRule type="expression" dxfId="12" priority="42">
      <formula>ISBLANK(AG2)</formula>
    </cfRule>
  </conditionalFormatting>
  <conditionalFormatting sqref="C1:D1048576">
    <cfRule type="containsErrors" dxfId="11" priority="105">
      <formula>ISERROR(C1)</formula>
    </cfRule>
    <cfRule type="containsText" dxfId="10" priority="106" operator="containsText" text="NO CORRESPONDE">
      <formula>NOT(ISERROR(SEARCH("NO CORRESPONDE",C1)))</formula>
    </cfRule>
  </conditionalFormatting>
  <conditionalFormatting sqref="K3">
    <cfRule type="expression" dxfId="9" priority="747">
      <formula>AND(#REF!="TOTEM",ISBLANK(K3))</formula>
    </cfRule>
    <cfRule type="expression" dxfId="8" priority="748">
      <formula>AND(#REF!="COLABORACION",ISBLANK(K3))</formula>
    </cfRule>
  </conditionalFormatting>
  <conditionalFormatting sqref="N2:N199">
    <cfRule type="expression" dxfId="7" priority="1">
      <formula>AND(K2="ROBO/HURTO",ISBLANK(N2))</formula>
    </cfRule>
  </conditionalFormatting>
  <conditionalFormatting sqref="I2:I199">
    <cfRule type="duplicateValues" dxfId="6" priority="980"/>
  </conditionalFormatting>
  <conditionalFormatting sqref="Y2:Z199">
    <cfRule type="colorScale" priority="981">
      <colorScale>
        <cfvo type="num" val="1"/>
        <cfvo type="percentile" val="50"/>
        <cfvo type="max"/>
        <color theme="9" tint="0.79970702230903046"/>
        <color rgb="FFFFEB84"/>
        <color theme="9" tint="-0.249977111117893"/>
      </colorScale>
    </cfRule>
  </conditionalFormatting>
  <dataValidations count="2">
    <dataValidation type="time" allowBlank="1" showInputMessage="1" showErrorMessage="1" sqref="W1:W1048576" xr:uid="{00000000-0002-0000-0000-000000000000}">
      <formula1>0</formula1>
      <formula2>0.999305555555556</formula2>
    </dataValidation>
    <dataValidation type="whole" allowBlank="1" showInputMessage="1" showErrorMessage="1" sqref="Y1:AA1048576" xr:uid="{00000000-0002-0000-0000-000001000000}">
      <formula1>0</formula1>
      <formula2>10</formula2>
    </dataValidation>
  </dataValidations>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expression" priority="572" id="{B45869B0-7296-44A9-8755-36820311192B}">
            <xm:f>ISERROR(MATCH(F2,VALIDACIONES!$I$2:$I$33,0))</xm:f>
            <x14:dxf>
              <font>
                <strike val="0"/>
              </font>
              <fill>
                <patternFill patternType="darkTrellis">
                  <fgColor theme="0"/>
                  <bgColor rgb="FFC00000"/>
                </patternFill>
              </fill>
            </x14:dxf>
          </x14:cfRule>
          <xm:sqref>F2:F199</xm:sqref>
        </x14:conditionalFormatting>
        <x14:conditionalFormatting xmlns:xm="http://schemas.microsoft.com/office/excel/2006/main">
          <x14:cfRule type="expression" priority="47" id="{29B5532A-C82D-44E2-AB12-43E18068CA6A}">
            <xm:f>ISERROR(MATCH(G2,VALIDACIONES!$N$1:$N$885,0))</xm:f>
            <x14:dxf>
              <font>
                <strike val="0"/>
              </font>
              <fill>
                <patternFill patternType="darkTrellis">
                  <fgColor theme="0"/>
                  <bgColor rgb="FFC00000"/>
                </patternFill>
              </fill>
            </x14:dxf>
          </x14:cfRule>
          <xm:sqref>G2:G199</xm:sqref>
        </x14:conditionalFormatting>
        <x14:conditionalFormatting xmlns:xm="http://schemas.microsoft.com/office/excel/2006/main">
          <x14:cfRule type="containsText" priority="73" operator="containsText" id="{70F9DDFF-E12C-4CA6-94AA-62F91D248D0D}">
            <xm:f>NOT(ISERROR(SEARCH(VALIDACIONES!$E$5,AG1)))</xm:f>
            <xm:f>VALIDACIONES!$E$5</xm:f>
            <x14:dxf>
              <fill>
                <patternFill patternType="solid">
                  <bgColor theme="7" tint="0.59996337778862885"/>
                </patternFill>
              </fill>
            </x14:dxf>
          </x14:cfRule>
          <x14:cfRule type="containsText" priority="74" operator="containsText" id="{5CAB1FF6-3BDC-48D5-A42A-38EFC0FDD5A8}">
            <xm:f>NOT(ISERROR(SEARCH(VALIDACIONES!$E$3,AG1)))</xm:f>
            <xm:f>VALIDACIONES!$E$3</xm:f>
            <x14:dxf>
              <fill>
                <patternFill patternType="solid">
                  <bgColor theme="9" tint="0.59996337778862885"/>
                </patternFill>
              </fill>
            </x14:dxf>
          </x14:cfRule>
          <xm:sqref>AG1:AG1048576</xm:sqref>
        </x14:conditionalFormatting>
        <x14:conditionalFormatting xmlns:xm="http://schemas.microsoft.com/office/excel/2006/main">
          <x14:cfRule type="expression" priority="749" id="{54651536-FB16-4B84-AA4F-EBA862DCCA44}">
            <xm:f>ISERROR(MATCH(K2,VALIDACIONES!$S$2:$S$49,0))</xm:f>
            <x14:dxf>
              <font>
                <strike/>
              </font>
              <fill>
                <patternFill patternType="darkTrellis">
                  <fgColor theme="0"/>
                  <bgColor rgb="FFC00000"/>
                </patternFill>
              </fill>
            </x14:dxf>
          </x14:cfRule>
          <xm:sqref>K2:K199</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4000000}">
          <x14:formula1>
            <xm:f>VALIDACIONES!$C$2:$C$8</xm:f>
          </x14:formula1>
          <xm:sqref>P67:P68</xm:sqref>
        </x14:dataValidation>
        <x14:dataValidation type="list" allowBlank="1" showInputMessage="1" showErrorMessage="1" xr:uid="{00000000-0002-0000-0000-000007000000}">
          <x14:formula1>
            <xm:f>IF(OR(K2="COLABORACION",K2="TOTEM"),VALIDACIONES!$G$2:$G$37,VALIDACIONES!$E$10)</xm:f>
          </x14:formula1>
          <xm:sqref>L2 L4:L199</xm:sqref>
        </x14:dataValidation>
        <x14:dataValidation type="list" allowBlank="1" showInputMessage="1" showErrorMessage="1" xr:uid="{00000000-0002-0000-0000-000002000000}">
          <x14:formula1>
            <xm:f>VALIDACIONES!$I$2:$I$76</xm:f>
          </x14:formula1>
          <xm:sqref>F2:F199</xm:sqref>
        </x14:dataValidation>
        <x14:dataValidation type="list" allowBlank="1" showInputMessage="1" showErrorMessage="1" xr:uid="{00000000-0002-0000-0000-000006000000}">
          <x14:formula1>
            <xm:f>VALIDACIONES!$S$2:$S$49</xm:f>
          </x14:formula1>
          <xm:sqref>K2:K199</xm:sqref>
        </x14:dataValidation>
        <x14:dataValidation type="list" allowBlank="1" showInputMessage="1" showErrorMessage="1" xr:uid="{00000000-0002-0000-0000-00000A000000}">
          <x14:formula1>
            <xm:f>VALIDACIONES!$P:$P</xm:f>
          </x14:formula1>
          <xm:sqref>G2:G199</xm:sqref>
        </x14:dataValidation>
        <x14:dataValidation type="list" allowBlank="1" showInputMessage="1" showErrorMessage="1" xr:uid="{00000000-0002-0000-0000-000003000000}">
          <x14:formula1>
            <xm:f>IF(AND(Y2&gt;=1,Z2&gt;=1),VALIDACIONES!$C$2:$C$43,IF(Y2&gt;=1,VALIDACIONES!$C$30:$C$43,IF(Z2&gt;=1,VALIDACIONES!$C$2:$C$29,VALIDACIONES!$E$8)))</xm:f>
          </x14:formula1>
          <xm:sqref>M2:M199</xm:sqref>
        </x14:dataValidation>
        <x14:dataValidation type="list" allowBlank="1" showInputMessage="1" showErrorMessage="1" xr:uid="{00000000-0002-0000-0000-000005000000}">
          <x14:formula1>
            <xm:f>IF(AND(K2&lt;&gt;"COLABORACION",OR(Y2&gt;=1,Z2&gt;=1)),VALIDACIONES!$E$3,IF(AND(K2="COLABORACION",OR(Y2&gt;=1,Z2&gt;=1)),VALIDACIONES!$E$4:$E$5,VALIDACIONES!$E$2))</xm:f>
          </x14:formula1>
          <xm:sqref>AG2:AG199</xm:sqref>
        </x14:dataValidation>
        <x14:dataValidation type="list" allowBlank="1" showInputMessage="1" showErrorMessage="1" xr:uid="{00000000-0002-0000-0000-000009000000}">
          <x14:formula1>
            <xm:f>IF(K2="ROBO/HURTO",VALIDACIONES!$U$2:$U$18,VALIDACIONES!$W$2)</xm:f>
          </x14:formula1>
          <xm:sqref>N2:N199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E9"/>
  <sheetViews>
    <sheetView showGridLines="0" workbookViewId="0">
      <selection activeCell="G30" sqref="G30"/>
    </sheetView>
  </sheetViews>
  <sheetFormatPr baseColWidth="10" defaultRowHeight="15"/>
  <cols>
    <col min="1" max="1" width="19.85546875" customWidth="1"/>
    <col min="2" max="2" width="13.140625" style="86" bestFit="1" customWidth="1"/>
    <col min="3" max="3" width="9.5703125" style="86" bestFit="1" customWidth="1"/>
    <col min="5" max="5" width="15.42578125" customWidth="1"/>
  </cols>
  <sheetData>
    <row r="1" spans="1:5">
      <c r="C1" s="85"/>
      <c r="D1" s="82"/>
    </row>
    <row r="2" spans="1:5">
      <c r="C2" s="85"/>
    </row>
    <row r="3" spans="1:5">
      <c r="C3" s="85"/>
    </row>
    <row r="4" spans="1:5">
      <c r="A4" s="92"/>
      <c r="C4" s="85"/>
    </row>
    <row r="5" spans="1:5">
      <c r="E5" s="63" t="s">
        <v>2411</v>
      </c>
    </row>
    <row r="6" spans="1:5">
      <c r="E6" s="87">
        <f>SUBTOTAL(103,Hoja1!K2:K199)</f>
        <v>193</v>
      </c>
    </row>
    <row r="8" spans="1:5">
      <c r="E8" s="63" t="s">
        <v>2410</v>
      </c>
    </row>
    <row r="9" spans="1:5">
      <c r="E9" s="88" cm="1">
        <f t="array" aca="1" ref="E9" ca="1">SUMPRODUCT(SUBTOTAL(103, OFFSET(Hoja1!S2:S199, ROW(Hoja1!S2:S199)-ROW(Hoja1!S2), 0, 1)), --ISNUMBER(Hoja1!S2:S199))</f>
        <v>173</v>
      </c>
    </row>
  </sheetData>
  <pageMargins left="0.7" right="0.7" top="0.75" bottom="0.75" header="0.3" footer="0.3"/>
  <pageSetup orientation="portrait" r:id="rId1"/>
  <drawing r:id="rId2"/>
  <legacyDrawing r:id="rId3"/>
  <controls>
    <mc:AlternateContent xmlns:mc="http://schemas.openxmlformats.org/markup-compatibility/2006">
      <mc:Choice Requires="x14">
        <control shapeId="2056" r:id="rId4" name="CommandButton1">
          <controlPr defaultSize="0" autoLine="0" r:id="rId5">
            <anchor moveWithCells="1">
              <from>
                <xdr:col>1</xdr:col>
                <xdr:colOff>0</xdr:colOff>
                <xdr:row>1</xdr:row>
                <xdr:rowOff>142875</xdr:rowOff>
              </from>
              <to>
                <xdr:col>3</xdr:col>
                <xdr:colOff>314325</xdr:colOff>
                <xdr:row>5</xdr:row>
                <xdr:rowOff>142875</xdr:rowOff>
              </to>
            </anchor>
          </controlPr>
        </control>
      </mc:Choice>
      <mc:Fallback>
        <control shapeId="2056" r:id="rId4" name="CommandButton1"/>
      </mc:Fallback>
    </mc:AlternateContent>
    <mc:AlternateContent xmlns:mc="http://schemas.openxmlformats.org/markup-compatibility/2006">
      <mc:Choice Requires="x14">
        <control shapeId="2055" r:id="rId6" name="CommandButton2">
          <controlPr defaultSize="0" autoLine="0" r:id="rId7">
            <anchor moveWithCells="1">
              <from>
                <xdr:col>1</xdr:col>
                <xdr:colOff>0</xdr:colOff>
                <xdr:row>7</xdr:row>
                <xdr:rowOff>180975</xdr:rowOff>
              </from>
              <to>
                <xdr:col>3</xdr:col>
                <xdr:colOff>314325</xdr:colOff>
                <xdr:row>11</xdr:row>
                <xdr:rowOff>180975</xdr:rowOff>
              </to>
            </anchor>
          </controlPr>
        </control>
      </mc:Choice>
      <mc:Fallback>
        <control shapeId="2055" r:id="rId6" name="CommandButton2"/>
      </mc:Fallback>
    </mc:AlternateContent>
    <mc:AlternateContent xmlns:mc="http://schemas.openxmlformats.org/markup-compatibility/2006">
      <mc:Choice Requires="x14">
        <control shapeId="2053" r:id="rId8" name="Button 5">
          <controlPr defaultSize="0" print="0" autoFill="0" autoPict="0" macro="[0]!MostrarTodo">
            <anchor moveWithCells="1" sizeWithCells="1">
              <from>
                <xdr:col>0</xdr:col>
                <xdr:colOff>2371725</xdr:colOff>
                <xdr:row>13</xdr:row>
                <xdr:rowOff>142875</xdr:rowOff>
              </from>
              <to>
                <xdr:col>5</xdr:col>
                <xdr:colOff>9525</xdr:colOff>
                <xdr:row>15</xdr:row>
                <xdr:rowOff>66675</xdr:rowOff>
              </to>
            </anchor>
          </controlPr>
        </control>
      </mc:Choice>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W2336"/>
  <sheetViews>
    <sheetView topLeftCell="D850" workbookViewId="0">
      <selection activeCell="N885" sqref="N885"/>
    </sheetView>
  </sheetViews>
  <sheetFormatPr baseColWidth="10" defaultColWidth="11" defaultRowHeight="15"/>
  <cols>
    <col min="1" max="1" width="16.5703125" customWidth="1"/>
    <col min="2" max="2" width="1.85546875" customWidth="1"/>
    <col min="3" max="3" width="43.7109375" customWidth="1"/>
    <col min="4" max="4" width="1.5703125" customWidth="1"/>
    <col min="5" max="5" width="59.140625" customWidth="1"/>
    <col min="6" max="6" width="1.7109375" customWidth="1"/>
    <col min="7" max="7" width="29.28515625" customWidth="1"/>
    <col min="8" max="8" width="1.7109375" customWidth="1"/>
    <col min="9" max="9" width="29.7109375" customWidth="1"/>
    <col min="10" max="10" width="6.140625" customWidth="1"/>
    <col min="11" max="11" width="6.42578125" customWidth="1"/>
    <col min="12" max="12" width="17.7109375" customWidth="1"/>
    <col min="13" max="13" width="1.85546875" customWidth="1"/>
    <col min="14" max="14" width="46.140625" customWidth="1"/>
    <col min="15" max="15" width="1.85546875" customWidth="1"/>
    <col min="16" max="16" width="30.140625" customWidth="1"/>
    <col min="17" max="17" width="9" customWidth="1"/>
    <col min="18" max="18" width="2.140625" customWidth="1"/>
    <col min="19" max="19" width="34.5703125" customWidth="1"/>
    <col min="20" max="20" width="2.5703125" customWidth="1"/>
    <col min="21" max="21" width="25.5703125" bestFit="1" customWidth="1"/>
  </cols>
  <sheetData>
    <row r="1" spans="1:23" ht="15.75" thickBot="1">
      <c r="A1" s="1" t="s">
        <v>2</v>
      </c>
      <c r="C1" s="2" t="s">
        <v>38</v>
      </c>
      <c r="D1" s="3"/>
      <c r="E1" s="4" t="s">
        <v>30</v>
      </c>
      <c r="G1" s="4" t="s">
        <v>10</v>
      </c>
      <c r="I1" s="4" t="s">
        <v>39</v>
      </c>
      <c r="J1" s="4" t="s">
        <v>40</v>
      </c>
      <c r="L1" s="5" t="s">
        <v>3</v>
      </c>
      <c r="N1" t="s">
        <v>41</v>
      </c>
      <c r="P1" s="6" t="s">
        <v>42</v>
      </c>
      <c r="Q1" s="7" t="s">
        <v>35</v>
      </c>
      <c r="S1" s="4" t="s">
        <v>9</v>
      </c>
      <c r="U1" s="1" t="s">
        <v>2412</v>
      </c>
    </row>
    <row r="2" spans="1:23" ht="15.75">
      <c r="A2" s="8" t="s">
        <v>43</v>
      </c>
      <c r="B2" s="3"/>
      <c r="C2" s="3" t="s">
        <v>44</v>
      </c>
      <c r="D2" s="3"/>
      <c r="E2" s="3" t="s">
        <v>45</v>
      </c>
      <c r="G2" s="9" t="s">
        <v>46</v>
      </c>
      <c r="I2" s="10" t="s">
        <v>47</v>
      </c>
      <c r="J2" s="11">
        <v>1</v>
      </c>
      <c r="L2" s="149" t="s">
        <v>48</v>
      </c>
      <c r="N2" t="s">
        <v>92</v>
      </c>
      <c r="P2" t="s">
        <v>50</v>
      </c>
      <c r="Q2" s="12">
        <v>36405101</v>
      </c>
      <c r="S2" s="13" t="s">
        <v>51</v>
      </c>
      <c r="U2" s="89" t="s">
        <v>2414</v>
      </c>
      <c r="W2" s="90" t="s">
        <v>2424</v>
      </c>
    </row>
    <row r="3" spans="1:23" ht="15.75">
      <c r="A3" s="8" t="s">
        <v>52</v>
      </c>
      <c r="B3" s="3"/>
      <c r="C3" s="3" t="s">
        <v>53</v>
      </c>
      <c r="D3" s="3"/>
      <c r="E3" s="14" t="s">
        <v>54</v>
      </c>
      <c r="G3" s="9" t="s">
        <v>55</v>
      </c>
      <c r="I3" s="15" t="s">
        <v>56</v>
      </c>
      <c r="J3" s="16">
        <v>1</v>
      </c>
      <c r="K3" s="17"/>
      <c r="L3" s="150"/>
      <c r="N3" t="s">
        <v>49</v>
      </c>
      <c r="P3" s="12" t="s">
        <v>58</v>
      </c>
      <c r="Q3" s="12">
        <v>44729351</v>
      </c>
      <c r="S3" s="13" t="s">
        <v>59</v>
      </c>
      <c r="U3" s="89" t="s">
        <v>2420</v>
      </c>
    </row>
    <row r="4" spans="1:23" ht="15.75">
      <c r="A4" s="8" t="s">
        <v>60</v>
      </c>
      <c r="B4" s="3"/>
      <c r="C4" s="3" t="s">
        <v>61</v>
      </c>
      <c r="D4" s="3"/>
      <c r="E4" s="3" t="s">
        <v>62</v>
      </c>
      <c r="G4" s="9" t="s">
        <v>2425</v>
      </c>
      <c r="I4" s="18" t="s">
        <v>63</v>
      </c>
      <c r="J4" s="16">
        <v>1</v>
      </c>
      <c r="L4" s="150"/>
      <c r="N4" t="s">
        <v>57</v>
      </c>
      <c r="P4" s="12" t="s">
        <v>65</v>
      </c>
      <c r="Q4" s="12">
        <v>44209464</v>
      </c>
      <c r="S4" s="13" t="s">
        <v>66</v>
      </c>
      <c r="U4" s="89" t="s">
        <v>2417</v>
      </c>
    </row>
    <row r="5" spans="1:23" ht="15.75">
      <c r="A5" s="8" t="s">
        <v>67</v>
      </c>
      <c r="B5" s="3"/>
      <c r="C5" s="3" t="s">
        <v>68</v>
      </c>
      <c r="D5" s="3"/>
      <c r="E5" s="19" t="s">
        <v>69</v>
      </c>
      <c r="G5" s="9" t="s">
        <v>70</v>
      </c>
      <c r="I5" s="15" t="s">
        <v>71</v>
      </c>
      <c r="J5" s="16">
        <v>1</v>
      </c>
      <c r="L5" s="150"/>
      <c r="N5" t="s">
        <v>64</v>
      </c>
      <c r="P5" s="12" t="s">
        <v>2509</v>
      </c>
      <c r="Q5" s="12">
        <v>44209464</v>
      </c>
      <c r="S5" s="13" t="s">
        <v>73</v>
      </c>
      <c r="U5" s="89" t="s">
        <v>2429</v>
      </c>
    </row>
    <row r="6" spans="1:23" ht="15.75">
      <c r="A6" s="20" t="s">
        <v>74</v>
      </c>
      <c r="B6" s="3"/>
      <c r="C6" s="3" t="s">
        <v>75</v>
      </c>
      <c r="D6" s="3"/>
      <c r="G6" s="9" t="s">
        <v>76</v>
      </c>
      <c r="I6" s="15" t="s">
        <v>77</v>
      </c>
      <c r="J6" s="16">
        <v>1</v>
      </c>
      <c r="K6" s="17" t="s">
        <v>78</v>
      </c>
      <c r="L6" s="150"/>
      <c r="N6" t="s">
        <v>72</v>
      </c>
      <c r="P6" s="12" t="s">
        <v>80</v>
      </c>
      <c r="Q6" s="12">
        <v>44209464</v>
      </c>
      <c r="S6" s="13" t="s">
        <v>76</v>
      </c>
      <c r="U6" s="89" t="s">
        <v>2422</v>
      </c>
    </row>
    <row r="7" spans="1:23" ht="15.75">
      <c r="A7" s="8" t="s">
        <v>81</v>
      </c>
      <c r="B7" s="3"/>
      <c r="C7" s="3" t="s">
        <v>82</v>
      </c>
      <c r="D7" s="3"/>
      <c r="G7" s="9" t="s">
        <v>83</v>
      </c>
      <c r="I7" s="21" t="s">
        <v>84</v>
      </c>
      <c r="J7" s="16">
        <v>1</v>
      </c>
      <c r="L7" s="150"/>
      <c r="N7" t="s">
        <v>79</v>
      </c>
      <c r="P7" s="12" t="s">
        <v>41</v>
      </c>
      <c r="Q7" s="12">
        <v>42147513</v>
      </c>
      <c r="R7" s="13"/>
      <c r="S7" s="13" t="s">
        <v>86</v>
      </c>
      <c r="U7" s="89" t="s">
        <v>2415</v>
      </c>
    </row>
    <row r="8" spans="1:23" ht="15.75">
      <c r="A8" s="8" t="s">
        <v>87</v>
      </c>
      <c r="B8" s="3"/>
      <c r="C8" s="3" t="s">
        <v>88</v>
      </c>
      <c r="D8" s="3"/>
      <c r="G8" s="22" t="s">
        <v>89</v>
      </c>
      <c r="I8" s="15" t="s">
        <v>90</v>
      </c>
      <c r="J8" s="16">
        <v>1</v>
      </c>
      <c r="K8" s="17"/>
      <c r="L8" s="150"/>
      <c r="N8" t="s">
        <v>161</v>
      </c>
      <c r="P8" s="12" t="s">
        <v>92</v>
      </c>
      <c r="Q8" s="12">
        <v>43407871</v>
      </c>
      <c r="S8" s="13" t="s">
        <v>93</v>
      </c>
      <c r="U8" s="89" t="s">
        <v>2431</v>
      </c>
    </row>
    <row r="9" spans="1:23" ht="15.75">
      <c r="A9" s="8" t="s">
        <v>94</v>
      </c>
      <c r="B9" s="3"/>
      <c r="C9" s="3" t="s">
        <v>95</v>
      </c>
      <c r="D9" s="3"/>
      <c r="G9" s="9" t="s">
        <v>96</v>
      </c>
      <c r="I9" s="15" t="s">
        <v>97</v>
      </c>
      <c r="J9" s="16">
        <v>1</v>
      </c>
      <c r="L9" s="150"/>
      <c r="N9" t="s">
        <v>165</v>
      </c>
      <c r="P9" s="12" t="s">
        <v>99</v>
      </c>
      <c r="Q9" s="12">
        <v>44209464</v>
      </c>
      <c r="S9" s="13" t="s">
        <v>100</v>
      </c>
      <c r="U9" s="89" t="s">
        <v>2421</v>
      </c>
    </row>
    <row r="10" spans="1:23" ht="15.75">
      <c r="A10" s="8" t="s">
        <v>101</v>
      </c>
      <c r="B10" s="3"/>
      <c r="C10" s="3" t="s">
        <v>102</v>
      </c>
      <c r="D10" s="3"/>
      <c r="G10" s="9" t="s">
        <v>103</v>
      </c>
      <c r="I10" s="15" t="s">
        <v>104</v>
      </c>
      <c r="J10" s="16">
        <v>1</v>
      </c>
      <c r="L10" s="150"/>
      <c r="N10" t="s">
        <v>171</v>
      </c>
      <c r="P10" s="12" t="s">
        <v>49</v>
      </c>
      <c r="Q10" s="12">
        <v>44209464</v>
      </c>
      <c r="S10" s="13" t="s">
        <v>106</v>
      </c>
      <c r="U10" s="89" t="s">
        <v>102</v>
      </c>
    </row>
    <row r="11" spans="1:23" ht="15.75">
      <c r="A11" s="8" t="s">
        <v>107</v>
      </c>
      <c r="B11" s="3"/>
      <c r="C11" s="3" t="s">
        <v>108</v>
      </c>
      <c r="D11" s="3"/>
      <c r="G11" s="22" t="s">
        <v>109</v>
      </c>
      <c r="I11" s="15" t="s">
        <v>110</v>
      </c>
      <c r="J11" s="16">
        <v>1</v>
      </c>
      <c r="L11" s="150"/>
      <c r="N11" t="s">
        <v>85</v>
      </c>
      <c r="P11" s="12" t="s">
        <v>57</v>
      </c>
      <c r="Q11" s="12">
        <v>44729351</v>
      </c>
      <c r="S11" s="13" t="s">
        <v>82</v>
      </c>
      <c r="U11" s="89" t="s">
        <v>141</v>
      </c>
    </row>
    <row r="12" spans="1:23" ht="15.75">
      <c r="A12" s="8" t="s">
        <v>112</v>
      </c>
      <c r="B12" s="3"/>
      <c r="C12" s="3" t="s">
        <v>113</v>
      </c>
      <c r="D12" s="3"/>
      <c r="G12" s="9" t="s">
        <v>114</v>
      </c>
      <c r="I12" s="15" t="s">
        <v>115</v>
      </c>
      <c r="J12" s="16">
        <v>1</v>
      </c>
      <c r="K12" s="17"/>
      <c r="L12" s="150"/>
      <c r="N12" t="s">
        <v>197</v>
      </c>
      <c r="P12" s="12" t="s">
        <v>117</v>
      </c>
      <c r="Q12" s="12">
        <v>35087618</v>
      </c>
      <c r="S12" s="13" t="s">
        <v>118</v>
      </c>
      <c r="U12" s="89" t="s">
        <v>2418</v>
      </c>
    </row>
    <row r="13" spans="1:23" ht="15" customHeight="1">
      <c r="A13" s="8" t="s">
        <v>119</v>
      </c>
      <c r="B13" s="3"/>
      <c r="C13" s="3" t="s">
        <v>120</v>
      </c>
      <c r="D13" s="3"/>
      <c r="E13" s="3"/>
      <c r="G13" s="9" t="s">
        <v>121</v>
      </c>
      <c r="I13" s="23" t="s">
        <v>122</v>
      </c>
      <c r="J13" s="24">
        <v>1</v>
      </c>
      <c r="L13" s="150"/>
      <c r="N13" t="s">
        <v>91</v>
      </c>
      <c r="P13" s="12" t="s">
        <v>64</v>
      </c>
      <c r="Q13" s="12">
        <v>35087618</v>
      </c>
      <c r="S13" s="13" t="s">
        <v>108</v>
      </c>
      <c r="U13" s="89" t="s">
        <v>2416</v>
      </c>
    </row>
    <row r="14" spans="1:23" ht="15.75">
      <c r="A14" s="3"/>
      <c r="B14" s="3"/>
      <c r="C14" s="3" t="s">
        <v>124</v>
      </c>
      <c r="D14" s="3"/>
      <c r="E14" s="3"/>
      <c r="G14" s="9" t="s">
        <v>125</v>
      </c>
      <c r="I14" s="15" t="s">
        <v>126</v>
      </c>
      <c r="J14" s="16">
        <v>1</v>
      </c>
      <c r="L14" s="150"/>
      <c r="N14" t="s">
        <v>217</v>
      </c>
      <c r="P14" s="12" t="s">
        <v>128</v>
      </c>
      <c r="Q14" s="12">
        <v>42434727</v>
      </c>
      <c r="S14" s="13" t="s">
        <v>129</v>
      </c>
      <c r="U14" s="89" t="s">
        <v>2413</v>
      </c>
    </row>
    <row r="15" spans="1:23" ht="15.75">
      <c r="A15" s="3"/>
      <c r="B15" s="3"/>
      <c r="C15" s="3" t="s">
        <v>130</v>
      </c>
      <c r="D15" s="3"/>
      <c r="E15" s="3"/>
      <c r="G15" s="9" t="s">
        <v>131</v>
      </c>
      <c r="I15" s="23" t="s">
        <v>132</v>
      </c>
      <c r="J15" s="24">
        <v>1</v>
      </c>
      <c r="K15" s="17" t="s">
        <v>78</v>
      </c>
      <c r="L15" s="150"/>
      <c r="N15" t="s">
        <v>98</v>
      </c>
      <c r="P15" s="12" t="s">
        <v>134</v>
      </c>
      <c r="Q15" s="12">
        <v>42434727</v>
      </c>
      <c r="S15" s="13" t="s">
        <v>103</v>
      </c>
      <c r="U15" s="89" t="s">
        <v>2423</v>
      </c>
    </row>
    <row r="16" spans="1:23" ht="16.5" thickBot="1">
      <c r="A16" s="3"/>
      <c r="B16" s="3"/>
      <c r="C16" s="3" t="s">
        <v>135</v>
      </c>
      <c r="D16" s="3"/>
      <c r="E16" s="3"/>
      <c r="G16" s="9" t="s">
        <v>136</v>
      </c>
      <c r="I16" s="25" t="s">
        <v>137</v>
      </c>
      <c r="J16" s="26">
        <v>1</v>
      </c>
      <c r="L16" s="150"/>
      <c r="N16" t="s">
        <v>230</v>
      </c>
      <c r="P16" s="12" t="s">
        <v>139</v>
      </c>
      <c r="Q16" s="12">
        <v>42434727</v>
      </c>
      <c r="S16" s="13" t="s">
        <v>140</v>
      </c>
      <c r="U16" s="89" t="s">
        <v>2419</v>
      </c>
    </row>
    <row r="17" spans="1:21" ht="16.5" thickBot="1">
      <c r="A17" s="3"/>
      <c r="B17" s="3"/>
      <c r="C17" s="3" t="s">
        <v>147</v>
      </c>
      <c r="D17" s="3"/>
      <c r="E17" s="3"/>
      <c r="G17" s="9" t="s">
        <v>141</v>
      </c>
      <c r="I17" s="27" t="s">
        <v>142</v>
      </c>
      <c r="J17" s="28" t="s">
        <v>143</v>
      </c>
      <c r="L17" s="29" t="s">
        <v>143</v>
      </c>
      <c r="N17" t="s">
        <v>105</v>
      </c>
      <c r="P17" s="12" t="s">
        <v>72</v>
      </c>
      <c r="Q17" s="12">
        <v>42434727</v>
      </c>
      <c r="S17" s="13" t="s">
        <v>145</v>
      </c>
      <c r="U17" s="89" t="s">
        <v>2430</v>
      </c>
    </row>
    <row r="18" spans="1:21" ht="15.75">
      <c r="A18" s="3"/>
      <c r="B18" s="3"/>
      <c r="C18" s="3" t="s">
        <v>146</v>
      </c>
      <c r="D18" s="3"/>
      <c r="E18" s="3"/>
      <c r="G18" s="9" t="s">
        <v>147</v>
      </c>
      <c r="I18" s="10" t="s">
        <v>148</v>
      </c>
      <c r="J18" s="11">
        <v>2</v>
      </c>
      <c r="L18" s="146" t="s">
        <v>149</v>
      </c>
      <c r="N18" t="s">
        <v>111</v>
      </c>
      <c r="P18" s="12" t="s">
        <v>151</v>
      </c>
      <c r="Q18" s="12">
        <v>40094790</v>
      </c>
      <c r="S18" s="13" t="s">
        <v>2426</v>
      </c>
      <c r="U18" s="89" t="s">
        <v>2428</v>
      </c>
    </row>
    <row r="19" spans="1:21" ht="15.75">
      <c r="A19" s="3"/>
      <c r="B19" s="3"/>
      <c r="C19" s="30" t="s">
        <v>153</v>
      </c>
      <c r="D19" s="3"/>
      <c r="E19" s="3"/>
      <c r="G19" s="9" t="s">
        <v>154</v>
      </c>
      <c r="I19" s="25" t="s">
        <v>155</v>
      </c>
      <c r="J19" s="26">
        <v>2</v>
      </c>
      <c r="K19" s="17"/>
      <c r="L19" s="147"/>
      <c r="N19" t="s">
        <v>116</v>
      </c>
      <c r="P19" s="12" t="s">
        <v>79</v>
      </c>
      <c r="Q19" s="12">
        <v>40094790</v>
      </c>
      <c r="S19" s="13" t="s">
        <v>152</v>
      </c>
    </row>
    <row r="20" spans="1:21" ht="15.75">
      <c r="A20" s="3"/>
      <c r="B20" s="3"/>
      <c r="C20" s="3" t="s">
        <v>157</v>
      </c>
      <c r="D20" s="3"/>
      <c r="E20" s="3"/>
      <c r="G20" s="9" t="s">
        <v>158</v>
      </c>
      <c r="I20" s="15" t="s">
        <v>159</v>
      </c>
      <c r="J20" s="16">
        <v>2</v>
      </c>
      <c r="K20" s="31"/>
      <c r="L20" s="147"/>
      <c r="N20" t="s">
        <v>265</v>
      </c>
      <c r="P20" s="12" t="s">
        <v>161</v>
      </c>
      <c r="Q20" s="12">
        <v>42214308</v>
      </c>
      <c r="S20" s="13" t="s">
        <v>147</v>
      </c>
    </row>
    <row r="21" spans="1:21" ht="15.75">
      <c r="A21" s="3"/>
      <c r="B21" s="3"/>
      <c r="C21" s="3" t="s">
        <v>162</v>
      </c>
      <c r="D21" s="3"/>
      <c r="G21" s="9" t="s">
        <v>19</v>
      </c>
      <c r="I21" s="21" t="s">
        <v>163</v>
      </c>
      <c r="J21" s="16">
        <v>2</v>
      </c>
      <c r="L21" s="147"/>
      <c r="N21" t="s">
        <v>123</v>
      </c>
      <c r="P21" s="12" t="s">
        <v>165</v>
      </c>
      <c r="Q21" s="12">
        <v>38513849</v>
      </c>
      <c r="S21" s="13" t="s">
        <v>146</v>
      </c>
    </row>
    <row r="22" spans="1:21" ht="15.75">
      <c r="C22" s="3" t="s">
        <v>167</v>
      </c>
      <c r="G22" s="3" t="s">
        <v>168</v>
      </c>
      <c r="I22" s="21" t="s">
        <v>169</v>
      </c>
      <c r="J22" s="16">
        <v>2</v>
      </c>
      <c r="L22" s="147"/>
      <c r="N22" t="s">
        <v>127</v>
      </c>
      <c r="P22" s="12" t="s">
        <v>171</v>
      </c>
      <c r="Q22" s="12">
        <v>42586602</v>
      </c>
      <c r="S22" s="13" t="s">
        <v>166</v>
      </c>
    </row>
    <row r="23" spans="1:21" ht="15.75">
      <c r="C23" s="3" t="s">
        <v>173</v>
      </c>
      <c r="G23" s="9" t="s">
        <v>174</v>
      </c>
      <c r="I23" s="15" t="s">
        <v>175</v>
      </c>
      <c r="J23" s="16">
        <v>2</v>
      </c>
      <c r="K23" s="17" t="s">
        <v>78</v>
      </c>
      <c r="L23" s="147"/>
      <c r="N23" t="s">
        <v>298</v>
      </c>
      <c r="P23" s="12" t="s">
        <v>177</v>
      </c>
      <c r="Q23" s="12">
        <v>44394604</v>
      </c>
      <c r="S23" s="13" t="s">
        <v>172</v>
      </c>
    </row>
    <row r="24" spans="1:21" ht="15.75">
      <c r="C24" s="30" t="s">
        <v>178</v>
      </c>
      <c r="G24" s="22" t="s">
        <v>179</v>
      </c>
      <c r="I24" s="15" t="s">
        <v>180</v>
      </c>
      <c r="J24" s="16">
        <v>2</v>
      </c>
      <c r="K24" s="17"/>
      <c r="L24" s="147"/>
      <c r="N24" t="s">
        <v>312</v>
      </c>
      <c r="P24" s="12" t="s">
        <v>182</v>
      </c>
      <c r="Q24" s="12">
        <v>44394604</v>
      </c>
      <c r="S24" s="13" t="s">
        <v>154</v>
      </c>
    </row>
    <row r="25" spans="1:21" ht="15.75">
      <c r="C25" s="3" t="s">
        <v>184</v>
      </c>
      <c r="G25" s="9" t="s">
        <v>185</v>
      </c>
      <c r="I25" s="23" t="s">
        <v>186</v>
      </c>
      <c r="J25" s="24">
        <v>2</v>
      </c>
      <c r="L25" s="147"/>
      <c r="N25" t="s">
        <v>138</v>
      </c>
      <c r="P25" s="12" t="s">
        <v>2510</v>
      </c>
      <c r="Q25" s="12">
        <v>44394604</v>
      </c>
      <c r="S25" s="13" t="s">
        <v>183</v>
      </c>
    </row>
    <row r="26" spans="1:21" ht="15.75">
      <c r="C26" s="3" t="s">
        <v>189</v>
      </c>
      <c r="G26" s="9" t="s">
        <v>190</v>
      </c>
      <c r="I26" s="23" t="s">
        <v>191</v>
      </c>
      <c r="J26" s="24">
        <v>2</v>
      </c>
      <c r="K26" s="17"/>
      <c r="L26" s="147"/>
      <c r="N26" t="s">
        <v>327</v>
      </c>
      <c r="P26" s="12" t="s">
        <v>85</v>
      </c>
      <c r="Q26" s="12">
        <v>44394604</v>
      </c>
      <c r="S26" s="13" t="s">
        <v>188</v>
      </c>
    </row>
    <row r="27" spans="1:21" ht="15.75">
      <c r="C27" s="3" t="s">
        <v>193</v>
      </c>
      <c r="G27" s="9" t="s">
        <v>194</v>
      </c>
      <c r="I27" s="23" t="s">
        <v>195</v>
      </c>
      <c r="J27" s="24">
        <v>2</v>
      </c>
      <c r="L27" s="147"/>
      <c r="N27" t="s">
        <v>144</v>
      </c>
      <c r="P27" s="12" t="s">
        <v>197</v>
      </c>
      <c r="Q27" s="12">
        <v>12587</v>
      </c>
      <c r="S27" s="13" t="s">
        <v>19</v>
      </c>
    </row>
    <row r="28" spans="1:21" ht="15.75">
      <c r="C28" s="3" t="s">
        <v>198</v>
      </c>
      <c r="G28" s="9" t="s">
        <v>199</v>
      </c>
      <c r="I28" s="15" t="s">
        <v>200</v>
      </c>
      <c r="J28" s="16">
        <v>2</v>
      </c>
      <c r="L28" s="147"/>
      <c r="N28" t="s">
        <v>338</v>
      </c>
      <c r="P28" s="12" t="s">
        <v>202</v>
      </c>
      <c r="Q28" s="12">
        <v>45077518</v>
      </c>
      <c r="S28" s="13" t="s">
        <v>174</v>
      </c>
    </row>
    <row r="29" spans="1:21" ht="15.75" customHeight="1">
      <c r="C29" s="3" t="s">
        <v>204</v>
      </c>
      <c r="G29" s="9" t="s">
        <v>205</v>
      </c>
      <c r="I29" s="15" t="s">
        <v>206</v>
      </c>
      <c r="J29" s="16">
        <v>2</v>
      </c>
      <c r="L29" s="147"/>
      <c r="N29" t="s">
        <v>150</v>
      </c>
      <c r="P29" s="12" t="s">
        <v>91</v>
      </c>
      <c r="Q29" s="12">
        <v>45077518</v>
      </c>
      <c r="S29" s="13" t="s">
        <v>203</v>
      </c>
    </row>
    <row r="30" spans="1:21" ht="15.75" customHeight="1">
      <c r="C30" s="3" t="s">
        <v>209</v>
      </c>
      <c r="G30" s="9" t="s">
        <v>173</v>
      </c>
      <c r="I30" s="15" t="s">
        <v>210</v>
      </c>
      <c r="J30" s="16">
        <v>2</v>
      </c>
      <c r="L30" s="147"/>
      <c r="N30" t="s">
        <v>156</v>
      </c>
      <c r="P30" s="12" t="s">
        <v>212</v>
      </c>
      <c r="Q30" s="12">
        <v>41639380</v>
      </c>
      <c r="S30" s="13" t="s">
        <v>208</v>
      </c>
    </row>
    <row r="31" spans="1:21" ht="15" customHeight="1">
      <c r="C31" s="3" t="s">
        <v>213</v>
      </c>
      <c r="G31" s="9" t="s">
        <v>2407</v>
      </c>
      <c r="I31" s="15" t="s">
        <v>215</v>
      </c>
      <c r="J31" s="16">
        <v>2</v>
      </c>
      <c r="K31" s="17" t="s">
        <v>78</v>
      </c>
      <c r="L31" s="147"/>
      <c r="N31" t="s">
        <v>160</v>
      </c>
      <c r="P31" s="12" t="s">
        <v>217</v>
      </c>
      <c r="Q31" s="12">
        <v>41639380</v>
      </c>
      <c r="S31" s="13" t="s">
        <v>190</v>
      </c>
    </row>
    <row r="32" spans="1:21" ht="15.75">
      <c r="C32" s="3" t="s">
        <v>218</v>
      </c>
      <c r="G32" s="9" t="s">
        <v>214</v>
      </c>
      <c r="I32" s="15" t="s">
        <v>219</v>
      </c>
      <c r="J32" s="16">
        <v>2</v>
      </c>
      <c r="L32" s="147"/>
      <c r="M32" s="30"/>
      <c r="N32" s="30" t="s">
        <v>2624</v>
      </c>
      <c r="O32" s="30"/>
      <c r="P32" s="12" t="s">
        <v>98</v>
      </c>
      <c r="Q32" s="12">
        <v>42099755</v>
      </c>
      <c r="S32" s="13" t="s">
        <v>194</v>
      </c>
    </row>
    <row r="33" spans="3:19" ht="15.75">
      <c r="C33" s="30" t="s">
        <v>222</v>
      </c>
      <c r="G33" s="9" t="s">
        <v>2427</v>
      </c>
      <c r="I33" s="15" t="s">
        <v>223</v>
      </c>
      <c r="J33" s="16">
        <v>2</v>
      </c>
      <c r="L33" s="147"/>
      <c r="N33" t="s">
        <v>367</v>
      </c>
      <c r="P33" s="12" t="s">
        <v>225</v>
      </c>
      <c r="Q33" s="12">
        <v>41546124</v>
      </c>
      <c r="S33" s="13" t="s">
        <v>221</v>
      </c>
    </row>
    <row r="34" spans="3:19" ht="15.75">
      <c r="C34" s="3" t="s">
        <v>227</v>
      </c>
      <c r="G34" s="9" t="s">
        <v>189</v>
      </c>
      <c r="I34" s="21" t="s">
        <v>228</v>
      </c>
      <c r="J34" s="16">
        <v>2</v>
      </c>
      <c r="K34" s="17"/>
      <c r="L34" s="147"/>
      <c r="N34" t="s">
        <v>170</v>
      </c>
      <c r="P34" s="12" t="s">
        <v>230</v>
      </c>
      <c r="Q34" s="12">
        <v>35342428</v>
      </c>
      <c r="S34" s="13" t="s">
        <v>226</v>
      </c>
    </row>
    <row r="35" spans="3:19" ht="15.75">
      <c r="C35" s="30" t="s">
        <v>232</v>
      </c>
      <c r="G35" s="32" t="s">
        <v>193</v>
      </c>
      <c r="I35" s="31" t="s">
        <v>234</v>
      </c>
      <c r="J35" s="26">
        <v>2</v>
      </c>
      <c r="L35" s="147"/>
      <c r="N35" t="s">
        <v>176</v>
      </c>
      <c r="P35" s="12" t="s">
        <v>105</v>
      </c>
      <c r="Q35" s="12">
        <v>41546124</v>
      </c>
      <c r="S35" s="13" t="s">
        <v>231</v>
      </c>
    </row>
    <row r="36" spans="3:19" ht="16.5" thickBot="1">
      <c r="C36" s="3" t="s">
        <v>237</v>
      </c>
      <c r="G36" s="9" t="s">
        <v>198</v>
      </c>
      <c r="I36" s="33" t="s">
        <v>238</v>
      </c>
      <c r="J36" s="34">
        <v>2</v>
      </c>
      <c r="L36" s="148"/>
      <c r="M36" s="35"/>
      <c r="N36" s="35" t="s">
        <v>181</v>
      </c>
      <c r="O36" s="35"/>
      <c r="P36" s="12" t="s">
        <v>111</v>
      </c>
      <c r="Q36" s="12">
        <v>37292120</v>
      </c>
      <c r="S36" s="13" t="s">
        <v>236</v>
      </c>
    </row>
    <row r="37" spans="3:19" ht="15.75">
      <c r="C37" s="30" t="s">
        <v>241</v>
      </c>
      <c r="G37" s="9" t="s">
        <v>233</v>
      </c>
      <c r="I37" s="36" t="s">
        <v>242</v>
      </c>
      <c r="J37" s="11">
        <v>3</v>
      </c>
      <c r="L37" s="146" t="s">
        <v>243</v>
      </c>
      <c r="N37" t="s">
        <v>187</v>
      </c>
      <c r="P37" t="s">
        <v>2457</v>
      </c>
      <c r="Q37" s="12">
        <v>13782</v>
      </c>
      <c r="S37" s="13" t="s">
        <v>240</v>
      </c>
    </row>
    <row r="38" spans="3:19" ht="15.75">
      <c r="C38" s="30" t="s">
        <v>245</v>
      </c>
      <c r="I38" s="37" t="s">
        <v>246</v>
      </c>
      <c r="J38" s="24">
        <v>3</v>
      </c>
      <c r="L38" s="147"/>
      <c r="N38" t="s">
        <v>387</v>
      </c>
      <c r="P38" s="12" t="s">
        <v>116</v>
      </c>
      <c r="Q38" s="12">
        <v>13782</v>
      </c>
      <c r="S38" s="13" t="s">
        <v>173</v>
      </c>
    </row>
    <row r="39" spans="3:19" ht="15.75">
      <c r="C39" s="3" t="s">
        <v>249</v>
      </c>
      <c r="I39" s="39" t="s">
        <v>250</v>
      </c>
      <c r="J39" s="16">
        <v>3</v>
      </c>
      <c r="K39" s="17" t="s">
        <v>78</v>
      </c>
      <c r="L39" s="147"/>
      <c r="N39" t="s">
        <v>393</v>
      </c>
      <c r="P39" s="12" t="s">
        <v>248</v>
      </c>
      <c r="Q39" s="12">
        <v>13782</v>
      </c>
      <c r="S39" s="38" t="s">
        <v>178</v>
      </c>
    </row>
    <row r="40" spans="3:19" ht="15.75">
      <c r="C40" s="3" t="s">
        <v>254</v>
      </c>
      <c r="I40" s="23" t="s">
        <v>255</v>
      </c>
      <c r="J40" s="16">
        <v>3</v>
      </c>
      <c r="L40" s="147"/>
      <c r="N40" t="s">
        <v>192</v>
      </c>
      <c r="P40" s="12" t="s">
        <v>252</v>
      </c>
      <c r="Q40" s="12">
        <v>13782</v>
      </c>
      <c r="S40" s="38" t="s">
        <v>253</v>
      </c>
    </row>
    <row r="41" spans="3:19" ht="15.75">
      <c r="C41" s="3" t="s">
        <v>257</v>
      </c>
      <c r="I41" s="39" t="s">
        <v>258</v>
      </c>
      <c r="J41" s="16">
        <v>3</v>
      </c>
      <c r="L41" s="147"/>
      <c r="N41" t="s">
        <v>408</v>
      </c>
      <c r="P41" s="12" t="s">
        <v>2511</v>
      </c>
      <c r="Q41" s="12">
        <v>13782</v>
      </c>
      <c r="S41" s="13" t="s">
        <v>2407</v>
      </c>
    </row>
    <row r="42" spans="3:19" ht="15.75">
      <c r="C42" s="30" t="s">
        <v>262</v>
      </c>
      <c r="I42" s="39" t="s">
        <v>263</v>
      </c>
      <c r="J42" s="16">
        <v>3</v>
      </c>
      <c r="L42" s="147"/>
      <c r="N42" t="s">
        <v>196</v>
      </c>
      <c r="P42" s="12" t="s">
        <v>260</v>
      </c>
      <c r="Q42" s="12">
        <v>70702</v>
      </c>
      <c r="S42" s="13" t="s">
        <v>261</v>
      </c>
    </row>
    <row r="43" spans="3:19" ht="15.75">
      <c r="C43" s="3" t="s">
        <v>204</v>
      </c>
      <c r="I43" s="39" t="s">
        <v>267</v>
      </c>
      <c r="J43" s="16">
        <v>3</v>
      </c>
      <c r="L43" s="147"/>
      <c r="N43" t="s">
        <v>417</v>
      </c>
      <c r="P43" s="12" t="s">
        <v>265</v>
      </c>
      <c r="Q43" s="12">
        <v>70702</v>
      </c>
      <c r="S43" s="13" t="s">
        <v>266</v>
      </c>
    </row>
    <row r="44" spans="3:19" ht="15.75">
      <c r="I44" s="39" t="s">
        <v>271</v>
      </c>
      <c r="J44" s="16">
        <v>3</v>
      </c>
      <c r="L44" s="147"/>
      <c r="N44" t="s">
        <v>201</v>
      </c>
      <c r="P44" t="s">
        <v>269</v>
      </c>
      <c r="Q44" s="12">
        <v>70702</v>
      </c>
      <c r="S44" s="13" t="s">
        <v>270</v>
      </c>
    </row>
    <row r="45" spans="3:19" ht="15.75">
      <c r="I45" s="21" t="s">
        <v>275</v>
      </c>
      <c r="J45" s="16">
        <v>3</v>
      </c>
      <c r="L45" s="147"/>
      <c r="N45" t="s">
        <v>420</v>
      </c>
      <c r="P45" s="12" t="s">
        <v>273</v>
      </c>
      <c r="Q45" s="12">
        <v>41803371</v>
      </c>
      <c r="S45" s="13" t="s">
        <v>274</v>
      </c>
    </row>
    <row r="46" spans="3:19" ht="16.5" thickBot="1">
      <c r="I46" s="40" t="s">
        <v>279</v>
      </c>
      <c r="J46" s="41">
        <v>3</v>
      </c>
      <c r="L46" s="148"/>
      <c r="N46" t="s">
        <v>207</v>
      </c>
      <c r="P46" s="12" t="s">
        <v>277</v>
      </c>
      <c r="Q46" s="12">
        <v>41803371</v>
      </c>
      <c r="S46" s="13" t="s">
        <v>278</v>
      </c>
    </row>
    <row r="47" spans="3:19" ht="15.75">
      <c r="I47" s="36" t="s">
        <v>283</v>
      </c>
      <c r="J47" s="11">
        <v>4</v>
      </c>
      <c r="L47" s="150" t="s">
        <v>284</v>
      </c>
      <c r="N47" t="s">
        <v>211</v>
      </c>
      <c r="P47" t="s">
        <v>281</v>
      </c>
      <c r="Q47" s="12">
        <v>41803371</v>
      </c>
      <c r="S47" s="13" t="s">
        <v>282</v>
      </c>
    </row>
    <row r="48" spans="3:19" ht="15.75">
      <c r="I48" s="39" t="s">
        <v>286</v>
      </c>
      <c r="J48" s="16">
        <v>4</v>
      </c>
      <c r="L48" s="150"/>
      <c r="N48" t="s">
        <v>430</v>
      </c>
      <c r="P48" s="12" t="s">
        <v>123</v>
      </c>
      <c r="Q48" s="12">
        <v>41803371</v>
      </c>
      <c r="S48" s="13" t="s">
        <v>193</v>
      </c>
    </row>
    <row r="49" spans="9:19" ht="15.75">
      <c r="I49" s="21" t="s">
        <v>288</v>
      </c>
      <c r="J49" s="16">
        <v>4</v>
      </c>
      <c r="L49" s="150"/>
      <c r="N49" t="s">
        <v>216</v>
      </c>
      <c r="P49" s="12" t="s">
        <v>2512</v>
      </c>
      <c r="Q49" s="12">
        <v>41803371</v>
      </c>
      <c r="S49" s="13" t="s">
        <v>198</v>
      </c>
    </row>
    <row r="50" spans="9:19">
      <c r="I50" s="39" t="s">
        <v>291</v>
      </c>
      <c r="J50" s="16">
        <v>4</v>
      </c>
      <c r="L50" s="150"/>
      <c r="N50" t="s">
        <v>220</v>
      </c>
      <c r="P50" s="12" t="s">
        <v>290</v>
      </c>
      <c r="Q50" s="12">
        <v>41803371</v>
      </c>
    </row>
    <row r="51" spans="9:19">
      <c r="I51" s="21" t="s">
        <v>293</v>
      </c>
      <c r="J51" s="24">
        <v>4</v>
      </c>
      <c r="L51" s="150"/>
      <c r="N51" t="s">
        <v>224</v>
      </c>
      <c r="P51" s="12" t="s">
        <v>127</v>
      </c>
      <c r="Q51" s="12">
        <v>40948404</v>
      </c>
    </row>
    <row r="52" spans="9:19">
      <c r="I52" s="21" t="s">
        <v>296</v>
      </c>
      <c r="J52" s="24">
        <v>4</v>
      </c>
      <c r="L52" s="150"/>
      <c r="N52" t="s">
        <v>447</v>
      </c>
      <c r="P52" t="s">
        <v>295</v>
      </c>
      <c r="Q52">
        <v>41546490</v>
      </c>
    </row>
    <row r="53" spans="9:19">
      <c r="I53" s="39" t="s">
        <v>299</v>
      </c>
      <c r="J53" s="24">
        <v>4</v>
      </c>
      <c r="L53" s="150"/>
      <c r="N53" t="s">
        <v>229</v>
      </c>
      <c r="P53" s="12" t="s">
        <v>298</v>
      </c>
      <c r="Q53" s="12">
        <v>44161458</v>
      </c>
    </row>
    <row r="54" spans="9:19">
      <c r="I54" s="21" t="s">
        <v>302</v>
      </c>
      <c r="J54" s="24">
        <v>4</v>
      </c>
      <c r="L54" s="150"/>
      <c r="N54" t="s">
        <v>455</v>
      </c>
      <c r="P54" t="s">
        <v>301</v>
      </c>
      <c r="Q54" s="12">
        <v>44161458</v>
      </c>
    </row>
    <row r="55" spans="9:19">
      <c r="I55" s="39" t="s">
        <v>305</v>
      </c>
      <c r="J55" s="24">
        <v>4</v>
      </c>
      <c r="L55" s="150"/>
      <c r="N55" t="s">
        <v>461</v>
      </c>
      <c r="P55" t="s">
        <v>304</v>
      </c>
      <c r="Q55" s="12">
        <v>92854523</v>
      </c>
    </row>
    <row r="56" spans="9:19">
      <c r="I56" s="39" t="s">
        <v>308</v>
      </c>
      <c r="J56" s="16">
        <v>4</v>
      </c>
      <c r="L56" s="150"/>
      <c r="N56" t="s">
        <v>470</v>
      </c>
      <c r="P56" s="12" t="s">
        <v>307</v>
      </c>
      <c r="Q56" s="12">
        <v>92854523</v>
      </c>
    </row>
    <row r="57" spans="9:19">
      <c r="I57" s="21" t="s">
        <v>310</v>
      </c>
      <c r="J57" s="16">
        <v>4</v>
      </c>
      <c r="L57" s="150"/>
      <c r="N57" t="s">
        <v>472</v>
      </c>
      <c r="P57" s="12" t="s">
        <v>133</v>
      </c>
      <c r="Q57" s="12">
        <v>92854523</v>
      </c>
    </row>
    <row r="58" spans="9:19">
      <c r="I58" s="21" t="s">
        <v>313</v>
      </c>
      <c r="J58" s="16">
        <v>4</v>
      </c>
      <c r="L58" s="150"/>
      <c r="N58" t="s">
        <v>478</v>
      </c>
      <c r="P58" s="12" t="s">
        <v>312</v>
      </c>
      <c r="Q58" s="12">
        <v>92854523</v>
      </c>
    </row>
    <row r="59" spans="9:19">
      <c r="I59" s="15" t="s">
        <v>316</v>
      </c>
      <c r="J59" s="24">
        <v>4</v>
      </c>
      <c r="L59" s="150"/>
      <c r="N59" t="s">
        <v>481</v>
      </c>
      <c r="P59" s="12" t="s">
        <v>315</v>
      </c>
      <c r="Q59" s="12">
        <v>39626397</v>
      </c>
    </row>
    <row r="60" spans="9:19" ht="15.75" thickBot="1">
      <c r="I60" s="42" t="s">
        <v>319</v>
      </c>
      <c r="J60" s="41">
        <v>4</v>
      </c>
      <c r="L60" s="150"/>
      <c r="N60" t="s">
        <v>489</v>
      </c>
      <c r="P60" s="12" t="s">
        <v>318</v>
      </c>
      <c r="Q60" s="12">
        <v>39626397</v>
      </c>
    </row>
    <row r="61" spans="9:19">
      <c r="I61" s="23" t="s">
        <v>321</v>
      </c>
      <c r="J61" s="24">
        <v>5</v>
      </c>
      <c r="L61" s="147" t="s">
        <v>322</v>
      </c>
      <c r="N61" t="s">
        <v>2487</v>
      </c>
      <c r="P61" s="12" t="s">
        <v>138</v>
      </c>
      <c r="Q61" s="12">
        <v>39626397</v>
      </c>
    </row>
    <row r="62" spans="9:19">
      <c r="I62" s="43" t="s">
        <v>325</v>
      </c>
      <c r="J62" s="24">
        <v>5</v>
      </c>
      <c r="L62" s="147"/>
      <c r="N62" t="s">
        <v>497</v>
      </c>
      <c r="P62" s="12" t="s">
        <v>324</v>
      </c>
      <c r="Q62" s="12">
        <v>44262710</v>
      </c>
    </row>
    <row r="63" spans="9:19">
      <c r="I63" s="21" t="s">
        <v>328</v>
      </c>
      <c r="J63" s="16">
        <v>5</v>
      </c>
      <c r="L63" s="147"/>
      <c r="N63" t="s">
        <v>503</v>
      </c>
      <c r="P63" s="12" t="s">
        <v>327</v>
      </c>
      <c r="Q63" s="12">
        <v>42630155</v>
      </c>
    </row>
    <row r="64" spans="9:19">
      <c r="I64" s="15" t="s">
        <v>331</v>
      </c>
      <c r="J64" s="16">
        <v>5</v>
      </c>
      <c r="L64" s="147"/>
      <c r="N64" t="s">
        <v>239</v>
      </c>
      <c r="P64" s="12" t="s">
        <v>330</v>
      </c>
      <c r="Q64" s="12">
        <v>45066433</v>
      </c>
    </row>
    <row r="65" spans="9:17">
      <c r="I65" s="15" t="s">
        <v>334</v>
      </c>
      <c r="J65" s="16">
        <v>5</v>
      </c>
      <c r="L65" s="147"/>
      <c r="N65" t="s">
        <v>519</v>
      </c>
      <c r="P65" s="12" t="s">
        <v>333</v>
      </c>
      <c r="Q65" s="12">
        <v>45066433</v>
      </c>
    </row>
    <row r="66" spans="9:17">
      <c r="I66" s="21" t="s">
        <v>336</v>
      </c>
      <c r="J66" s="16">
        <v>5</v>
      </c>
      <c r="L66" s="147"/>
      <c r="N66" t="s">
        <v>521</v>
      </c>
      <c r="P66" s="12" t="s">
        <v>144</v>
      </c>
      <c r="Q66" s="12">
        <v>45066433</v>
      </c>
    </row>
    <row r="67" spans="9:17">
      <c r="I67" s="15" t="s">
        <v>339</v>
      </c>
      <c r="J67" s="16">
        <v>5</v>
      </c>
      <c r="L67" s="147"/>
      <c r="N67" t="s">
        <v>244</v>
      </c>
      <c r="P67" s="12" t="s">
        <v>338</v>
      </c>
      <c r="Q67" s="12">
        <v>41003725</v>
      </c>
    </row>
    <row r="68" spans="9:17">
      <c r="I68" s="15" t="s">
        <v>342</v>
      </c>
      <c r="J68" s="16">
        <v>5</v>
      </c>
      <c r="L68" s="147"/>
      <c r="N68" t="s">
        <v>530</v>
      </c>
      <c r="P68" t="s">
        <v>341</v>
      </c>
      <c r="Q68" s="12">
        <v>39664781</v>
      </c>
    </row>
    <row r="69" spans="9:17">
      <c r="I69" s="21" t="s">
        <v>345</v>
      </c>
      <c r="J69" s="16">
        <v>5</v>
      </c>
      <c r="L69" s="147"/>
      <c r="N69" t="s">
        <v>535</v>
      </c>
      <c r="P69" s="12" t="s">
        <v>344</v>
      </c>
      <c r="Q69" s="12">
        <v>39664781</v>
      </c>
    </row>
    <row r="70" spans="9:17">
      <c r="I70" s="21" t="s">
        <v>347</v>
      </c>
      <c r="J70" s="16">
        <v>5</v>
      </c>
      <c r="L70" s="147"/>
      <c r="N70" t="s">
        <v>537</v>
      </c>
      <c r="P70" s="12" t="s">
        <v>150</v>
      </c>
      <c r="Q70" s="12">
        <v>39664781</v>
      </c>
    </row>
    <row r="71" spans="9:17" ht="15.75" thickBot="1">
      <c r="I71" s="15" t="s">
        <v>350</v>
      </c>
      <c r="J71" s="16">
        <v>5</v>
      </c>
      <c r="L71" s="147"/>
      <c r="N71" t="s">
        <v>539</v>
      </c>
      <c r="P71" t="s">
        <v>349</v>
      </c>
      <c r="Q71" s="12">
        <v>39664781</v>
      </c>
    </row>
    <row r="72" spans="9:17">
      <c r="I72" s="44" t="s">
        <v>352</v>
      </c>
      <c r="J72" s="11">
        <v>6</v>
      </c>
      <c r="L72" s="146" t="s">
        <v>353</v>
      </c>
      <c r="N72" t="s">
        <v>247</v>
      </c>
      <c r="P72" s="12" t="s">
        <v>156</v>
      </c>
      <c r="Q72" s="12">
        <v>42881437</v>
      </c>
    </row>
    <row r="73" spans="9:17">
      <c r="I73" s="45" t="s">
        <v>356</v>
      </c>
      <c r="J73" s="24">
        <v>6</v>
      </c>
      <c r="L73" s="147"/>
      <c r="N73" t="s">
        <v>251</v>
      </c>
      <c r="P73" s="12" t="s">
        <v>355</v>
      </c>
      <c r="Q73" s="12">
        <v>23671702</v>
      </c>
    </row>
    <row r="74" spans="9:17">
      <c r="I74" s="45" t="s">
        <v>358</v>
      </c>
      <c r="J74" s="24">
        <v>6</v>
      </c>
      <c r="L74" s="147"/>
      <c r="N74" t="s">
        <v>555</v>
      </c>
      <c r="P74" s="12" t="s">
        <v>160</v>
      </c>
      <c r="Q74" s="12">
        <v>23671702</v>
      </c>
    </row>
    <row r="75" spans="9:17">
      <c r="I75" s="46" t="s">
        <v>361</v>
      </c>
      <c r="J75" s="47">
        <v>6</v>
      </c>
      <c r="L75" s="147"/>
      <c r="N75" t="s">
        <v>256</v>
      </c>
      <c r="P75" t="s">
        <v>2434</v>
      </c>
      <c r="Q75">
        <v>47436889</v>
      </c>
    </row>
    <row r="76" spans="9:17" ht="15.75" thickBot="1">
      <c r="I76" s="48" t="s">
        <v>364</v>
      </c>
      <c r="J76" s="34">
        <v>6</v>
      </c>
      <c r="L76" s="148"/>
      <c r="N76" t="s">
        <v>566</v>
      </c>
      <c r="P76" t="s">
        <v>2486</v>
      </c>
      <c r="Q76">
        <v>47436889</v>
      </c>
    </row>
    <row r="77" spans="9:17">
      <c r="J77" s="49"/>
      <c r="N77" t="s">
        <v>259</v>
      </c>
      <c r="P77" t="s">
        <v>360</v>
      </c>
      <c r="Q77">
        <v>38837371</v>
      </c>
    </row>
    <row r="78" spans="9:17">
      <c r="J78" s="49"/>
      <c r="N78" t="s">
        <v>264</v>
      </c>
      <c r="P78" s="12" t="s">
        <v>363</v>
      </c>
      <c r="Q78" s="12">
        <v>38277567</v>
      </c>
    </row>
    <row r="79" spans="9:17">
      <c r="J79" s="49"/>
      <c r="N79" t="s">
        <v>268</v>
      </c>
      <c r="P79" t="s">
        <v>2474</v>
      </c>
      <c r="Q79">
        <v>38837371</v>
      </c>
    </row>
    <row r="80" spans="9:17">
      <c r="J80" s="49"/>
      <c r="N80" t="s">
        <v>272</v>
      </c>
      <c r="P80" s="12" t="s">
        <v>164</v>
      </c>
      <c r="Q80" s="12">
        <v>38277567</v>
      </c>
    </row>
    <row r="81" spans="10:17">
      <c r="J81" s="49"/>
      <c r="N81" t="s">
        <v>276</v>
      </c>
      <c r="P81" t="s">
        <v>367</v>
      </c>
      <c r="Q81">
        <v>38837371</v>
      </c>
    </row>
    <row r="82" spans="10:17">
      <c r="J82" s="49"/>
      <c r="N82" t="s">
        <v>2488</v>
      </c>
      <c r="P82" s="12" t="s">
        <v>369</v>
      </c>
      <c r="Q82" s="12">
        <v>44594776</v>
      </c>
    </row>
    <row r="83" spans="10:17">
      <c r="J83" s="49"/>
      <c r="N83" t="s">
        <v>581</v>
      </c>
      <c r="P83" s="12" t="s">
        <v>170</v>
      </c>
      <c r="Q83" s="50">
        <v>44594776</v>
      </c>
    </row>
    <row r="84" spans="10:17">
      <c r="J84" s="49"/>
      <c r="N84" t="s">
        <v>280</v>
      </c>
      <c r="P84" s="12" t="s">
        <v>2513</v>
      </c>
      <c r="Q84" s="50">
        <v>44594776</v>
      </c>
    </row>
    <row r="85" spans="10:17">
      <c r="J85" s="30"/>
      <c r="N85" t="s">
        <v>285</v>
      </c>
      <c r="P85" s="12" t="s">
        <v>373</v>
      </c>
      <c r="Q85" s="12">
        <v>44594776</v>
      </c>
    </row>
    <row r="86" spans="10:17">
      <c r="J86" s="30"/>
      <c r="N86" t="s">
        <v>287</v>
      </c>
      <c r="P86" s="12" t="s">
        <v>375</v>
      </c>
      <c r="Q86" s="12">
        <v>31163513</v>
      </c>
    </row>
    <row r="87" spans="10:17">
      <c r="N87" t="s">
        <v>289</v>
      </c>
      <c r="P87" s="12" t="s">
        <v>176</v>
      </c>
      <c r="Q87" s="12">
        <v>33192339</v>
      </c>
    </row>
    <row r="88" spans="10:17">
      <c r="N88" t="s">
        <v>600</v>
      </c>
      <c r="P88" s="12" t="s">
        <v>378</v>
      </c>
      <c r="Q88" s="12">
        <v>33192339</v>
      </c>
    </row>
    <row r="89" spans="10:17">
      <c r="N89" t="s">
        <v>602</v>
      </c>
      <c r="P89" s="12" t="s">
        <v>181</v>
      </c>
      <c r="Q89" s="12">
        <v>13762</v>
      </c>
    </row>
    <row r="90" spans="10:17">
      <c r="N90" t="s">
        <v>292</v>
      </c>
      <c r="P90" s="12" t="s">
        <v>381</v>
      </c>
      <c r="Q90" s="12">
        <v>13762</v>
      </c>
    </row>
    <row r="91" spans="10:17">
      <c r="N91" t="s">
        <v>294</v>
      </c>
      <c r="P91" s="12" t="s">
        <v>383</v>
      </c>
      <c r="Q91" s="12">
        <v>31163513</v>
      </c>
    </row>
    <row r="92" spans="10:17">
      <c r="N92" t="s">
        <v>620</v>
      </c>
      <c r="P92" s="12" t="s">
        <v>187</v>
      </c>
      <c r="Q92" s="12">
        <v>31163513</v>
      </c>
    </row>
    <row r="93" spans="10:17">
      <c r="N93" t="s">
        <v>297</v>
      </c>
      <c r="P93" s="12" t="s">
        <v>2514</v>
      </c>
      <c r="Q93" s="12">
        <v>31163513</v>
      </c>
    </row>
    <row r="94" spans="10:17">
      <c r="N94" t="s">
        <v>625</v>
      </c>
      <c r="P94" s="12" t="s">
        <v>387</v>
      </c>
      <c r="Q94" s="12">
        <v>40643676</v>
      </c>
    </row>
    <row r="95" spans="10:17">
      <c r="N95" t="s">
        <v>300</v>
      </c>
      <c r="P95" s="12" t="s">
        <v>389</v>
      </c>
      <c r="Q95" s="12">
        <v>40080049</v>
      </c>
    </row>
    <row r="96" spans="10:17">
      <c r="N96" t="s">
        <v>630</v>
      </c>
      <c r="P96" t="s">
        <v>391</v>
      </c>
      <c r="Q96" s="12">
        <v>40080049</v>
      </c>
    </row>
    <row r="97" spans="14:17">
      <c r="N97" t="s">
        <v>634</v>
      </c>
      <c r="P97" s="12" t="s">
        <v>393</v>
      </c>
      <c r="Q97" s="12">
        <v>39287771</v>
      </c>
    </row>
    <row r="98" spans="14:17">
      <c r="N98" t="s">
        <v>303</v>
      </c>
      <c r="P98" s="12" t="s">
        <v>395</v>
      </c>
      <c r="Q98" s="12">
        <v>40080049</v>
      </c>
    </row>
    <row r="99" spans="14:17">
      <c r="N99" t="s">
        <v>641</v>
      </c>
      <c r="P99" t="s">
        <v>397</v>
      </c>
      <c r="Q99" s="12">
        <v>40080049</v>
      </c>
    </row>
    <row r="100" spans="14:17">
      <c r="N100" t="s">
        <v>647</v>
      </c>
      <c r="P100" s="12" t="s">
        <v>192</v>
      </c>
      <c r="Q100" s="12">
        <v>40080049</v>
      </c>
    </row>
    <row r="101" spans="14:17">
      <c r="N101" t="s">
        <v>306</v>
      </c>
      <c r="P101" s="12" t="s">
        <v>400</v>
      </c>
      <c r="Q101" s="12">
        <v>40080049</v>
      </c>
    </row>
    <row r="102" spans="14:17">
      <c r="N102" t="s">
        <v>309</v>
      </c>
      <c r="P102" t="s">
        <v>402</v>
      </c>
      <c r="Q102">
        <v>17319309</v>
      </c>
    </row>
    <row r="103" spans="14:17">
      <c r="N103" t="s">
        <v>659</v>
      </c>
      <c r="P103" t="s">
        <v>404</v>
      </c>
      <c r="Q103">
        <v>17319309</v>
      </c>
    </row>
    <row r="104" spans="14:17">
      <c r="N104" t="s">
        <v>661</v>
      </c>
      <c r="P104" t="s">
        <v>406</v>
      </c>
      <c r="Q104">
        <v>17319309</v>
      </c>
    </row>
    <row r="105" spans="14:17">
      <c r="N105" t="s">
        <v>663</v>
      </c>
      <c r="P105" t="s">
        <v>408</v>
      </c>
      <c r="Q105">
        <v>17319309</v>
      </c>
    </row>
    <row r="106" spans="14:17">
      <c r="N106" t="s">
        <v>665</v>
      </c>
      <c r="P106" t="s">
        <v>410</v>
      </c>
      <c r="Q106">
        <v>21474952</v>
      </c>
    </row>
    <row r="107" spans="14:17">
      <c r="N107" t="s">
        <v>311</v>
      </c>
      <c r="P107" s="12" t="s">
        <v>196</v>
      </c>
      <c r="Q107" s="12">
        <v>34298</v>
      </c>
    </row>
    <row r="108" spans="14:17">
      <c r="N108" t="s">
        <v>676</v>
      </c>
      <c r="P108" s="12" t="s">
        <v>413</v>
      </c>
      <c r="Q108" s="12">
        <v>34298</v>
      </c>
    </row>
    <row r="109" spans="14:17">
      <c r="N109" t="s">
        <v>678</v>
      </c>
      <c r="P109" t="s">
        <v>415</v>
      </c>
      <c r="Q109">
        <v>21474952</v>
      </c>
    </row>
    <row r="110" spans="14:17">
      <c r="N110" t="s">
        <v>687</v>
      </c>
      <c r="P110" t="s">
        <v>417</v>
      </c>
      <c r="Q110">
        <v>21474952</v>
      </c>
    </row>
    <row r="111" spans="14:17">
      <c r="N111" t="s">
        <v>2625</v>
      </c>
      <c r="P111" s="12" t="s">
        <v>201</v>
      </c>
      <c r="Q111" s="12">
        <v>46004877</v>
      </c>
    </row>
    <row r="112" spans="14:17">
      <c r="N112" t="s">
        <v>314</v>
      </c>
      <c r="P112" s="12" t="s">
        <v>420</v>
      </c>
      <c r="Q112" s="12">
        <v>40951163</v>
      </c>
    </row>
    <row r="113" spans="14:17">
      <c r="N113" t="s">
        <v>692</v>
      </c>
      <c r="P113" t="s">
        <v>422</v>
      </c>
      <c r="Q113" s="12">
        <v>42662009</v>
      </c>
    </row>
    <row r="114" spans="14:17">
      <c r="N114" t="s">
        <v>317</v>
      </c>
      <c r="P114" s="12" t="s">
        <v>424</v>
      </c>
      <c r="Q114" s="12">
        <v>12598</v>
      </c>
    </row>
    <row r="115" spans="14:17">
      <c r="N115" t="s">
        <v>320</v>
      </c>
      <c r="P115" s="12" t="s">
        <v>207</v>
      </c>
      <c r="Q115" s="12">
        <v>12598</v>
      </c>
    </row>
    <row r="116" spans="14:17">
      <c r="N116" t="s">
        <v>704</v>
      </c>
      <c r="P116" s="12" t="s">
        <v>427</v>
      </c>
      <c r="Q116" s="12">
        <v>39626397</v>
      </c>
    </row>
    <row r="117" spans="14:17">
      <c r="N117" t="s">
        <v>323</v>
      </c>
      <c r="P117" s="12" t="s">
        <v>211</v>
      </c>
      <c r="Q117" s="12">
        <v>17500576</v>
      </c>
    </row>
    <row r="118" spans="14:17">
      <c r="N118" t="s">
        <v>711</v>
      </c>
      <c r="P118" s="12" t="s">
        <v>430</v>
      </c>
      <c r="Q118" s="12">
        <v>41009026</v>
      </c>
    </row>
    <row r="119" spans="14:17">
      <c r="N119" t="s">
        <v>326</v>
      </c>
      <c r="P119" s="12" t="s">
        <v>432</v>
      </c>
      <c r="Q119" s="12">
        <v>44259552</v>
      </c>
    </row>
    <row r="120" spans="14:17">
      <c r="N120" t="s">
        <v>721</v>
      </c>
      <c r="P120" s="12" t="s">
        <v>434</v>
      </c>
      <c r="Q120" s="12">
        <v>44259552</v>
      </c>
    </row>
    <row r="121" spans="14:17">
      <c r="N121" t="s">
        <v>329</v>
      </c>
      <c r="P121" s="12" t="s">
        <v>216</v>
      </c>
      <c r="Q121" s="12">
        <v>44259552</v>
      </c>
    </row>
    <row r="122" spans="14:17">
      <c r="N122" t="s">
        <v>731</v>
      </c>
      <c r="P122" s="12" t="s">
        <v>437</v>
      </c>
      <c r="Q122" s="12">
        <v>44259552</v>
      </c>
    </row>
    <row r="123" spans="14:17">
      <c r="N123" t="s">
        <v>733</v>
      </c>
      <c r="P123" s="12" t="s">
        <v>439</v>
      </c>
      <c r="Q123" s="12">
        <v>12311</v>
      </c>
    </row>
    <row r="124" spans="14:17">
      <c r="N124" t="s">
        <v>332</v>
      </c>
      <c r="P124" s="12" t="s">
        <v>220</v>
      </c>
      <c r="Q124" s="12">
        <v>12311</v>
      </c>
    </row>
    <row r="125" spans="14:17">
      <c r="N125" t="s">
        <v>335</v>
      </c>
      <c r="P125" s="12" t="s">
        <v>442</v>
      </c>
      <c r="Q125" s="12">
        <v>45428311</v>
      </c>
    </row>
    <row r="126" spans="14:17">
      <c r="N126" t="s">
        <v>741</v>
      </c>
      <c r="P126" s="12" t="s">
        <v>224</v>
      </c>
      <c r="Q126" s="12">
        <v>45428311</v>
      </c>
    </row>
    <row r="127" spans="14:17">
      <c r="N127" t="s">
        <v>757</v>
      </c>
      <c r="P127" s="12" t="s">
        <v>445</v>
      </c>
      <c r="Q127" s="12">
        <v>45428311</v>
      </c>
    </row>
    <row r="128" spans="14:17">
      <c r="N128" t="s">
        <v>337</v>
      </c>
      <c r="P128" s="12" t="s">
        <v>447</v>
      </c>
      <c r="Q128" s="12">
        <v>12948</v>
      </c>
    </row>
    <row r="129" spans="14:17">
      <c r="N129" t="s">
        <v>762</v>
      </c>
      <c r="P129" s="12" t="s">
        <v>449</v>
      </c>
      <c r="Q129" s="12">
        <v>17230</v>
      </c>
    </row>
    <row r="130" spans="14:17">
      <c r="N130" t="s">
        <v>768</v>
      </c>
      <c r="P130" s="12" t="s">
        <v>229</v>
      </c>
      <c r="Q130" s="12">
        <v>17230</v>
      </c>
    </row>
    <row r="131" spans="14:17">
      <c r="N131" t="s">
        <v>340</v>
      </c>
      <c r="P131" s="12" t="s">
        <v>452</v>
      </c>
      <c r="Q131" s="12">
        <v>47649513</v>
      </c>
    </row>
    <row r="132" spans="14:17">
      <c r="N132" t="s">
        <v>782</v>
      </c>
      <c r="P132" s="12" t="s">
        <v>2515</v>
      </c>
      <c r="Q132" s="12">
        <v>47649513</v>
      </c>
    </row>
    <row r="133" spans="14:17">
      <c r="N133" t="s">
        <v>786</v>
      </c>
      <c r="P133" s="12" t="s">
        <v>455</v>
      </c>
      <c r="Q133" s="12">
        <v>47649513</v>
      </c>
    </row>
    <row r="134" spans="14:17">
      <c r="N134" t="s">
        <v>343</v>
      </c>
      <c r="P134" s="12" t="s">
        <v>457</v>
      </c>
      <c r="Q134" s="12">
        <v>47649513</v>
      </c>
    </row>
    <row r="135" spans="14:17">
      <c r="N135" t="s">
        <v>793</v>
      </c>
      <c r="P135" s="12" t="s">
        <v>459</v>
      </c>
      <c r="Q135" s="12">
        <v>25500526</v>
      </c>
    </row>
    <row r="136" spans="14:17">
      <c r="N136" t="s">
        <v>346</v>
      </c>
      <c r="P136" s="12" t="s">
        <v>461</v>
      </c>
      <c r="Q136" s="12">
        <v>25500526</v>
      </c>
    </row>
    <row r="137" spans="14:17">
      <c r="N137" t="s">
        <v>802</v>
      </c>
      <c r="P137" s="12" t="s">
        <v>463</v>
      </c>
      <c r="Q137" s="12">
        <v>25500526</v>
      </c>
    </row>
    <row r="138" spans="14:17">
      <c r="N138" t="s">
        <v>348</v>
      </c>
      <c r="P138" s="12" t="s">
        <v>235</v>
      </c>
      <c r="Q138" s="12">
        <v>25500526</v>
      </c>
    </row>
    <row r="139" spans="14:17">
      <c r="N139" t="s">
        <v>806</v>
      </c>
      <c r="P139" t="s">
        <v>466</v>
      </c>
      <c r="Q139">
        <v>23782468</v>
      </c>
    </row>
    <row r="140" spans="14:17">
      <c r="N140" t="s">
        <v>351</v>
      </c>
      <c r="P140" s="12" t="s">
        <v>468</v>
      </c>
      <c r="Q140" s="12">
        <v>46018353</v>
      </c>
    </row>
    <row r="141" spans="14:17">
      <c r="N141" t="s">
        <v>818</v>
      </c>
      <c r="P141" s="12" t="s">
        <v>470</v>
      </c>
      <c r="Q141" s="12">
        <v>46018353</v>
      </c>
    </row>
    <row r="142" spans="14:17">
      <c r="N142" t="s">
        <v>828</v>
      </c>
      <c r="P142" t="s">
        <v>472</v>
      </c>
      <c r="Q142">
        <v>23782468</v>
      </c>
    </row>
    <row r="143" spans="14:17">
      <c r="N143" t="s">
        <v>832</v>
      </c>
      <c r="P143" t="s">
        <v>474</v>
      </c>
      <c r="Q143" s="12">
        <v>40012530</v>
      </c>
    </row>
    <row r="144" spans="14:17">
      <c r="N144" t="s">
        <v>843</v>
      </c>
      <c r="P144" t="s">
        <v>476</v>
      </c>
      <c r="Q144">
        <v>40012530</v>
      </c>
    </row>
    <row r="145" spans="14:17">
      <c r="N145" t="s">
        <v>847</v>
      </c>
      <c r="P145" s="12" t="s">
        <v>478</v>
      </c>
      <c r="Q145" s="12">
        <v>40012530</v>
      </c>
    </row>
    <row r="146" spans="14:17">
      <c r="N146" t="s">
        <v>849</v>
      </c>
      <c r="P146" s="12" t="s">
        <v>2516</v>
      </c>
      <c r="Q146" s="12">
        <v>40012530</v>
      </c>
    </row>
    <row r="147" spans="14:17">
      <c r="N147" t="s">
        <v>853</v>
      </c>
      <c r="P147" s="12" t="s">
        <v>481</v>
      </c>
      <c r="Q147" s="12">
        <v>44687057</v>
      </c>
    </row>
    <row r="148" spans="14:17">
      <c r="N148" t="s">
        <v>857</v>
      </c>
      <c r="P148" t="s">
        <v>483</v>
      </c>
      <c r="Q148">
        <v>39654955</v>
      </c>
    </row>
    <row r="149" spans="14:17">
      <c r="N149" t="s">
        <v>859</v>
      </c>
      <c r="P149" t="s">
        <v>485</v>
      </c>
      <c r="Q149">
        <v>39654955</v>
      </c>
    </row>
    <row r="150" spans="14:17">
      <c r="N150" t="s">
        <v>357</v>
      </c>
      <c r="P150" t="s">
        <v>487</v>
      </c>
      <c r="Q150">
        <v>39654955</v>
      </c>
    </row>
    <row r="151" spans="14:17">
      <c r="N151" t="s">
        <v>359</v>
      </c>
      <c r="P151" t="s">
        <v>489</v>
      </c>
      <c r="Q151">
        <v>39654955</v>
      </c>
    </row>
    <row r="152" spans="14:17">
      <c r="N152" t="s">
        <v>362</v>
      </c>
      <c r="P152" t="s">
        <v>491</v>
      </c>
      <c r="Q152">
        <v>26667211</v>
      </c>
    </row>
    <row r="153" spans="14:17">
      <c r="N153" t="s">
        <v>365</v>
      </c>
      <c r="P153" t="s">
        <v>493</v>
      </c>
      <c r="Q153">
        <v>26667211</v>
      </c>
    </row>
    <row r="154" spans="14:17">
      <c r="N154" t="s">
        <v>871</v>
      </c>
      <c r="P154" t="s">
        <v>2487</v>
      </c>
      <c r="Q154">
        <v>26667211</v>
      </c>
    </row>
    <row r="155" spans="14:17">
      <c r="N155" t="s">
        <v>873</v>
      </c>
      <c r="P155" t="s">
        <v>495</v>
      </c>
      <c r="Q155">
        <v>45077746</v>
      </c>
    </row>
    <row r="156" spans="14:17">
      <c r="N156" t="s">
        <v>366</v>
      </c>
      <c r="P156" t="s">
        <v>497</v>
      </c>
      <c r="Q156">
        <v>45077746</v>
      </c>
    </row>
    <row r="157" spans="14:17">
      <c r="N157" t="s">
        <v>878</v>
      </c>
      <c r="P157" t="s">
        <v>499</v>
      </c>
      <c r="Q157">
        <v>42373340</v>
      </c>
    </row>
    <row r="158" spans="14:17">
      <c r="N158" t="s">
        <v>368</v>
      </c>
      <c r="P158" t="s">
        <v>501</v>
      </c>
      <c r="Q158">
        <v>42373340</v>
      </c>
    </row>
    <row r="159" spans="14:17">
      <c r="N159" t="s">
        <v>370</v>
      </c>
      <c r="P159" t="s">
        <v>503</v>
      </c>
      <c r="Q159">
        <v>42373340</v>
      </c>
    </row>
    <row r="160" spans="14:17">
      <c r="N160" t="s">
        <v>371</v>
      </c>
      <c r="P160" s="12" t="s">
        <v>505</v>
      </c>
      <c r="Q160" s="12">
        <v>13782</v>
      </c>
    </row>
    <row r="161" spans="14:17">
      <c r="N161" t="s">
        <v>372</v>
      </c>
      <c r="P161" s="12" t="s">
        <v>507</v>
      </c>
      <c r="Q161" s="12">
        <v>38635499</v>
      </c>
    </row>
    <row r="162" spans="14:17">
      <c r="N162" t="s">
        <v>900</v>
      </c>
      <c r="P162" s="12" t="s">
        <v>239</v>
      </c>
      <c r="Q162" s="12">
        <v>38635499</v>
      </c>
    </row>
    <row r="163" spans="14:17">
      <c r="N163" t="s">
        <v>904</v>
      </c>
      <c r="P163" s="12" t="s">
        <v>510</v>
      </c>
      <c r="Q163" s="12">
        <v>38635499</v>
      </c>
    </row>
    <row r="164" spans="14:17">
      <c r="N164" t="s">
        <v>906</v>
      </c>
      <c r="P164" s="12" t="s">
        <v>2517</v>
      </c>
      <c r="Q164" s="12">
        <v>38635499</v>
      </c>
    </row>
    <row r="165" spans="14:17">
      <c r="N165" t="s">
        <v>374</v>
      </c>
      <c r="P165" s="12" t="s">
        <v>513</v>
      </c>
      <c r="Q165" s="12" t="s">
        <v>514</v>
      </c>
    </row>
    <row r="166" spans="14:17">
      <c r="N166" t="s">
        <v>915</v>
      </c>
      <c r="P166" s="12" t="s">
        <v>516</v>
      </c>
      <c r="Q166" s="12">
        <v>45990029</v>
      </c>
    </row>
    <row r="167" spans="14:17">
      <c r="N167" t="s">
        <v>376</v>
      </c>
      <c r="P167" s="12" t="s">
        <v>2518</v>
      </c>
      <c r="Q167" s="12">
        <v>45990029</v>
      </c>
    </row>
    <row r="168" spans="14:17">
      <c r="N168" t="s">
        <v>377</v>
      </c>
      <c r="P168" s="12" t="s">
        <v>519</v>
      </c>
      <c r="Q168" s="12">
        <v>12293</v>
      </c>
    </row>
    <row r="169" spans="14:17">
      <c r="N169" t="s">
        <v>379</v>
      </c>
      <c r="P169" s="12" t="s">
        <v>521</v>
      </c>
      <c r="Q169" s="12">
        <v>33876893</v>
      </c>
    </row>
    <row r="170" spans="14:17">
      <c r="N170" t="s">
        <v>380</v>
      </c>
      <c r="P170" s="12" t="s">
        <v>244</v>
      </c>
      <c r="Q170" s="12">
        <v>45990029</v>
      </c>
    </row>
    <row r="171" spans="14:17">
      <c r="N171" t="s">
        <v>941</v>
      </c>
      <c r="P171" s="12" t="s">
        <v>524</v>
      </c>
      <c r="Q171" s="12">
        <v>45990029</v>
      </c>
    </row>
    <row r="172" spans="14:17">
      <c r="N172" t="s">
        <v>943</v>
      </c>
      <c r="P172" t="s">
        <v>526</v>
      </c>
      <c r="Q172">
        <v>18880507</v>
      </c>
    </row>
    <row r="173" spans="14:17">
      <c r="N173" t="s">
        <v>382</v>
      </c>
      <c r="P173" t="s">
        <v>528</v>
      </c>
      <c r="Q173">
        <v>18880507</v>
      </c>
    </row>
    <row r="174" spans="14:17">
      <c r="N174" t="s">
        <v>384</v>
      </c>
      <c r="P174" s="12" t="s">
        <v>530</v>
      </c>
      <c r="Q174" s="12">
        <v>42149348</v>
      </c>
    </row>
    <row r="175" spans="14:17">
      <c r="N175" t="s">
        <v>956</v>
      </c>
      <c r="P175" s="12" t="s">
        <v>532</v>
      </c>
      <c r="Q175" s="12">
        <v>34488</v>
      </c>
    </row>
    <row r="176" spans="14:17">
      <c r="N176" t="s">
        <v>958</v>
      </c>
      <c r="P176" s="12" t="s">
        <v>2519</v>
      </c>
      <c r="Q176" s="12">
        <v>34488</v>
      </c>
    </row>
    <row r="177" spans="14:17">
      <c r="N177" t="s">
        <v>963</v>
      </c>
      <c r="P177" s="12" t="s">
        <v>535</v>
      </c>
      <c r="Q177" s="12">
        <v>12275</v>
      </c>
    </row>
    <row r="178" spans="14:17">
      <c r="N178" t="s">
        <v>385</v>
      </c>
      <c r="P178" s="12" t="s">
        <v>537</v>
      </c>
      <c r="Q178" s="12">
        <v>39642290</v>
      </c>
    </row>
    <row r="179" spans="14:17">
      <c r="N179" t="s">
        <v>386</v>
      </c>
      <c r="P179" s="12" t="s">
        <v>539</v>
      </c>
      <c r="Q179" s="12">
        <v>92964548</v>
      </c>
    </row>
    <row r="180" spans="14:17">
      <c r="N180" t="s">
        <v>388</v>
      </c>
      <c r="P180" t="s">
        <v>541</v>
      </c>
      <c r="Q180" s="12">
        <v>13769</v>
      </c>
    </row>
    <row r="181" spans="14:17">
      <c r="N181" t="s">
        <v>974</v>
      </c>
      <c r="P181" t="s">
        <v>543</v>
      </c>
      <c r="Q181" s="12">
        <v>13769</v>
      </c>
    </row>
    <row r="182" spans="14:17">
      <c r="N182" t="s">
        <v>390</v>
      </c>
      <c r="P182" s="12" t="s">
        <v>545</v>
      </c>
      <c r="Q182" s="12">
        <v>42148401</v>
      </c>
    </row>
    <row r="183" spans="14:17">
      <c r="N183" t="s">
        <v>979</v>
      </c>
      <c r="P183" s="12" t="s">
        <v>247</v>
      </c>
      <c r="Q183" s="12">
        <v>13769</v>
      </c>
    </row>
    <row r="184" spans="14:17">
      <c r="N184" t="s">
        <v>392</v>
      </c>
      <c r="P184" t="s">
        <v>548</v>
      </c>
      <c r="Q184" s="12">
        <v>13769</v>
      </c>
    </row>
    <row r="185" spans="14:17">
      <c r="N185" t="s">
        <v>394</v>
      </c>
      <c r="P185" s="12" t="s">
        <v>251</v>
      </c>
      <c r="Q185" s="12">
        <v>42148401</v>
      </c>
    </row>
    <row r="186" spans="14:17">
      <c r="N186" t="s">
        <v>987</v>
      </c>
      <c r="P186" t="s">
        <v>551</v>
      </c>
      <c r="Q186" s="12">
        <v>13769</v>
      </c>
    </row>
    <row r="187" spans="14:17">
      <c r="N187" t="s">
        <v>396</v>
      </c>
      <c r="P187" t="s">
        <v>553</v>
      </c>
      <c r="Q187" s="12">
        <v>13769</v>
      </c>
    </row>
    <row r="188" spans="14:17">
      <c r="N188" t="s">
        <v>991</v>
      </c>
      <c r="P188" s="12" t="s">
        <v>555</v>
      </c>
      <c r="Q188" s="12">
        <v>41549792</v>
      </c>
    </row>
    <row r="189" spans="14:17">
      <c r="N189" t="s">
        <v>992</v>
      </c>
      <c r="P189" s="12" t="s">
        <v>557</v>
      </c>
      <c r="Q189" s="12">
        <v>45147451</v>
      </c>
    </row>
    <row r="190" spans="14:17">
      <c r="N190" t="s">
        <v>398</v>
      </c>
      <c r="P190" s="12" t="s">
        <v>256</v>
      </c>
      <c r="Q190" s="12">
        <v>42630793</v>
      </c>
    </row>
    <row r="191" spans="14:17">
      <c r="N191" t="s">
        <v>997</v>
      </c>
      <c r="P191" s="12" t="s">
        <v>560</v>
      </c>
      <c r="Q191" s="12">
        <v>42630793</v>
      </c>
    </row>
    <row r="192" spans="14:17">
      <c r="N192" t="s">
        <v>399</v>
      </c>
      <c r="P192" t="s">
        <v>562</v>
      </c>
      <c r="Q192">
        <v>25594921</v>
      </c>
    </row>
    <row r="193" spans="14:17">
      <c r="N193" t="s">
        <v>401</v>
      </c>
      <c r="P193" t="s">
        <v>564</v>
      </c>
      <c r="Q193">
        <v>25594921</v>
      </c>
    </row>
    <row r="194" spans="14:17">
      <c r="N194" t="s">
        <v>403</v>
      </c>
      <c r="P194" t="s">
        <v>566</v>
      </c>
      <c r="Q194">
        <v>25594921</v>
      </c>
    </row>
    <row r="195" spans="14:17">
      <c r="N195" t="s">
        <v>405</v>
      </c>
      <c r="P195" t="s">
        <v>568</v>
      </c>
      <c r="Q195">
        <v>25594921</v>
      </c>
    </row>
    <row r="196" spans="14:17">
      <c r="N196" t="s">
        <v>407</v>
      </c>
      <c r="P196" s="12" t="s">
        <v>259</v>
      </c>
      <c r="Q196" s="12">
        <v>13761</v>
      </c>
    </row>
    <row r="197" spans="14:17">
      <c r="N197" t="s">
        <v>409</v>
      </c>
      <c r="P197" t="s">
        <v>571</v>
      </c>
      <c r="Q197" s="12">
        <v>13761</v>
      </c>
    </row>
    <row r="198" spans="14:17">
      <c r="N198" t="s">
        <v>1010</v>
      </c>
      <c r="P198" t="s">
        <v>2475</v>
      </c>
      <c r="Q198" s="12">
        <v>45868439</v>
      </c>
    </row>
    <row r="199" spans="14:17">
      <c r="N199" t="s">
        <v>411</v>
      </c>
      <c r="P199" s="12" t="s">
        <v>264</v>
      </c>
      <c r="Q199" s="12">
        <v>45868439</v>
      </c>
    </row>
    <row r="200" spans="14:17">
      <c r="N200" t="s">
        <v>412</v>
      </c>
      <c r="P200" s="12" t="s">
        <v>574</v>
      </c>
      <c r="Q200" s="12">
        <v>33658</v>
      </c>
    </row>
    <row r="201" spans="14:17">
      <c r="N201" t="s">
        <v>414</v>
      </c>
      <c r="P201" s="12" t="s">
        <v>268</v>
      </c>
      <c r="Q201" s="12">
        <v>33658</v>
      </c>
    </row>
    <row r="202" spans="14:17">
      <c r="N202" t="s">
        <v>1019</v>
      </c>
      <c r="P202" s="12" t="s">
        <v>272</v>
      </c>
      <c r="Q202" s="12">
        <v>20351386</v>
      </c>
    </row>
    <row r="203" spans="14:17">
      <c r="N203" t="s">
        <v>1020</v>
      </c>
      <c r="P203" s="12" t="s">
        <v>276</v>
      </c>
      <c r="Q203" s="12">
        <v>37242355</v>
      </c>
    </row>
    <row r="204" spans="14:17">
      <c r="N204" t="s">
        <v>1021</v>
      </c>
      <c r="P204" t="s">
        <v>2488</v>
      </c>
      <c r="Q204">
        <v>39817743</v>
      </c>
    </row>
    <row r="205" spans="14:17">
      <c r="N205" t="s">
        <v>1022</v>
      </c>
      <c r="P205" t="s">
        <v>579</v>
      </c>
      <c r="Q205">
        <v>39817743</v>
      </c>
    </row>
    <row r="206" spans="14:17">
      <c r="N206" t="s">
        <v>1024</v>
      </c>
      <c r="P206" s="12" t="s">
        <v>581</v>
      </c>
      <c r="Q206" s="12">
        <v>42479741</v>
      </c>
    </row>
    <row r="207" spans="14:17">
      <c r="N207" t="s">
        <v>1027</v>
      </c>
      <c r="P207" s="12" t="s">
        <v>583</v>
      </c>
      <c r="Q207" s="12">
        <v>40883284</v>
      </c>
    </row>
    <row r="208" spans="14:17">
      <c r="N208" t="s">
        <v>1031</v>
      </c>
      <c r="P208" s="12" t="s">
        <v>280</v>
      </c>
      <c r="Q208" s="12">
        <v>40883284</v>
      </c>
    </row>
    <row r="209" spans="14:17">
      <c r="N209" t="s">
        <v>416</v>
      </c>
      <c r="P209" s="12" t="s">
        <v>586</v>
      </c>
      <c r="Q209" s="12">
        <v>13809</v>
      </c>
    </row>
    <row r="210" spans="14:17">
      <c r="N210" t="s">
        <v>1035</v>
      </c>
      <c r="P210" t="s">
        <v>588</v>
      </c>
      <c r="Q210">
        <v>13809</v>
      </c>
    </row>
    <row r="211" spans="14:17">
      <c r="N211" t="s">
        <v>2615</v>
      </c>
      <c r="P211" s="12" t="s">
        <v>285</v>
      </c>
      <c r="Q211" s="12">
        <v>13809</v>
      </c>
    </row>
    <row r="212" spans="14:17">
      <c r="N212" t="s">
        <v>1042</v>
      </c>
      <c r="P212" s="12" t="s">
        <v>591</v>
      </c>
      <c r="Q212" s="12">
        <v>13809</v>
      </c>
    </row>
    <row r="213" spans="14:17">
      <c r="N213" t="s">
        <v>418</v>
      </c>
      <c r="P213" s="12" t="s">
        <v>593</v>
      </c>
      <c r="Q213" s="12">
        <v>37242355</v>
      </c>
    </row>
    <row r="214" spans="14:17">
      <c r="N214" t="s">
        <v>1046</v>
      </c>
      <c r="P214" s="12" t="s">
        <v>287</v>
      </c>
      <c r="Q214" s="12">
        <v>45147451</v>
      </c>
    </row>
    <row r="215" spans="14:17">
      <c r="N215" t="s">
        <v>1054</v>
      </c>
      <c r="P215" s="12" t="s">
        <v>2520</v>
      </c>
      <c r="Q215" s="12">
        <v>45147451</v>
      </c>
    </row>
    <row r="216" spans="14:17">
      <c r="N216" t="s">
        <v>419</v>
      </c>
      <c r="P216" s="12" t="s">
        <v>289</v>
      </c>
      <c r="Q216" s="12">
        <v>41170576</v>
      </c>
    </row>
    <row r="217" spans="14:17">
      <c r="N217" t="s">
        <v>421</v>
      </c>
      <c r="P217" t="s">
        <v>598</v>
      </c>
      <c r="Q217">
        <v>40240445</v>
      </c>
    </row>
    <row r="218" spans="14:17">
      <c r="N218" t="s">
        <v>1061</v>
      </c>
      <c r="P218" t="s">
        <v>600</v>
      </c>
      <c r="Q218">
        <v>40240445</v>
      </c>
    </row>
    <row r="219" spans="14:17">
      <c r="N219" t="s">
        <v>1064</v>
      </c>
      <c r="P219" s="12" t="s">
        <v>602</v>
      </c>
      <c r="Q219" s="12">
        <v>36279326</v>
      </c>
    </row>
    <row r="220" spans="14:17">
      <c r="N220" t="s">
        <v>423</v>
      </c>
      <c r="P220" s="12" t="s">
        <v>604</v>
      </c>
      <c r="Q220" s="12">
        <v>40080049</v>
      </c>
    </row>
    <row r="221" spans="14:17">
      <c r="N221" t="s">
        <v>425</v>
      </c>
      <c r="P221" s="12" t="s">
        <v>606</v>
      </c>
      <c r="Q221" s="12">
        <v>38919576</v>
      </c>
    </row>
    <row r="222" spans="14:17">
      <c r="N222" t="s">
        <v>1073</v>
      </c>
      <c r="P222" t="s">
        <v>608</v>
      </c>
      <c r="Q222">
        <v>38919576</v>
      </c>
    </row>
    <row r="223" spans="14:17">
      <c r="N223" t="s">
        <v>1074</v>
      </c>
      <c r="P223" t="s">
        <v>610</v>
      </c>
      <c r="Q223" s="12">
        <v>38919576</v>
      </c>
    </row>
    <row r="224" spans="14:17">
      <c r="N224" t="s">
        <v>1075</v>
      </c>
      <c r="P224" s="12" t="s">
        <v>292</v>
      </c>
      <c r="Q224" s="12">
        <v>38919576</v>
      </c>
    </row>
    <row r="225" spans="14:17">
      <c r="N225" t="s">
        <v>426</v>
      </c>
      <c r="P225" t="s">
        <v>613</v>
      </c>
      <c r="Q225">
        <v>34949458</v>
      </c>
    </row>
    <row r="226" spans="14:17">
      <c r="N226" t="s">
        <v>2490</v>
      </c>
      <c r="P226" t="s">
        <v>615</v>
      </c>
      <c r="Q226">
        <v>34949458</v>
      </c>
    </row>
    <row r="227" spans="14:17">
      <c r="N227" t="s">
        <v>1079</v>
      </c>
      <c r="P227" s="12" t="s">
        <v>294</v>
      </c>
      <c r="Q227" s="12">
        <v>39339538</v>
      </c>
    </row>
    <row r="228" spans="14:17">
      <c r="N228" t="s">
        <v>1080</v>
      </c>
      <c r="P228" s="12" t="s">
        <v>618</v>
      </c>
      <c r="Q228" s="12">
        <v>39339538</v>
      </c>
    </row>
    <row r="229" spans="14:17">
      <c r="N229" t="s">
        <v>428</v>
      </c>
      <c r="P229" s="12" t="s">
        <v>620</v>
      </c>
      <c r="Q229" s="12">
        <v>29124328</v>
      </c>
    </row>
    <row r="230" spans="14:17">
      <c r="N230" t="s">
        <v>1089</v>
      </c>
      <c r="P230" s="12" t="s">
        <v>622</v>
      </c>
      <c r="Q230" s="12">
        <v>42588018</v>
      </c>
    </row>
    <row r="231" spans="14:17">
      <c r="N231" t="s">
        <v>429</v>
      </c>
      <c r="P231" s="12" t="s">
        <v>297</v>
      </c>
      <c r="Q231" s="12">
        <v>42588018</v>
      </c>
    </row>
    <row r="232" spans="14:17">
      <c r="N232" t="s">
        <v>431</v>
      </c>
      <c r="P232" s="12" t="s">
        <v>625</v>
      </c>
      <c r="Q232" s="12">
        <v>40010214</v>
      </c>
    </row>
    <row r="233" spans="14:17">
      <c r="N233" t="s">
        <v>2626</v>
      </c>
      <c r="P233" s="12" t="s">
        <v>300</v>
      </c>
      <c r="Q233" s="12">
        <v>41395501</v>
      </c>
    </row>
    <row r="234" spans="14:17">
      <c r="N234" t="s">
        <v>433</v>
      </c>
      <c r="P234" s="12" t="s">
        <v>628</v>
      </c>
      <c r="Q234" s="12">
        <v>41395501</v>
      </c>
    </row>
    <row r="235" spans="14:17">
      <c r="N235" t="s">
        <v>1102</v>
      </c>
      <c r="P235" s="12" t="s">
        <v>630</v>
      </c>
      <c r="Q235" s="12">
        <v>28347023</v>
      </c>
    </row>
    <row r="236" spans="14:17">
      <c r="N236" t="s">
        <v>1104</v>
      </c>
      <c r="P236" t="s">
        <v>632</v>
      </c>
      <c r="Q236">
        <v>34949458</v>
      </c>
    </row>
    <row r="237" spans="14:17">
      <c r="N237" t="s">
        <v>435</v>
      </c>
      <c r="P237" t="s">
        <v>634</v>
      </c>
      <c r="Q237">
        <v>34949458</v>
      </c>
    </row>
    <row r="238" spans="14:17">
      <c r="N238" t="s">
        <v>1108</v>
      </c>
      <c r="P238" s="12" t="s">
        <v>303</v>
      </c>
      <c r="Q238" s="12">
        <v>33679</v>
      </c>
    </row>
    <row r="239" spans="14:17">
      <c r="N239" t="s">
        <v>1110</v>
      </c>
      <c r="P239" s="12" t="s">
        <v>637</v>
      </c>
      <c r="Q239" s="12">
        <v>92902672</v>
      </c>
    </row>
    <row r="240" spans="14:17">
      <c r="N240" t="s">
        <v>1111</v>
      </c>
      <c r="P240" s="12" t="s">
        <v>639</v>
      </c>
      <c r="Q240" s="12">
        <v>92902672</v>
      </c>
    </row>
    <row r="241" spans="14:17">
      <c r="N241" t="s">
        <v>436</v>
      </c>
      <c r="P241" s="12" t="s">
        <v>641</v>
      </c>
      <c r="Q241" s="12">
        <v>92902672</v>
      </c>
    </row>
    <row r="242" spans="14:17">
      <c r="N242" t="s">
        <v>438</v>
      </c>
      <c r="P242" t="s">
        <v>643</v>
      </c>
      <c r="Q242" s="12">
        <v>92902672</v>
      </c>
    </row>
    <row r="243" spans="14:17">
      <c r="N243" t="s">
        <v>1117</v>
      </c>
      <c r="P243" t="s">
        <v>645</v>
      </c>
      <c r="Q243" s="12">
        <v>92902672</v>
      </c>
    </row>
    <row r="244" spans="14:17">
      <c r="N244" t="s">
        <v>1118</v>
      </c>
      <c r="P244" s="12" t="s">
        <v>647</v>
      </c>
      <c r="Q244" s="12">
        <v>30990</v>
      </c>
    </row>
    <row r="245" spans="14:17">
      <c r="N245" t="s">
        <v>1119</v>
      </c>
      <c r="P245" t="s">
        <v>2476</v>
      </c>
      <c r="Q245">
        <v>43091973</v>
      </c>
    </row>
    <row r="246" spans="14:17">
      <c r="N246" t="s">
        <v>1120</v>
      </c>
      <c r="P246" s="12" t="s">
        <v>649</v>
      </c>
      <c r="Q246" s="12">
        <v>43091973</v>
      </c>
    </row>
    <row r="247" spans="14:17">
      <c r="N247" t="s">
        <v>440</v>
      </c>
      <c r="P247" s="12" t="s">
        <v>651</v>
      </c>
      <c r="Q247" s="12">
        <v>11674</v>
      </c>
    </row>
    <row r="248" spans="14:17">
      <c r="N248" t="s">
        <v>1132</v>
      </c>
      <c r="P248" s="12" t="s">
        <v>306</v>
      </c>
      <c r="Q248" s="12">
        <v>43091973</v>
      </c>
    </row>
    <row r="249" spans="14:17">
      <c r="N249" t="s">
        <v>441</v>
      </c>
      <c r="P249" s="12" t="s">
        <v>309</v>
      </c>
      <c r="Q249" s="12">
        <v>11674</v>
      </c>
    </row>
    <row r="250" spans="14:17">
      <c r="N250" t="s">
        <v>1135</v>
      </c>
      <c r="P250" t="s">
        <v>655</v>
      </c>
      <c r="Q250">
        <v>45316966</v>
      </c>
    </row>
    <row r="251" spans="14:17">
      <c r="N251" t="s">
        <v>1136</v>
      </c>
      <c r="P251" t="s">
        <v>657</v>
      </c>
      <c r="Q251">
        <v>45316966</v>
      </c>
    </row>
    <row r="252" spans="14:17">
      <c r="N252" t="s">
        <v>443</v>
      </c>
      <c r="P252" t="s">
        <v>659</v>
      </c>
      <c r="Q252">
        <v>45316966</v>
      </c>
    </row>
    <row r="253" spans="14:17">
      <c r="N253" t="s">
        <v>444</v>
      </c>
      <c r="P253" s="12" t="s">
        <v>661</v>
      </c>
      <c r="Q253" s="12">
        <v>28460862</v>
      </c>
    </row>
    <row r="254" spans="14:17">
      <c r="N254" t="s">
        <v>446</v>
      </c>
      <c r="P254" s="12" t="s">
        <v>663</v>
      </c>
      <c r="Q254" s="12">
        <v>39067789</v>
      </c>
    </row>
    <row r="255" spans="14:17">
      <c r="N255" t="s">
        <v>1141</v>
      </c>
      <c r="P255" s="12" t="s">
        <v>665</v>
      </c>
      <c r="Q255" s="12">
        <v>42363134</v>
      </c>
    </row>
    <row r="256" spans="14:17">
      <c r="N256" t="s">
        <v>448</v>
      </c>
      <c r="P256" s="12" t="s">
        <v>667</v>
      </c>
      <c r="Q256" s="12">
        <v>30771</v>
      </c>
    </row>
    <row r="257" spans="14:17">
      <c r="N257" t="s">
        <v>450</v>
      </c>
      <c r="P257" s="12" t="s">
        <v>669</v>
      </c>
      <c r="Q257" s="12">
        <v>30771</v>
      </c>
    </row>
    <row r="258" spans="14:17">
      <c r="N258" t="s">
        <v>451</v>
      </c>
      <c r="P258" s="12" t="s">
        <v>671</v>
      </c>
      <c r="Q258" s="12">
        <v>30771</v>
      </c>
    </row>
    <row r="259" spans="14:17">
      <c r="N259" t="s">
        <v>1152</v>
      </c>
      <c r="P259" s="12" t="s">
        <v>311</v>
      </c>
      <c r="Q259" s="12">
        <v>30771</v>
      </c>
    </row>
    <row r="260" spans="14:17">
      <c r="N260" t="s">
        <v>1153</v>
      </c>
      <c r="P260" t="s">
        <v>674</v>
      </c>
      <c r="Q260">
        <v>40258358</v>
      </c>
    </row>
    <row r="261" spans="14:17">
      <c r="N261" t="s">
        <v>453</v>
      </c>
      <c r="P261" t="s">
        <v>676</v>
      </c>
      <c r="Q261">
        <v>40258358</v>
      </c>
    </row>
    <row r="262" spans="14:17">
      <c r="N262" t="s">
        <v>1156</v>
      </c>
      <c r="P262" s="12" t="s">
        <v>678</v>
      </c>
      <c r="Q262" s="12">
        <v>12798</v>
      </c>
    </row>
    <row r="263" spans="14:17">
      <c r="N263" t="s">
        <v>1158</v>
      </c>
      <c r="P263" t="s">
        <v>680</v>
      </c>
      <c r="Q263" s="12">
        <v>12798</v>
      </c>
    </row>
    <row r="264" spans="14:17">
      <c r="N264" t="s">
        <v>454</v>
      </c>
      <c r="P264" s="12" t="s">
        <v>682</v>
      </c>
      <c r="Q264" s="12">
        <v>46713073</v>
      </c>
    </row>
    <row r="265" spans="14:17">
      <c r="N265" t="s">
        <v>1162</v>
      </c>
      <c r="P265" s="12" t="s">
        <v>684</v>
      </c>
      <c r="Q265" s="12">
        <v>46713073</v>
      </c>
    </row>
    <row r="266" spans="14:17">
      <c r="N266" t="s">
        <v>1166</v>
      </c>
      <c r="P266" s="12" t="s">
        <v>2521</v>
      </c>
      <c r="Q266" s="12">
        <v>46713073</v>
      </c>
    </row>
    <row r="267" spans="14:17">
      <c r="N267" t="s">
        <v>1170</v>
      </c>
      <c r="P267" s="12" t="s">
        <v>687</v>
      </c>
      <c r="Q267" s="12">
        <v>46713073</v>
      </c>
    </row>
    <row r="268" spans="14:17">
      <c r="N268" t="s">
        <v>1171</v>
      </c>
      <c r="P268" t="s">
        <v>2489</v>
      </c>
      <c r="Q268">
        <v>45476954</v>
      </c>
    </row>
    <row r="269" spans="14:17">
      <c r="N269" t="s">
        <v>1174</v>
      </c>
      <c r="P269" s="12" t="s">
        <v>689</v>
      </c>
      <c r="Q269" s="12">
        <v>34905705</v>
      </c>
    </row>
    <row r="270" spans="14:17">
      <c r="N270" t="s">
        <v>1178</v>
      </c>
      <c r="P270" s="12" t="s">
        <v>314</v>
      </c>
      <c r="Q270" s="12">
        <v>34905705</v>
      </c>
    </row>
    <row r="271" spans="14:17">
      <c r="N271" t="s">
        <v>456</v>
      </c>
      <c r="P271" s="12" t="s">
        <v>692</v>
      </c>
      <c r="Q271" s="12">
        <v>39918244</v>
      </c>
    </row>
    <row r="272" spans="14:17">
      <c r="N272" t="s">
        <v>1180</v>
      </c>
      <c r="P272" s="12" t="s">
        <v>694</v>
      </c>
      <c r="Q272" s="12">
        <v>42147421</v>
      </c>
    </row>
    <row r="273" spans="14:17">
      <c r="N273" t="s">
        <v>1185</v>
      </c>
      <c r="P273" s="12" t="s">
        <v>317</v>
      </c>
      <c r="Q273" s="12">
        <v>42147421</v>
      </c>
    </row>
    <row r="274" spans="14:17">
      <c r="N274" t="s">
        <v>458</v>
      </c>
      <c r="P274" s="12" t="s">
        <v>320</v>
      </c>
      <c r="Q274" s="12">
        <v>44640705</v>
      </c>
    </row>
    <row r="275" spans="14:17">
      <c r="N275" t="s">
        <v>1191</v>
      </c>
      <c r="P275" s="12" t="s">
        <v>698</v>
      </c>
      <c r="Q275" s="12">
        <v>44640705</v>
      </c>
    </row>
    <row r="276" spans="14:17">
      <c r="N276" t="s">
        <v>1193</v>
      </c>
      <c r="P276" t="s">
        <v>700</v>
      </c>
      <c r="Q276">
        <v>20384196</v>
      </c>
    </row>
    <row r="277" spans="14:17">
      <c r="N277" t="s">
        <v>1196</v>
      </c>
      <c r="P277" t="s">
        <v>702</v>
      </c>
      <c r="Q277">
        <v>20384196</v>
      </c>
    </row>
    <row r="278" spans="14:17">
      <c r="N278" t="s">
        <v>1198</v>
      </c>
      <c r="P278" t="s">
        <v>704</v>
      </c>
      <c r="Q278">
        <v>20384196</v>
      </c>
    </row>
    <row r="279" spans="14:17">
      <c r="N279" t="s">
        <v>460</v>
      </c>
      <c r="P279" s="12" t="s">
        <v>706</v>
      </c>
      <c r="Q279" s="12">
        <v>42586585</v>
      </c>
    </row>
    <row r="280" spans="14:17">
      <c r="N280" t="s">
        <v>462</v>
      </c>
      <c r="P280" s="12" t="s">
        <v>323</v>
      </c>
      <c r="Q280" s="12">
        <v>42586585</v>
      </c>
    </row>
    <row r="281" spans="14:17">
      <c r="N281" t="s">
        <v>1203</v>
      </c>
      <c r="P281" s="12" t="s">
        <v>709</v>
      </c>
      <c r="Q281" s="12">
        <v>42821138</v>
      </c>
    </row>
    <row r="282" spans="14:17">
      <c r="N282" t="s">
        <v>464</v>
      </c>
      <c r="P282" s="12" t="s">
        <v>711</v>
      </c>
      <c r="Q282" s="12">
        <v>41739142</v>
      </c>
    </row>
    <row r="283" spans="14:17">
      <c r="N283" t="s">
        <v>1205</v>
      </c>
      <c r="P283" s="12" t="s">
        <v>713</v>
      </c>
      <c r="Q283" s="12">
        <v>40657468</v>
      </c>
    </row>
    <row r="284" spans="14:17">
      <c r="N284" t="s">
        <v>1206</v>
      </c>
      <c r="P284" s="12" t="s">
        <v>326</v>
      </c>
      <c r="Q284" s="12">
        <v>40657468</v>
      </c>
    </row>
    <row r="285" spans="14:17">
      <c r="N285" t="s">
        <v>465</v>
      </c>
      <c r="P285" s="12" t="s">
        <v>2522</v>
      </c>
      <c r="Q285" s="12">
        <v>40657468</v>
      </c>
    </row>
    <row r="286" spans="14:17">
      <c r="N286" t="s">
        <v>1210</v>
      </c>
      <c r="P286" s="12" t="s">
        <v>717</v>
      </c>
      <c r="Q286" s="12">
        <v>30873922</v>
      </c>
    </row>
    <row r="287" spans="14:17">
      <c r="N287" t="s">
        <v>467</v>
      </c>
      <c r="P287" s="12" t="s">
        <v>719</v>
      </c>
      <c r="Q287" s="12">
        <v>30873922</v>
      </c>
    </row>
    <row r="288" spans="14:17">
      <c r="N288" t="s">
        <v>1215</v>
      </c>
      <c r="P288" s="12" t="s">
        <v>721</v>
      </c>
      <c r="Q288" s="12">
        <v>30873922</v>
      </c>
    </row>
    <row r="289" spans="14:17">
      <c r="N289" t="s">
        <v>469</v>
      </c>
      <c r="P289" t="s">
        <v>2477</v>
      </c>
      <c r="Q289" s="12">
        <v>44484098</v>
      </c>
    </row>
    <row r="290" spans="14:17">
      <c r="N290" t="s">
        <v>471</v>
      </c>
      <c r="P290" s="12" t="s">
        <v>723</v>
      </c>
      <c r="Q290" s="12">
        <v>43896575</v>
      </c>
    </row>
    <row r="291" spans="14:17">
      <c r="N291" t="s">
        <v>1220</v>
      </c>
      <c r="P291" s="12" t="s">
        <v>725</v>
      </c>
      <c r="Q291" s="12">
        <v>43896575</v>
      </c>
    </row>
    <row r="292" spans="14:17">
      <c r="N292" t="s">
        <v>1221</v>
      </c>
      <c r="P292" s="12" t="s">
        <v>329</v>
      </c>
      <c r="Q292" s="12">
        <v>43896575</v>
      </c>
    </row>
    <row r="293" spans="14:17">
      <c r="N293" t="s">
        <v>473</v>
      </c>
      <c r="P293" s="12" t="s">
        <v>728</v>
      </c>
      <c r="Q293" s="12">
        <v>43779589</v>
      </c>
    </row>
    <row r="294" spans="14:17">
      <c r="N294" t="s">
        <v>475</v>
      </c>
      <c r="P294" s="12" t="s">
        <v>2523</v>
      </c>
      <c r="Q294" s="12">
        <v>43779589</v>
      </c>
    </row>
    <row r="295" spans="14:17">
      <c r="N295" t="s">
        <v>477</v>
      </c>
      <c r="P295" s="12" t="s">
        <v>731</v>
      </c>
      <c r="Q295" s="12">
        <v>37880124</v>
      </c>
    </row>
    <row r="296" spans="14:17">
      <c r="N296" t="s">
        <v>479</v>
      </c>
      <c r="P296" s="12" t="s">
        <v>733</v>
      </c>
      <c r="Q296" s="12">
        <v>44532369</v>
      </c>
    </row>
    <row r="297" spans="14:17">
      <c r="N297" t="s">
        <v>1233</v>
      </c>
      <c r="P297" t="s">
        <v>735</v>
      </c>
      <c r="Q297" s="12">
        <v>10239</v>
      </c>
    </row>
    <row r="298" spans="14:17">
      <c r="N298" t="s">
        <v>1234</v>
      </c>
      <c r="P298" s="12" t="s">
        <v>737</v>
      </c>
      <c r="Q298" s="12">
        <v>10239</v>
      </c>
    </row>
    <row r="299" spans="14:17">
      <c r="N299" t="s">
        <v>1239</v>
      </c>
      <c r="P299" t="s">
        <v>2506</v>
      </c>
      <c r="Q299" s="12">
        <v>10239</v>
      </c>
    </row>
    <row r="300" spans="14:17">
      <c r="N300" t="s">
        <v>480</v>
      </c>
      <c r="P300" s="12" t="s">
        <v>332</v>
      </c>
      <c r="Q300" s="12">
        <v>10239</v>
      </c>
    </row>
    <row r="301" spans="14:17">
      <c r="N301" t="s">
        <v>1247</v>
      </c>
      <c r="P301" s="12" t="s">
        <v>335</v>
      </c>
      <c r="Q301" s="12">
        <v>12881</v>
      </c>
    </row>
    <row r="302" spans="14:17">
      <c r="N302" t="s">
        <v>482</v>
      </c>
      <c r="P302" s="12" t="s">
        <v>741</v>
      </c>
      <c r="Q302" s="12">
        <v>37679065</v>
      </c>
    </row>
    <row r="303" spans="14:17">
      <c r="N303" t="s">
        <v>484</v>
      </c>
      <c r="P303" t="s">
        <v>743</v>
      </c>
      <c r="Q303">
        <v>37679065</v>
      </c>
    </row>
    <row r="304" spans="14:17">
      <c r="N304" t="s">
        <v>486</v>
      </c>
      <c r="P304" t="s">
        <v>745</v>
      </c>
      <c r="Q304" s="12">
        <v>10239</v>
      </c>
    </row>
    <row r="305" spans="14:17">
      <c r="N305" t="s">
        <v>488</v>
      </c>
      <c r="P305" t="s">
        <v>747</v>
      </c>
      <c r="Q305" s="12">
        <v>10239</v>
      </c>
    </row>
    <row r="306" spans="14:17">
      <c r="N306" t="s">
        <v>1253</v>
      </c>
      <c r="P306" s="12" t="s">
        <v>749</v>
      </c>
      <c r="Q306" s="12">
        <v>12755</v>
      </c>
    </row>
    <row r="307" spans="14:17">
      <c r="N307" t="s">
        <v>1254</v>
      </c>
      <c r="P307" t="s">
        <v>751</v>
      </c>
      <c r="Q307">
        <v>22367119</v>
      </c>
    </row>
    <row r="308" spans="14:17">
      <c r="N308" t="s">
        <v>1257</v>
      </c>
      <c r="P308" t="s">
        <v>753</v>
      </c>
      <c r="Q308">
        <v>22367119</v>
      </c>
    </row>
    <row r="309" spans="14:17">
      <c r="N309" t="s">
        <v>490</v>
      </c>
      <c r="P309" t="s">
        <v>755</v>
      </c>
      <c r="Q309">
        <v>22367119</v>
      </c>
    </row>
    <row r="310" spans="14:17">
      <c r="N310" t="s">
        <v>492</v>
      </c>
      <c r="P310" s="12" t="s">
        <v>757</v>
      </c>
      <c r="Q310" s="12">
        <v>70062</v>
      </c>
    </row>
    <row r="311" spans="14:17">
      <c r="N311" t="s">
        <v>1267</v>
      </c>
      <c r="P311" s="12" t="s">
        <v>759</v>
      </c>
      <c r="Q311" s="12">
        <v>36552867</v>
      </c>
    </row>
    <row r="312" spans="14:17">
      <c r="N312" t="s">
        <v>494</v>
      </c>
      <c r="P312" s="12" t="s">
        <v>337</v>
      </c>
      <c r="Q312" s="12">
        <v>12755</v>
      </c>
    </row>
    <row r="313" spans="14:17">
      <c r="N313" t="s">
        <v>496</v>
      </c>
      <c r="P313" t="s">
        <v>762</v>
      </c>
      <c r="Q313">
        <v>22367119</v>
      </c>
    </row>
    <row r="314" spans="14:17">
      <c r="N314" t="s">
        <v>498</v>
      </c>
      <c r="P314" t="s">
        <v>2435</v>
      </c>
      <c r="Q314" s="12">
        <v>47491259</v>
      </c>
    </row>
    <row r="315" spans="14:17">
      <c r="N315" t="s">
        <v>500</v>
      </c>
      <c r="P315" s="12" t="s">
        <v>764</v>
      </c>
      <c r="Q315" s="12">
        <v>47491259</v>
      </c>
    </row>
    <row r="316" spans="14:17">
      <c r="N316" t="s">
        <v>1273</v>
      </c>
      <c r="P316" t="s">
        <v>766</v>
      </c>
      <c r="Q316">
        <v>47491259</v>
      </c>
    </row>
    <row r="317" spans="14:17">
      <c r="N317" t="s">
        <v>1274</v>
      </c>
      <c r="P317" s="12" t="s">
        <v>768</v>
      </c>
      <c r="Q317" s="12">
        <v>36786040</v>
      </c>
    </row>
    <row r="318" spans="14:17">
      <c r="N318" t="s">
        <v>1276</v>
      </c>
      <c r="P318" s="12" t="s">
        <v>340</v>
      </c>
      <c r="Q318" s="12">
        <v>34999122</v>
      </c>
    </row>
    <row r="319" spans="14:17">
      <c r="N319" t="s">
        <v>502</v>
      </c>
      <c r="P319" s="12" t="s">
        <v>771</v>
      </c>
      <c r="Q319" s="12">
        <v>34999122</v>
      </c>
    </row>
    <row r="320" spans="14:17">
      <c r="N320" t="s">
        <v>1279</v>
      </c>
      <c r="P320" t="s">
        <v>773</v>
      </c>
      <c r="Q320" s="12">
        <v>34999122</v>
      </c>
    </row>
    <row r="321" spans="14:17">
      <c r="N321" t="s">
        <v>1282</v>
      </c>
      <c r="P321" s="12" t="s">
        <v>775</v>
      </c>
      <c r="Q321" s="12" t="s">
        <v>776</v>
      </c>
    </row>
    <row r="322" spans="14:17">
      <c r="N322" t="s">
        <v>504</v>
      </c>
      <c r="P322" s="12" t="s">
        <v>778</v>
      </c>
      <c r="Q322" s="12">
        <v>42930433</v>
      </c>
    </row>
    <row r="323" spans="14:17">
      <c r="N323" t="s">
        <v>1292</v>
      </c>
      <c r="P323" s="12" t="s">
        <v>780</v>
      </c>
      <c r="Q323" s="12">
        <v>42930433</v>
      </c>
    </row>
    <row r="324" spans="14:17">
      <c r="N324" t="s">
        <v>2616</v>
      </c>
      <c r="P324" s="12" t="s">
        <v>782</v>
      </c>
      <c r="Q324" s="12">
        <v>42930433</v>
      </c>
    </row>
    <row r="325" spans="14:17">
      <c r="N325" t="s">
        <v>506</v>
      </c>
      <c r="P325" t="s">
        <v>784</v>
      </c>
      <c r="Q325" s="12">
        <v>47491259</v>
      </c>
    </row>
    <row r="326" spans="14:17">
      <c r="N326" t="s">
        <v>1295</v>
      </c>
      <c r="P326" s="12" t="s">
        <v>786</v>
      </c>
      <c r="Q326" s="12">
        <v>47491259</v>
      </c>
    </row>
    <row r="327" spans="14:17">
      <c r="N327" t="s">
        <v>508</v>
      </c>
      <c r="P327" s="12" t="s">
        <v>788</v>
      </c>
      <c r="Q327" s="12">
        <v>41572076</v>
      </c>
    </row>
    <row r="328" spans="14:17">
      <c r="N328" t="s">
        <v>509</v>
      </c>
      <c r="P328" s="12" t="s">
        <v>790</v>
      </c>
      <c r="Q328" s="12">
        <v>41572076</v>
      </c>
    </row>
    <row r="329" spans="14:17">
      <c r="N329" t="s">
        <v>511</v>
      </c>
      <c r="P329" s="12" t="s">
        <v>343</v>
      </c>
      <c r="Q329" s="12">
        <v>41572076</v>
      </c>
    </row>
    <row r="330" spans="14:17">
      <c r="N330" t="s">
        <v>1303</v>
      </c>
      <c r="P330" t="s">
        <v>793</v>
      </c>
      <c r="Q330">
        <v>43170624</v>
      </c>
    </row>
    <row r="331" spans="14:17">
      <c r="N331" t="s">
        <v>512</v>
      </c>
      <c r="P331" t="s">
        <v>795</v>
      </c>
      <c r="Q331">
        <v>43170624</v>
      </c>
    </row>
    <row r="332" spans="14:17">
      <c r="N332" t="s">
        <v>1307</v>
      </c>
      <c r="P332" t="s">
        <v>797</v>
      </c>
      <c r="Q332">
        <v>43170624</v>
      </c>
    </row>
    <row r="333" spans="14:17">
      <c r="N333" t="s">
        <v>1310</v>
      </c>
      <c r="P333" s="12" t="s">
        <v>799</v>
      </c>
      <c r="Q333" s="12">
        <v>44006317</v>
      </c>
    </row>
    <row r="334" spans="14:17">
      <c r="N334" t="s">
        <v>1314</v>
      </c>
      <c r="P334" s="12" t="s">
        <v>346</v>
      </c>
      <c r="Q334" s="12">
        <v>44006317</v>
      </c>
    </row>
    <row r="335" spans="14:17">
      <c r="N335" t="s">
        <v>1315</v>
      </c>
      <c r="P335" s="12" t="s">
        <v>802</v>
      </c>
      <c r="Q335" s="12">
        <v>36787709</v>
      </c>
    </row>
    <row r="336" spans="14:17">
      <c r="N336" t="s">
        <v>1322</v>
      </c>
      <c r="P336" s="12" t="s">
        <v>348</v>
      </c>
      <c r="Q336" s="12">
        <v>43259387</v>
      </c>
    </row>
    <row r="337" spans="14:17">
      <c r="N337" t="s">
        <v>1324</v>
      </c>
      <c r="P337" s="12" t="s">
        <v>2524</v>
      </c>
      <c r="Q337" s="12">
        <v>43259387</v>
      </c>
    </row>
    <row r="338" spans="14:17">
      <c r="N338" t="s">
        <v>1326</v>
      </c>
      <c r="P338" t="s">
        <v>806</v>
      </c>
      <c r="Q338">
        <v>11407</v>
      </c>
    </row>
    <row r="339" spans="14:17">
      <c r="N339" t="s">
        <v>1328</v>
      </c>
      <c r="P339" s="12" t="s">
        <v>808</v>
      </c>
      <c r="Q339" s="12">
        <v>34369092</v>
      </c>
    </row>
    <row r="340" spans="14:17">
      <c r="N340" t="s">
        <v>1333</v>
      </c>
      <c r="P340" s="12" t="s">
        <v>810</v>
      </c>
      <c r="Q340" s="12">
        <v>34369092</v>
      </c>
    </row>
    <row r="341" spans="14:17">
      <c r="N341" t="s">
        <v>2617</v>
      </c>
      <c r="P341" s="12" t="s">
        <v>351</v>
      </c>
      <c r="Q341" s="12">
        <v>34369092</v>
      </c>
    </row>
    <row r="342" spans="14:17">
      <c r="N342" t="s">
        <v>517</v>
      </c>
      <c r="P342" s="12" t="s">
        <v>813</v>
      </c>
      <c r="Q342" s="12">
        <v>34369092</v>
      </c>
    </row>
    <row r="343" spans="14:17">
      <c r="N343" t="s">
        <v>1340</v>
      </c>
      <c r="P343" s="12" t="s">
        <v>815</v>
      </c>
      <c r="Q343" s="12">
        <v>34369092</v>
      </c>
    </row>
    <row r="344" spans="14:17">
      <c r="N344" t="s">
        <v>1348</v>
      </c>
      <c r="P344" s="12" t="s">
        <v>2525</v>
      </c>
      <c r="Q344" s="12">
        <v>34369092</v>
      </c>
    </row>
    <row r="345" spans="14:17">
      <c r="N345" t="s">
        <v>1349</v>
      </c>
      <c r="P345" t="s">
        <v>818</v>
      </c>
      <c r="Q345">
        <v>43238729</v>
      </c>
    </row>
    <row r="346" spans="14:17">
      <c r="N346" t="s">
        <v>518</v>
      </c>
      <c r="P346" t="s">
        <v>820</v>
      </c>
      <c r="Q346">
        <v>43238729</v>
      </c>
    </row>
    <row r="347" spans="14:17">
      <c r="N347" t="s">
        <v>1351</v>
      </c>
      <c r="P347" t="s">
        <v>822</v>
      </c>
      <c r="Q347">
        <v>43238729</v>
      </c>
    </row>
    <row r="348" spans="14:17">
      <c r="N348" t="s">
        <v>1353</v>
      </c>
      <c r="P348" s="12" t="s">
        <v>824</v>
      </c>
      <c r="Q348" s="12">
        <v>41912932</v>
      </c>
    </row>
    <row r="349" spans="14:17">
      <c r="N349" t="s">
        <v>520</v>
      </c>
      <c r="P349" s="12" t="s">
        <v>826</v>
      </c>
      <c r="Q349" s="12">
        <v>41912932</v>
      </c>
    </row>
    <row r="350" spans="14:17">
      <c r="N350" t="s">
        <v>1356</v>
      </c>
      <c r="P350" s="12" t="s">
        <v>828</v>
      </c>
      <c r="Q350" s="12">
        <v>41912932</v>
      </c>
    </row>
    <row r="351" spans="14:17">
      <c r="N351" t="s">
        <v>522</v>
      </c>
      <c r="P351" s="12" t="s">
        <v>830</v>
      </c>
      <c r="Q351" s="12">
        <v>28460124</v>
      </c>
    </row>
    <row r="352" spans="14:17">
      <c r="N352" t="s">
        <v>1359</v>
      </c>
      <c r="P352" s="12" t="s">
        <v>832</v>
      </c>
      <c r="Q352" s="12">
        <v>28460124</v>
      </c>
    </row>
    <row r="353" spans="14:17">
      <c r="N353" t="s">
        <v>1360</v>
      </c>
      <c r="P353" s="12" t="s">
        <v>354</v>
      </c>
      <c r="Q353" s="12">
        <v>28460124</v>
      </c>
    </row>
    <row r="354" spans="14:17">
      <c r="N354" t="s">
        <v>523</v>
      </c>
      <c r="P354" s="12" t="s">
        <v>835</v>
      </c>
      <c r="Q354" s="12">
        <v>28460124</v>
      </c>
    </row>
    <row r="355" spans="14:17">
      <c r="N355" t="s">
        <v>525</v>
      </c>
      <c r="P355" s="12" t="s">
        <v>837</v>
      </c>
      <c r="Q355" s="12">
        <v>28460124</v>
      </c>
    </row>
    <row r="356" spans="14:17">
      <c r="N356" t="s">
        <v>1368</v>
      </c>
      <c r="P356" t="s">
        <v>839</v>
      </c>
      <c r="Q356" s="12">
        <v>45926523</v>
      </c>
    </row>
    <row r="357" spans="14:17">
      <c r="N357" t="s">
        <v>1381</v>
      </c>
      <c r="P357" s="12" t="s">
        <v>841</v>
      </c>
      <c r="Q357" s="12">
        <v>45926523</v>
      </c>
    </row>
    <row r="358" spans="14:17">
      <c r="N358" t="s">
        <v>527</v>
      </c>
      <c r="P358" s="12" t="s">
        <v>843</v>
      </c>
      <c r="Q358" s="12">
        <v>45926523</v>
      </c>
    </row>
    <row r="359" spans="14:17">
      <c r="N359" t="s">
        <v>2618</v>
      </c>
      <c r="P359" s="12" t="s">
        <v>845</v>
      </c>
      <c r="Q359" s="12">
        <v>45926523</v>
      </c>
    </row>
    <row r="360" spans="14:17">
      <c r="N360" t="s">
        <v>1393</v>
      </c>
      <c r="P360" s="12" t="s">
        <v>847</v>
      </c>
      <c r="Q360" s="12">
        <v>45200037</v>
      </c>
    </row>
    <row r="361" spans="14:17">
      <c r="N361" t="s">
        <v>529</v>
      </c>
      <c r="P361" s="12" t="s">
        <v>849</v>
      </c>
      <c r="Q361" s="12">
        <v>34438655</v>
      </c>
    </row>
    <row r="362" spans="14:17">
      <c r="N362" t="s">
        <v>1396</v>
      </c>
      <c r="P362" s="12" t="s">
        <v>851</v>
      </c>
      <c r="Q362" s="12">
        <v>34438655</v>
      </c>
    </row>
    <row r="363" spans="14:17">
      <c r="N363" t="s">
        <v>1397</v>
      </c>
      <c r="P363" t="s">
        <v>853</v>
      </c>
      <c r="Q363" s="12">
        <v>96081789</v>
      </c>
    </row>
    <row r="364" spans="14:17">
      <c r="N364" t="s">
        <v>531</v>
      </c>
      <c r="P364" t="s">
        <v>855</v>
      </c>
      <c r="Q364">
        <v>96081789</v>
      </c>
    </row>
    <row r="365" spans="14:17">
      <c r="N365" t="s">
        <v>1399</v>
      </c>
      <c r="P365" s="12" t="s">
        <v>857</v>
      </c>
      <c r="Q365" s="12">
        <v>36473628</v>
      </c>
    </row>
    <row r="366" spans="14:17">
      <c r="N366" t="s">
        <v>1401</v>
      </c>
      <c r="P366" s="12" t="s">
        <v>859</v>
      </c>
      <c r="Q366" s="12">
        <v>34480089</v>
      </c>
    </row>
    <row r="367" spans="14:17">
      <c r="N367" t="s">
        <v>533</v>
      </c>
      <c r="P367" s="12" t="s">
        <v>357</v>
      </c>
      <c r="Q367" s="12">
        <v>36297775</v>
      </c>
    </row>
    <row r="368" spans="14:17">
      <c r="N368" t="s">
        <v>1403</v>
      </c>
      <c r="P368" t="s">
        <v>862</v>
      </c>
      <c r="Q368" s="12">
        <v>36297775</v>
      </c>
    </row>
    <row r="369" spans="14:17">
      <c r="N369" t="s">
        <v>534</v>
      </c>
      <c r="P369" s="12" t="s">
        <v>359</v>
      </c>
      <c r="Q369" s="12">
        <v>13466</v>
      </c>
    </row>
    <row r="370" spans="14:17">
      <c r="N370" t="s">
        <v>536</v>
      </c>
      <c r="P370" s="12" t="s">
        <v>865</v>
      </c>
      <c r="Q370" s="12">
        <v>41027053</v>
      </c>
    </row>
    <row r="371" spans="14:17">
      <c r="N371" t="s">
        <v>538</v>
      </c>
      <c r="P371" s="12" t="s">
        <v>867</v>
      </c>
      <c r="Q371" s="12">
        <v>32445282</v>
      </c>
    </row>
    <row r="372" spans="14:17">
      <c r="N372" t="s">
        <v>1410</v>
      </c>
      <c r="P372" s="12" t="s">
        <v>362</v>
      </c>
      <c r="Q372" s="12">
        <v>41027053</v>
      </c>
    </row>
    <row r="373" spans="14:17">
      <c r="N373" t="s">
        <v>1412</v>
      </c>
      <c r="P373" s="12" t="s">
        <v>365</v>
      </c>
      <c r="Q373" s="12">
        <v>32445282</v>
      </c>
    </row>
    <row r="374" spans="14:17">
      <c r="N374" t="s">
        <v>1414</v>
      </c>
      <c r="P374" s="12" t="s">
        <v>871</v>
      </c>
      <c r="Q374" s="12">
        <v>41560271</v>
      </c>
    </row>
    <row r="375" spans="14:17">
      <c r="N375" t="s">
        <v>1415</v>
      </c>
      <c r="P375" s="12" t="s">
        <v>873</v>
      </c>
      <c r="Q375" s="12">
        <v>28801388</v>
      </c>
    </row>
    <row r="376" spans="14:17">
      <c r="N376" t="s">
        <v>540</v>
      </c>
      <c r="P376" s="12" t="s">
        <v>875</v>
      </c>
      <c r="Q376" s="12">
        <v>22191488</v>
      </c>
    </row>
    <row r="377" spans="14:17">
      <c r="N377" t="s">
        <v>1422</v>
      </c>
      <c r="P377" s="12" t="s">
        <v>366</v>
      </c>
      <c r="Q377" s="12">
        <v>44486085</v>
      </c>
    </row>
    <row r="378" spans="14:17">
      <c r="N378" t="s">
        <v>1424</v>
      </c>
      <c r="P378" s="12" t="s">
        <v>878</v>
      </c>
      <c r="Q378" s="12">
        <v>39744132</v>
      </c>
    </row>
    <row r="379" spans="14:17">
      <c r="N379" t="s">
        <v>1426</v>
      </c>
      <c r="P379" s="12" t="s">
        <v>368</v>
      </c>
      <c r="Q379" s="12">
        <v>41465653</v>
      </c>
    </row>
    <row r="380" spans="14:17">
      <c r="N380" t="s">
        <v>1429</v>
      </c>
      <c r="P380" s="12" t="s">
        <v>881</v>
      </c>
      <c r="Q380" s="12">
        <v>41465653</v>
      </c>
    </row>
    <row r="381" spans="14:17">
      <c r="N381" t="s">
        <v>542</v>
      </c>
      <c r="P381" s="12" t="s">
        <v>883</v>
      </c>
      <c r="Q381" s="12">
        <v>41465653</v>
      </c>
    </row>
    <row r="382" spans="14:17">
      <c r="N382" t="s">
        <v>1435</v>
      </c>
      <c r="P382" s="12" t="s">
        <v>885</v>
      </c>
      <c r="Q382" s="12">
        <v>36552867</v>
      </c>
    </row>
    <row r="383" spans="14:17">
      <c r="N383" t="s">
        <v>2446</v>
      </c>
      <c r="P383" s="12" t="s">
        <v>370</v>
      </c>
      <c r="Q383" s="12">
        <v>36552867</v>
      </c>
    </row>
    <row r="384" spans="14:17">
      <c r="N384" t="s">
        <v>544</v>
      </c>
      <c r="P384" s="12" t="s">
        <v>888</v>
      </c>
      <c r="Q384" s="12">
        <v>36552867</v>
      </c>
    </row>
    <row r="385" spans="14:17">
      <c r="N385" t="s">
        <v>1444</v>
      </c>
      <c r="P385" s="12" t="s">
        <v>890</v>
      </c>
      <c r="Q385" s="12">
        <v>22191488</v>
      </c>
    </row>
    <row r="386" spans="14:17">
      <c r="N386" t="s">
        <v>546</v>
      </c>
      <c r="P386" s="12" t="s">
        <v>371</v>
      </c>
      <c r="Q386" s="12">
        <v>22191488</v>
      </c>
    </row>
    <row r="387" spans="14:17">
      <c r="N387" t="s">
        <v>1446</v>
      </c>
      <c r="P387" t="s">
        <v>893</v>
      </c>
      <c r="Q387">
        <v>77084</v>
      </c>
    </row>
    <row r="388" spans="14:17">
      <c r="N388" t="s">
        <v>547</v>
      </c>
      <c r="P388" s="12" t="s">
        <v>895</v>
      </c>
      <c r="Q388" s="12">
        <v>44186247</v>
      </c>
    </row>
    <row r="389" spans="14:17">
      <c r="N389" t="s">
        <v>549</v>
      </c>
      <c r="P389" s="12" t="s">
        <v>897</v>
      </c>
      <c r="Q389" s="12">
        <v>43444086</v>
      </c>
    </row>
    <row r="390" spans="14:17">
      <c r="N390" t="s">
        <v>2494</v>
      </c>
      <c r="P390" s="12" t="s">
        <v>372</v>
      </c>
      <c r="Q390" s="12">
        <v>44186247</v>
      </c>
    </row>
    <row r="391" spans="14:17">
      <c r="N391" t="s">
        <v>550</v>
      </c>
      <c r="P391" s="12" t="s">
        <v>900</v>
      </c>
      <c r="Q391" s="12">
        <v>43444086</v>
      </c>
    </row>
    <row r="392" spans="14:17">
      <c r="N392" t="s">
        <v>1453</v>
      </c>
      <c r="P392" t="s">
        <v>902</v>
      </c>
      <c r="Q392">
        <v>43444086</v>
      </c>
    </row>
    <row r="393" spans="14:17">
      <c r="N393" t="s">
        <v>1458</v>
      </c>
      <c r="P393" s="12" t="s">
        <v>904</v>
      </c>
      <c r="Q393" s="12">
        <v>41738119</v>
      </c>
    </row>
    <row r="394" spans="14:17">
      <c r="N394" t="s">
        <v>552</v>
      </c>
      <c r="P394" s="12" t="s">
        <v>906</v>
      </c>
      <c r="Q394" s="12">
        <v>32092416</v>
      </c>
    </row>
    <row r="395" spans="14:17">
      <c r="N395" t="s">
        <v>554</v>
      </c>
      <c r="P395" t="s">
        <v>908</v>
      </c>
      <c r="Q395">
        <v>29542439</v>
      </c>
    </row>
    <row r="396" spans="14:17">
      <c r="N396" t="s">
        <v>1459</v>
      </c>
      <c r="P396" s="12" t="s">
        <v>374</v>
      </c>
      <c r="Q396" s="12">
        <v>33665</v>
      </c>
    </row>
    <row r="397" spans="14:17">
      <c r="N397" t="s">
        <v>1460</v>
      </c>
      <c r="P397" s="12" t="s">
        <v>911</v>
      </c>
      <c r="Q397" s="12">
        <v>47700137</v>
      </c>
    </row>
    <row r="398" spans="14:17">
      <c r="N398" t="s">
        <v>556</v>
      </c>
      <c r="P398" t="s">
        <v>913</v>
      </c>
      <c r="Q398" s="12">
        <v>47700137</v>
      </c>
    </row>
    <row r="399" spans="14:17">
      <c r="N399" t="s">
        <v>1463</v>
      </c>
      <c r="P399" s="12" t="s">
        <v>915</v>
      </c>
      <c r="Q399" s="12">
        <v>47700137</v>
      </c>
    </row>
    <row r="400" spans="14:17">
      <c r="N400" t="s">
        <v>558</v>
      </c>
      <c r="P400" s="12" t="s">
        <v>917</v>
      </c>
      <c r="Q400" s="12">
        <v>47700137</v>
      </c>
    </row>
    <row r="401" spans="14:17">
      <c r="N401" t="s">
        <v>1466</v>
      </c>
      <c r="P401" s="12" t="s">
        <v>919</v>
      </c>
      <c r="Q401" s="12">
        <v>47700137</v>
      </c>
    </row>
    <row r="402" spans="14:17">
      <c r="N402" t="s">
        <v>1468</v>
      </c>
      <c r="P402" t="s">
        <v>921</v>
      </c>
      <c r="Q402">
        <v>33091</v>
      </c>
    </row>
    <row r="403" spans="14:17">
      <c r="N403" t="s">
        <v>559</v>
      </c>
      <c r="P403" s="12" t="s">
        <v>923</v>
      </c>
      <c r="Q403" s="12">
        <v>33091</v>
      </c>
    </row>
    <row r="404" spans="14:17">
      <c r="N404" t="s">
        <v>561</v>
      </c>
      <c r="P404" s="12" t="s">
        <v>376</v>
      </c>
      <c r="Q404" s="12">
        <v>33091</v>
      </c>
    </row>
    <row r="405" spans="14:17">
      <c r="N405" t="s">
        <v>563</v>
      </c>
      <c r="P405" s="12" t="s">
        <v>377</v>
      </c>
      <c r="Q405" s="12">
        <v>31650919</v>
      </c>
    </row>
    <row r="406" spans="14:17">
      <c r="N406" t="s">
        <v>1478</v>
      </c>
      <c r="P406" t="s">
        <v>927</v>
      </c>
      <c r="Q406" s="12">
        <v>43659406</v>
      </c>
    </row>
    <row r="407" spans="14:17">
      <c r="N407" t="s">
        <v>1479</v>
      </c>
      <c r="P407" s="12" t="s">
        <v>929</v>
      </c>
      <c r="Q407" s="12">
        <v>43659406</v>
      </c>
    </row>
    <row r="408" spans="14:17">
      <c r="N408" t="s">
        <v>1480</v>
      </c>
      <c r="P408" s="12" t="s">
        <v>2526</v>
      </c>
      <c r="Q408" s="12">
        <v>43659406</v>
      </c>
    </row>
    <row r="409" spans="14:17">
      <c r="N409" t="s">
        <v>1484</v>
      </c>
      <c r="P409" s="12" t="s">
        <v>932</v>
      </c>
      <c r="Q409" s="12">
        <v>43659406</v>
      </c>
    </row>
    <row r="410" spans="14:17">
      <c r="N410" t="s">
        <v>565</v>
      </c>
      <c r="P410" s="12" t="s">
        <v>2527</v>
      </c>
      <c r="Q410" s="12">
        <v>43659406</v>
      </c>
    </row>
    <row r="411" spans="14:17">
      <c r="N411" t="s">
        <v>567</v>
      </c>
      <c r="P411" s="12" t="s">
        <v>379</v>
      </c>
      <c r="Q411" s="12">
        <v>43659406</v>
      </c>
    </row>
    <row r="412" spans="14:17">
      <c r="N412" t="s">
        <v>1488</v>
      </c>
      <c r="P412" s="12" t="s">
        <v>936</v>
      </c>
      <c r="Q412" s="12">
        <v>32003476</v>
      </c>
    </row>
    <row r="413" spans="14:17">
      <c r="N413" t="s">
        <v>1489</v>
      </c>
      <c r="P413" s="12" t="s">
        <v>380</v>
      </c>
      <c r="Q413" s="12">
        <v>32003476</v>
      </c>
    </row>
    <row r="414" spans="14:17">
      <c r="N414" t="s">
        <v>1491</v>
      </c>
      <c r="P414" s="12" t="s">
        <v>939</v>
      </c>
      <c r="Q414" s="12">
        <v>36643657</v>
      </c>
    </row>
    <row r="415" spans="14:17">
      <c r="N415" t="s">
        <v>1492</v>
      </c>
      <c r="P415" s="12" t="s">
        <v>941</v>
      </c>
      <c r="Q415" s="12">
        <v>36643657</v>
      </c>
    </row>
    <row r="416" spans="14:17">
      <c r="N416" t="s">
        <v>1495</v>
      </c>
      <c r="P416" t="s">
        <v>943</v>
      </c>
      <c r="Q416">
        <v>30081588</v>
      </c>
    </row>
    <row r="417" spans="14:17">
      <c r="N417" t="s">
        <v>1497</v>
      </c>
      <c r="P417" t="s">
        <v>945</v>
      </c>
      <c r="Q417">
        <v>30081588</v>
      </c>
    </row>
    <row r="418" spans="14:17">
      <c r="N418" t="s">
        <v>1498</v>
      </c>
      <c r="P418" s="12" t="s">
        <v>947</v>
      </c>
      <c r="Q418" s="12">
        <v>33256306</v>
      </c>
    </row>
    <row r="419" spans="14:17">
      <c r="N419" t="s">
        <v>569</v>
      </c>
      <c r="P419" t="s">
        <v>949</v>
      </c>
      <c r="Q419" s="12">
        <v>36405101</v>
      </c>
    </row>
    <row r="420" spans="14:17">
      <c r="N420" t="s">
        <v>1501</v>
      </c>
      <c r="P420" t="s">
        <v>950</v>
      </c>
      <c r="Q420" s="12">
        <v>36405101</v>
      </c>
    </row>
    <row r="421" spans="14:17">
      <c r="N421" t="s">
        <v>570</v>
      </c>
      <c r="P421" t="s">
        <v>951</v>
      </c>
      <c r="Q421" s="12">
        <v>36405101</v>
      </c>
    </row>
    <row r="422" spans="14:17">
      <c r="N422" t="s">
        <v>572</v>
      </c>
      <c r="P422" s="12" t="s">
        <v>952</v>
      </c>
      <c r="Q422" s="12">
        <v>33256306</v>
      </c>
    </row>
    <row r="423" spans="14:17">
      <c r="N423" t="s">
        <v>1508</v>
      </c>
      <c r="P423" s="12" t="s">
        <v>382</v>
      </c>
      <c r="Q423" s="12">
        <v>33256306</v>
      </c>
    </row>
    <row r="424" spans="14:17">
      <c r="N424" t="s">
        <v>1509</v>
      </c>
      <c r="P424" t="s">
        <v>953</v>
      </c>
      <c r="Q424">
        <v>30081588</v>
      </c>
    </row>
    <row r="425" spans="14:17">
      <c r="N425" t="s">
        <v>1511</v>
      </c>
      <c r="P425" t="s">
        <v>954</v>
      </c>
      <c r="Q425">
        <v>30081588</v>
      </c>
    </row>
    <row r="426" spans="14:17">
      <c r="N426" t="s">
        <v>1514</v>
      </c>
      <c r="P426" s="12" t="s">
        <v>384</v>
      </c>
      <c r="Q426" s="12">
        <v>36405101</v>
      </c>
    </row>
    <row r="427" spans="14:17">
      <c r="N427" t="s">
        <v>2495</v>
      </c>
      <c r="P427" s="12" t="s">
        <v>955</v>
      </c>
      <c r="Q427" s="12">
        <v>40015710</v>
      </c>
    </row>
    <row r="428" spans="14:17">
      <c r="N428" t="s">
        <v>573</v>
      </c>
      <c r="P428" s="12" t="s">
        <v>2528</v>
      </c>
      <c r="Q428" s="12">
        <v>40015710</v>
      </c>
    </row>
    <row r="429" spans="14:17">
      <c r="N429" t="s">
        <v>575</v>
      </c>
      <c r="P429" s="12" t="s">
        <v>956</v>
      </c>
      <c r="Q429" s="12">
        <v>40015710</v>
      </c>
    </row>
    <row r="430" spans="14:17">
      <c r="N430" t="s">
        <v>576</v>
      </c>
      <c r="P430" s="12" t="s">
        <v>957</v>
      </c>
      <c r="Q430" s="12">
        <v>40015710</v>
      </c>
    </row>
    <row r="431" spans="14:17">
      <c r="N431" t="s">
        <v>1522</v>
      </c>
      <c r="P431" s="12" t="s">
        <v>958</v>
      </c>
      <c r="Q431" s="12">
        <v>36164035</v>
      </c>
    </row>
    <row r="432" spans="14:17">
      <c r="N432" t="s">
        <v>1523</v>
      </c>
      <c r="P432" t="s">
        <v>959</v>
      </c>
      <c r="Q432">
        <v>39911382</v>
      </c>
    </row>
    <row r="433" spans="14:17">
      <c r="N433" t="s">
        <v>2622</v>
      </c>
      <c r="P433" t="s">
        <v>960</v>
      </c>
      <c r="Q433">
        <v>39911382</v>
      </c>
    </row>
    <row r="434" spans="14:17">
      <c r="N434" t="s">
        <v>577</v>
      </c>
      <c r="P434" t="s">
        <v>961</v>
      </c>
      <c r="Q434">
        <v>39911382</v>
      </c>
    </row>
    <row r="435" spans="14:17">
      <c r="N435" t="s">
        <v>1529</v>
      </c>
      <c r="P435" t="s">
        <v>962</v>
      </c>
      <c r="Q435">
        <v>39911382</v>
      </c>
    </row>
    <row r="436" spans="14:17">
      <c r="N436" t="s">
        <v>578</v>
      </c>
      <c r="P436" t="s">
        <v>963</v>
      </c>
      <c r="Q436">
        <v>39911382</v>
      </c>
    </row>
    <row r="437" spans="14:17">
      <c r="N437" t="s">
        <v>580</v>
      </c>
      <c r="P437" t="s">
        <v>964</v>
      </c>
      <c r="Q437">
        <v>39911382</v>
      </c>
    </row>
    <row r="438" spans="14:17">
      <c r="N438" t="s">
        <v>2496</v>
      </c>
      <c r="P438" t="s">
        <v>965</v>
      </c>
      <c r="Q438">
        <v>39911382</v>
      </c>
    </row>
    <row r="439" spans="14:17">
      <c r="N439" t="s">
        <v>1536</v>
      </c>
      <c r="P439" s="12" t="s">
        <v>966</v>
      </c>
      <c r="Q439" s="12">
        <v>40491704</v>
      </c>
    </row>
    <row r="440" spans="14:17">
      <c r="N440" t="s">
        <v>1538</v>
      </c>
      <c r="P440" s="12" t="s">
        <v>967</v>
      </c>
      <c r="Q440" s="12">
        <v>40491704</v>
      </c>
    </row>
    <row r="441" spans="14:17">
      <c r="N441" t="s">
        <v>2497</v>
      </c>
      <c r="P441" s="12" t="s">
        <v>385</v>
      </c>
      <c r="Q441" s="12">
        <v>40491704</v>
      </c>
    </row>
    <row r="442" spans="14:17">
      <c r="N442" t="s">
        <v>1539</v>
      </c>
      <c r="P442" s="12" t="s">
        <v>386</v>
      </c>
      <c r="Q442" s="12">
        <v>30893393</v>
      </c>
    </row>
    <row r="443" spans="14:17">
      <c r="N443" t="s">
        <v>582</v>
      </c>
      <c r="P443" s="12" t="s">
        <v>968</v>
      </c>
      <c r="Q443" s="12">
        <v>30893393</v>
      </c>
    </row>
    <row r="444" spans="14:17">
      <c r="N444" t="s">
        <v>1542</v>
      </c>
      <c r="P444" s="12" t="s">
        <v>969</v>
      </c>
      <c r="Q444" s="12">
        <v>39469837</v>
      </c>
    </row>
    <row r="445" spans="14:17">
      <c r="N445" t="s">
        <v>584</v>
      </c>
      <c r="P445" s="12" t="s">
        <v>970</v>
      </c>
      <c r="Q445" s="12">
        <v>39469837</v>
      </c>
    </row>
    <row r="446" spans="14:17">
      <c r="N446" t="s">
        <v>585</v>
      </c>
      <c r="P446" t="s">
        <v>971</v>
      </c>
      <c r="Q446" s="12">
        <v>39469837</v>
      </c>
    </row>
    <row r="447" spans="14:17">
      <c r="N447" t="s">
        <v>587</v>
      </c>
      <c r="P447" s="12" t="s">
        <v>388</v>
      </c>
      <c r="Q447" s="12">
        <v>39469837</v>
      </c>
    </row>
    <row r="448" spans="14:17">
      <c r="N448" t="s">
        <v>589</v>
      </c>
      <c r="P448" t="s">
        <v>972</v>
      </c>
      <c r="Q448">
        <v>42826754</v>
      </c>
    </row>
    <row r="449" spans="14:17">
      <c r="N449" t="s">
        <v>1548</v>
      </c>
      <c r="P449" t="s">
        <v>973</v>
      </c>
      <c r="Q449">
        <v>42826754</v>
      </c>
    </row>
    <row r="450" spans="14:17">
      <c r="N450" t="s">
        <v>1550</v>
      </c>
      <c r="P450" t="s">
        <v>974</v>
      </c>
      <c r="Q450">
        <v>42826754</v>
      </c>
    </row>
    <row r="451" spans="14:17">
      <c r="N451" t="s">
        <v>590</v>
      </c>
      <c r="P451" s="12" t="s">
        <v>975</v>
      </c>
      <c r="Q451" s="12">
        <v>41661559</v>
      </c>
    </row>
    <row r="452" spans="14:17">
      <c r="N452" t="s">
        <v>1555</v>
      </c>
      <c r="P452" s="12" t="s">
        <v>976</v>
      </c>
      <c r="Q452" s="12">
        <v>41661559</v>
      </c>
    </row>
    <row r="453" spans="14:17">
      <c r="N453" t="s">
        <v>592</v>
      </c>
      <c r="P453" s="12" t="s">
        <v>390</v>
      </c>
      <c r="Q453" s="12">
        <v>41661559</v>
      </c>
    </row>
    <row r="454" spans="14:17">
      <c r="N454" t="s">
        <v>1560</v>
      </c>
      <c r="P454" s="12" t="s">
        <v>977</v>
      </c>
      <c r="Q454" s="12">
        <v>41661559</v>
      </c>
    </row>
    <row r="455" spans="14:17">
      <c r="N455" t="s">
        <v>1563</v>
      </c>
      <c r="P455" s="12" t="s">
        <v>978</v>
      </c>
      <c r="Q455" s="12">
        <v>45475819</v>
      </c>
    </row>
    <row r="456" spans="14:17">
      <c r="N456" t="s">
        <v>1566</v>
      </c>
      <c r="P456" s="12" t="s">
        <v>979</v>
      </c>
      <c r="Q456" s="12">
        <v>45475819</v>
      </c>
    </row>
    <row r="457" spans="14:17">
      <c r="N457" t="s">
        <v>594</v>
      </c>
      <c r="P457" s="12" t="s">
        <v>980</v>
      </c>
      <c r="Q457" s="12">
        <v>45475819</v>
      </c>
    </row>
    <row r="458" spans="14:17">
      <c r="N458" t="s">
        <v>595</v>
      </c>
      <c r="P458" t="s">
        <v>981</v>
      </c>
      <c r="Q458">
        <v>39911382</v>
      </c>
    </row>
    <row r="459" spans="14:17">
      <c r="N459" t="s">
        <v>596</v>
      </c>
      <c r="P459" s="12" t="s">
        <v>982</v>
      </c>
      <c r="Q459" s="12">
        <v>40239387</v>
      </c>
    </row>
    <row r="460" spans="14:17">
      <c r="N460" t="s">
        <v>1575</v>
      </c>
      <c r="P460" s="12" t="s">
        <v>983</v>
      </c>
      <c r="Q460" s="12">
        <v>42721687</v>
      </c>
    </row>
    <row r="461" spans="14:17">
      <c r="N461" t="s">
        <v>1576</v>
      </c>
      <c r="P461" s="12" t="s">
        <v>984</v>
      </c>
      <c r="Q461" s="12">
        <v>40239387</v>
      </c>
    </row>
    <row r="462" spans="14:17">
      <c r="N462" t="s">
        <v>1581</v>
      </c>
      <c r="P462" s="12" t="s">
        <v>985</v>
      </c>
      <c r="Q462" s="12">
        <v>42721687</v>
      </c>
    </row>
    <row r="463" spans="14:17">
      <c r="N463" t="s">
        <v>1582</v>
      </c>
      <c r="P463" s="12" t="s">
        <v>394</v>
      </c>
      <c r="Q463" s="12">
        <v>42721687</v>
      </c>
    </row>
    <row r="464" spans="14:17">
      <c r="N464" t="s">
        <v>1584</v>
      </c>
      <c r="P464" s="12" t="s">
        <v>986</v>
      </c>
      <c r="Q464" s="12">
        <v>42721687</v>
      </c>
    </row>
    <row r="465" spans="14:17">
      <c r="N465" t="s">
        <v>1587</v>
      </c>
      <c r="P465" s="12" t="s">
        <v>987</v>
      </c>
      <c r="Q465" s="12">
        <v>40135946</v>
      </c>
    </row>
    <row r="466" spans="14:17">
      <c r="N466" t="s">
        <v>1589</v>
      </c>
      <c r="P466" s="12" t="s">
        <v>988</v>
      </c>
      <c r="Q466" s="12">
        <v>31500140</v>
      </c>
    </row>
    <row r="467" spans="14:17">
      <c r="N467" t="s">
        <v>1594</v>
      </c>
      <c r="P467" s="12" t="s">
        <v>989</v>
      </c>
      <c r="Q467" s="12">
        <v>31500140</v>
      </c>
    </row>
    <row r="468" spans="14:17">
      <c r="N468" t="s">
        <v>597</v>
      </c>
      <c r="P468" s="12" t="s">
        <v>396</v>
      </c>
      <c r="Q468" s="12">
        <v>31500140</v>
      </c>
    </row>
    <row r="469" spans="14:17">
      <c r="N469" t="s">
        <v>1599</v>
      </c>
      <c r="P469" s="12" t="s">
        <v>990</v>
      </c>
      <c r="Q469" s="12">
        <v>41474117</v>
      </c>
    </row>
    <row r="470" spans="14:17">
      <c r="N470" t="s">
        <v>599</v>
      </c>
      <c r="P470" s="12" t="s">
        <v>991</v>
      </c>
      <c r="Q470" s="12">
        <v>41474117</v>
      </c>
    </row>
    <row r="471" spans="14:17">
      <c r="N471" t="s">
        <v>601</v>
      </c>
      <c r="P471" s="12" t="s">
        <v>992</v>
      </c>
      <c r="Q471" s="12">
        <v>12873</v>
      </c>
    </row>
    <row r="472" spans="14:17">
      <c r="N472" t="s">
        <v>603</v>
      </c>
      <c r="P472" t="s">
        <v>993</v>
      </c>
      <c r="Q472" s="12">
        <v>12910</v>
      </c>
    </row>
    <row r="473" spans="14:17">
      <c r="N473" t="s">
        <v>1608</v>
      </c>
      <c r="P473" s="12" t="s">
        <v>398</v>
      </c>
      <c r="Q473" s="12">
        <v>12910</v>
      </c>
    </row>
    <row r="474" spans="14:17">
      <c r="N474" t="s">
        <v>605</v>
      </c>
      <c r="P474" t="s">
        <v>994</v>
      </c>
      <c r="Q474" s="12">
        <v>12910</v>
      </c>
    </row>
    <row r="475" spans="14:17">
      <c r="N475" t="s">
        <v>607</v>
      </c>
      <c r="P475" t="s">
        <v>995</v>
      </c>
      <c r="Q475" s="12">
        <v>12910</v>
      </c>
    </row>
    <row r="476" spans="14:17">
      <c r="N476" t="s">
        <v>1614</v>
      </c>
      <c r="P476" t="s">
        <v>996</v>
      </c>
      <c r="Q476">
        <v>46703873</v>
      </c>
    </row>
    <row r="477" spans="14:17">
      <c r="N477" t="s">
        <v>1615</v>
      </c>
      <c r="P477" t="s">
        <v>997</v>
      </c>
      <c r="Q477">
        <v>46703873</v>
      </c>
    </row>
    <row r="478" spans="14:17">
      <c r="N478" t="s">
        <v>1617</v>
      </c>
      <c r="P478" t="s">
        <v>998</v>
      </c>
      <c r="Q478">
        <v>46703873</v>
      </c>
    </row>
    <row r="479" spans="14:17">
      <c r="N479" t="s">
        <v>609</v>
      </c>
      <c r="P479" s="12" t="s">
        <v>399</v>
      </c>
      <c r="Q479" s="12">
        <v>41572339</v>
      </c>
    </row>
    <row r="480" spans="14:17">
      <c r="N480" t="s">
        <v>1620</v>
      </c>
      <c r="P480" s="12" t="s">
        <v>999</v>
      </c>
      <c r="Q480" s="12">
        <v>41572339</v>
      </c>
    </row>
    <row r="481" spans="14:17">
      <c r="N481" t="s">
        <v>611</v>
      </c>
      <c r="P481" t="s">
        <v>1000</v>
      </c>
      <c r="Q481" s="12">
        <v>12451</v>
      </c>
    </row>
    <row r="482" spans="14:17">
      <c r="N482" t="s">
        <v>1626</v>
      </c>
      <c r="P482" s="12" t="s">
        <v>1001</v>
      </c>
      <c r="Q482" s="12">
        <v>12451</v>
      </c>
    </row>
    <row r="483" spans="14:17">
      <c r="N483" t="s">
        <v>1628</v>
      </c>
      <c r="P483" s="12" t="s">
        <v>401</v>
      </c>
      <c r="Q483" s="12">
        <v>12451</v>
      </c>
    </row>
    <row r="484" spans="14:17">
      <c r="N484" t="s">
        <v>1628</v>
      </c>
      <c r="P484" s="12" t="s">
        <v>403</v>
      </c>
      <c r="Q484" s="12">
        <v>38397294</v>
      </c>
    </row>
    <row r="485" spans="14:17">
      <c r="N485" t="s">
        <v>1630</v>
      </c>
      <c r="P485" s="12" t="s">
        <v>405</v>
      </c>
      <c r="Q485" s="12">
        <v>19006792</v>
      </c>
    </row>
    <row r="486" spans="14:17">
      <c r="N486" t="s">
        <v>1632</v>
      </c>
      <c r="P486" s="12" t="s">
        <v>1002</v>
      </c>
      <c r="Q486" s="12">
        <v>19006792</v>
      </c>
    </row>
    <row r="487" spans="14:17">
      <c r="N487" t="s">
        <v>1635</v>
      </c>
      <c r="P487" s="12" t="s">
        <v>1003</v>
      </c>
      <c r="Q487" s="12">
        <v>45687042</v>
      </c>
    </row>
    <row r="488" spans="14:17">
      <c r="N488" t="s">
        <v>1637</v>
      </c>
      <c r="P488" s="12" t="s">
        <v>1004</v>
      </c>
      <c r="Q488" s="12">
        <v>45687042</v>
      </c>
    </row>
    <row r="489" spans="14:17">
      <c r="N489" t="s">
        <v>1638</v>
      </c>
      <c r="P489" s="12" t="s">
        <v>407</v>
      </c>
      <c r="Q489" s="12">
        <v>45687042</v>
      </c>
    </row>
    <row r="490" spans="14:17">
      <c r="N490" t="s">
        <v>1639</v>
      </c>
      <c r="P490" s="12" t="s">
        <v>1005</v>
      </c>
      <c r="Q490" s="12">
        <v>38863901</v>
      </c>
    </row>
    <row r="491" spans="14:17">
      <c r="N491" t="s">
        <v>612</v>
      </c>
      <c r="P491" t="s">
        <v>1006</v>
      </c>
      <c r="Q491">
        <v>41917769</v>
      </c>
    </row>
    <row r="492" spans="14:17">
      <c r="N492" t="s">
        <v>1642</v>
      </c>
      <c r="P492" s="12" t="s">
        <v>2529</v>
      </c>
      <c r="Q492" s="12">
        <v>45322682</v>
      </c>
    </row>
    <row r="493" spans="14:17">
      <c r="N493" t="s">
        <v>1643</v>
      </c>
      <c r="P493" s="12" t="s">
        <v>1007</v>
      </c>
      <c r="Q493" s="12">
        <v>45322682</v>
      </c>
    </row>
    <row r="494" spans="14:17">
      <c r="N494" t="s">
        <v>1644</v>
      </c>
      <c r="P494" s="12" t="s">
        <v>2530</v>
      </c>
      <c r="Q494" s="12">
        <v>45322682</v>
      </c>
    </row>
    <row r="495" spans="14:17">
      <c r="N495" t="s">
        <v>1646</v>
      </c>
      <c r="P495" s="12" t="s">
        <v>409</v>
      </c>
      <c r="Q495" s="12">
        <v>45322682</v>
      </c>
    </row>
    <row r="496" spans="14:17">
      <c r="N496" t="s">
        <v>614</v>
      </c>
      <c r="P496" s="12" t="s">
        <v>1008</v>
      </c>
      <c r="Q496">
        <v>41917769</v>
      </c>
    </row>
    <row r="497" spans="14:17">
      <c r="N497" t="s">
        <v>1648</v>
      </c>
      <c r="P497" t="s">
        <v>1009</v>
      </c>
      <c r="Q497">
        <v>41917769</v>
      </c>
    </row>
    <row r="498" spans="14:17">
      <c r="N498" t="s">
        <v>616</v>
      </c>
      <c r="P498" t="s">
        <v>1010</v>
      </c>
      <c r="Q498">
        <v>41917769</v>
      </c>
    </row>
    <row r="499" spans="14:17">
      <c r="N499" t="s">
        <v>1652</v>
      </c>
      <c r="P499" t="s">
        <v>1011</v>
      </c>
      <c r="Q499">
        <v>41917769</v>
      </c>
    </row>
    <row r="500" spans="14:17">
      <c r="N500" t="s">
        <v>1658</v>
      </c>
      <c r="P500" s="12" t="s">
        <v>1012</v>
      </c>
      <c r="Q500" s="12">
        <v>38167064</v>
      </c>
    </row>
    <row r="501" spans="14:17">
      <c r="N501" t="s">
        <v>617</v>
      </c>
      <c r="P501" s="12" t="s">
        <v>411</v>
      </c>
      <c r="Q501" s="12">
        <v>38167064</v>
      </c>
    </row>
    <row r="502" spans="14:17">
      <c r="N502" t="s">
        <v>1661</v>
      </c>
      <c r="P502" s="12" t="s">
        <v>1013</v>
      </c>
      <c r="Q502" s="12">
        <v>38167064</v>
      </c>
    </row>
    <row r="503" spans="14:17">
      <c r="N503" t="s">
        <v>619</v>
      </c>
      <c r="P503" t="s">
        <v>1014</v>
      </c>
      <c r="Q503" s="12">
        <v>38167064</v>
      </c>
    </row>
    <row r="504" spans="14:17">
      <c r="N504" t="s">
        <v>1664</v>
      </c>
      <c r="P504" s="12" t="s">
        <v>1015</v>
      </c>
      <c r="Q504" s="12">
        <v>38167064</v>
      </c>
    </row>
    <row r="505" spans="14:17">
      <c r="N505" t="s">
        <v>1665</v>
      </c>
      <c r="P505" s="12" t="s">
        <v>412</v>
      </c>
      <c r="Q505" s="12">
        <v>39270268</v>
      </c>
    </row>
    <row r="506" spans="14:17">
      <c r="N506" t="s">
        <v>1666</v>
      </c>
      <c r="P506" s="12" t="s">
        <v>1016</v>
      </c>
      <c r="Q506" s="12">
        <v>40134174</v>
      </c>
    </row>
    <row r="507" spans="14:17">
      <c r="N507" t="s">
        <v>621</v>
      </c>
      <c r="P507" s="12" t="s">
        <v>2531</v>
      </c>
      <c r="Q507" s="12">
        <v>40134174</v>
      </c>
    </row>
    <row r="508" spans="14:17">
      <c r="N508" t="s">
        <v>1674</v>
      </c>
      <c r="P508" s="12" t="s">
        <v>414</v>
      </c>
      <c r="Q508" s="12">
        <v>40134174</v>
      </c>
    </row>
    <row r="509" spans="14:17">
      <c r="N509" t="s">
        <v>2498</v>
      </c>
      <c r="P509" s="12" t="s">
        <v>2532</v>
      </c>
      <c r="Q509" s="12">
        <v>40134174</v>
      </c>
    </row>
    <row r="510" spans="14:17">
      <c r="N510" t="s">
        <v>623</v>
      </c>
      <c r="P510" s="12" t="s">
        <v>1017</v>
      </c>
      <c r="Q510" s="12">
        <v>40713272</v>
      </c>
    </row>
    <row r="511" spans="14:17">
      <c r="N511" t="s">
        <v>1681</v>
      </c>
      <c r="P511" s="12" t="s">
        <v>1018</v>
      </c>
      <c r="Q511" s="12">
        <v>40713272</v>
      </c>
    </row>
    <row r="512" spans="14:17">
      <c r="N512" t="s">
        <v>1683</v>
      </c>
      <c r="P512" s="12" t="s">
        <v>2533</v>
      </c>
      <c r="Q512" s="12">
        <v>40713272</v>
      </c>
    </row>
    <row r="513" spans="14:17">
      <c r="N513" t="s">
        <v>1684</v>
      </c>
      <c r="P513" s="12" t="s">
        <v>1019</v>
      </c>
      <c r="Q513" s="12">
        <v>40713272</v>
      </c>
    </row>
    <row r="514" spans="14:17">
      <c r="N514" t="s">
        <v>624</v>
      </c>
      <c r="P514" s="12" t="s">
        <v>1020</v>
      </c>
      <c r="Q514" s="12">
        <v>32949966</v>
      </c>
    </row>
    <row r="515" spans="14:17">
      <c r="N515" t="s">
        <v>626</v>
      </c>
      <c r="P515" s="12" t="s">
        <v>1021</v>
      </c>
      <c r="Q515" s="12">
        <v>12874</v>
      </c>
    </row>
    <row r="516" spans="14:17">
      <c r="N516" t="s">
        <v>627</v>
      </c>
      <c r="P516" s="12" t="s">
        <v>1022</v>
      </c>
      <c r="Q516" s="12">
        <v>36065505</v>
      </c>
    </row>
    <row r="517" spans="14:17">
      <c r="N517" t="s">
        <v>1687</v>
      </c>
      <c r="P517" s="12" t="s">
        <v>1023</v>
      </c>
      <c r="Q517" s="12">
        <v>33672</v>
      </c>
    </row>
    <row r="518" spans="14:17">
      <c r="N518" t="s">
        <v>1688</v>
      </c>
      <c r="P518" s="12" t="s">
        <v>1024</v>
      </c>
      <c r="Q518" s="12">
        <v>33672</v>
      </c>
    </row>
    <row r="519" spans="14:17">
      <c r="N519" t="s">
        <v>1690</v>
      </c>
      <c r="P519" t="s">
        <v>1025</v>
      </c>
      <c r="Q519">
        <v>46991061</v>
      </c>
    </row>
    <row r="520" spans="14:17">
      <c r="N520" t="s">
        <v>1691</v>
      </c>
      <c r="P520" t="s">
        <v>1026</v>
      </c>
      <c r="Q520">
        <v>46991061</v>
      </c>
    </row>
    <row r="521" spans="14:17">
      <c r="N521" t="s">
        <v>629</v>
      </c>
      <c r="P521" t="s">
        <v>1027</v>
      </c>
      <c r="Q521">
        <v>46991061</v>
      </c>
    </row>
    <row r="522" spans="14:17">
      <c r="N522" t="s">
        <v>631</v>
      </c>
      <c r="P522" t="s">
        <v>1028</v>
      </c>
      <c r="Q522">
        <v>46991061</v>
      </c>
    </row>
    <row r="523" spans="14:17">
      <c r="N523" t="s">
        <v>1699</v>
      </c>
      <c r="P523" t="s">
        <v>1029</v>
      </c>
      <c r="Q523">
        <v>46991061</v>
      </c>
    </row>
    <row r="524" spans="14:17">
      <c r="N524" t="s">
        <v>633</v>
      </c>
      <c r="P524" s="12" t="s">
        <v>1030</v>
      </c>
      <c r="Q524" s="12">
        <v>44791648</v>
      </c>
    </row>
    <row r="525" spans="14:17">
      <c r="N525" t="s">
        <v>635</v>
      </c>
      <c r="P525" s="12" t="s">
        <v>1031</v>
      </c>
      <c r="Q525" s="12">
        <v>44791648</v>
      </c>
    </row>
    <row r="526" spans="14:17">
      <c r="N526" t="s">
        <v>1705</v>
      </c>
      <c r="P526" s="12" t="s">
        <v>1032</v>
      </c>
      <c r="Q526" s="12">
        <v>12803</v>
      </c>
    </row>
    <row r="527" spans="14:17">
      <c r="N527" t="s">
        <v>636</v>
      </c>
      <c r="P527" s="12" t="s">
        <v>416</v>
      </c>
      <c r="Q527" s="12">
        <v>12803</v>
      </c>
    </row>
    <row r="528" spans="14:17">
      <c r="N528" t="s">
        <v>638</v>
      </c>
      <c r="P528" t="s">
        <v>1033</v>
      </c>
      <c r="Q528">
        <v>33669832</v>
      </c>
    </row>
    <row r="529" spans="14:17">
      <c r="N529" t="s">
        <v>1712</v>
      </c>
      <c r="P529" s="12" t="s">
        <v>1034</v>
      </c>
      <c r="Q529" s="12">
        <v>13456</v>
      </c>
    </row>
    <row r="530" spans="14:17">
      <c r="N530" t="s">
        <v>640</v>
      </c>
      <c r="P530" s="12" t="s">
        <v>1035</v>
      </c>
      <c r="Q530" s="12">
        <v>41454603</v>
      </c>
    </row>
    <row r="531" spans="14:17">
      <c r="N531" t="s">
        <v>1714</v>
      </c>
      <c r="P531" t="s">
        <v>1036</v>
      </c>
      <c r="Q531">
        <v>33669832</v>
      </c>
    </row>
    <row r="532" spans="14:17">
      <c r="N532" t="s">
        <v>642</v>
      </c>
      <c r="P532" t="s">
        <v>1037</v>
      </c>
      <c r="Q532">
        <v>33669832</v>
      </c>
    </row>
    <row r="533" spans="14:17">
      <c r="N533" t="s">
        <v>1719</v>
      </c>
      <c r="P533" s="12" t="s">
        <v>1038</v>
      </c>
      <c r="Q533" s="12">
        <v>34307080</v>
      </c>
    </row>
    <row r="534" spans="14:17">
      <c r="N534" t="s">
        <v>644</v>
      </c>
      <c r="P534" t="s">
        <v>1039</v>
      </c>
      <c r="Q534">
        <v>44698317</v>
      </c>
    </row>
    <row r="535" spans="14:17">
      <c r="N535" t="s">
        <v>646</v>
      </c>
      <c r="P535" t="s">
        <v>1040</v>
      </c>
      <c r="Q535">
        <v>44698317</v>
      </c>
    </row>
    <row r="536" spans="14:17">
      <c r="N536" t="s">
        <v>648</v>
      </c>
      <c r="P536" t="s">
        <v>1041</v>
      </c>
      <c r="Q536">
        <v>44698317</v>
      </c>
    </row>
    <row r="537" spans="14:17">
      <c r="N537" t="s">
        <v>2499</v>
      </c>
      <c r="P537" t="s">
        <v>1042</v>
      </c>
      <c r="Q537">
        <v>44698317</v>
      </c>
    </row>
    <row r="538" spans="14:17">
      <c r="N538" t="s">
        <v>1729</v>
      </c>
      <c r="P538" s="12" t="s">
        <v>1043</v>
      </c>
      <c r="Q538" s="12">
        <v>34307080</v>
      </c>
    </row>
    <row r="539" spans="14:17">
      <c r="N539" t="s">
        <v>1731</v>
      </c>
      <c r="P539" s="12" t="s">
        <v>418</v>
      </c>
      <c r="Q539" s="12">
        <v>34307080</v>
      </c>
    </row>
    <row r="540" spans="14:17">
      <c r="N540" t="s">
        <v>1732</v>
      </c>
      <c r="P540" s="12" t="s">
        <v>1044</v>
      </c>
      <c r="Q540" s="12">
        <v>39310688</v>
      </c>
    </row>
    <row r="541" spans="14:17">
      <c r="N541" t="s">
        <v>1734</v>
      </c>
      <c r="P541" s="12" t="s">
        <v>1045</v>
      </c>
      <c r="Q541" s="12">
        <v>39310688</v>
      </c>
    </row>
    <row r="542" spans="14:17">
      <c r="N542" t="s">
        <v>1738</v>
      </c>
      <c r="P542" t="s">
        <v>1046</v>
      </c>
      <c r="Q542" s="12">
        <v>39310688</v>
      </c>
    </row>
    <row r="543" spans="14:17">
      <c r="N543" t="s">
        <v>1741</v>
      </c>
      <c r="P543" s="12" t="s">
        <v>1047</v>
      </c>
      <c r="Q543" s="12">
        <v>41756260</v>
      </c>
    </row>
    <row r="544" spans="14:17">
      <c r="N544" t="s">
        <v>650</v>
      </c>
      <c r="P544" s="12" t="s">
        <v>2534</v>
      </c>
      <c r="Q544" s="12">
        <v>41756260</v>
      </c>
    </row>
    <row r="545" spans="14:17">
      <c r="N545" t="s">
        <v>1742</v>
      </c>
      <c r="P545" s="12" t="s">
        <v>1048</v>
      </c>
      <c r="Q545" s="12">
        <v>41756260</v>
      </c>
    </row>
    <row r="546" spans="14:17">
      <c r="N546" t="s">
        <v>652</v>
      </c>
      <c r="P546" s="12" t="s">
        <v>2535</v>
      </c>
      <c r="Q546" s="12">
        <v>41756260</v>
      </c>
    </row>
    <row r="547" spans="14:17">
      <c r="N547" t="s">
        <v>1743</v>
      </c>
      <c r="P547" s="12" t="s">
        <v>1049</v>
      </c>
      <c r="Q547" s="12">
        <v>31559785</v>
      </c>
    </row>
    <row r="548" spans="14:17">
      <c r="N548" t="s">
        <v>1746</v>
      </c>
      <c r="P548" t="s">
        <v>1050</v>
      </c>
      <c r="Q548" s="12">
        <v>31559785</v>
      </c>
    </row>
    <row r="549" spans="14:17">
      <c r="N549" t="s">
        <v>653</v>
      </c>
      <c r="P549" s="12" t="s">
        <v>1051</v>
      </c>
      <c r="Q549" s="12">
        <v>31559785</v>
      </c>
    </row>
    <row r="550" spans="14:17">
      <c r="N550" t="s">
        <v>654</v>
      </c>
      <c r="P550" s="12" t="s">
        <v>1052</v>
      </c>
      <c r="Q550" s="12">
        <v>41756260</v>
      </c>
    </row>
    <row r="551" spans="14:17">
      <c r="N551" t="s">
        <v>1753</v>
      </c>
      <c r="P551" t="s">
        <v>1053</v>
      </c>
      <c r="Q551" s="12">
        <v>41756260</v>
      </c>
    </row>
    <row r="552" spans="14:17">
      <c r="N552" t="s">
        <v>1759</v>
      </c>
      <c r="P552" s="12" t="s">
        <v>1054</v>
      </c>
      <c r="Q552" s="12">
        <v>41756260</v>
      </c>
    </row>
    <row r="553" spans="14:17">
      <c r="N553" t="s">
        <v>656</v>
      </c>
      <c r="P553" s="12" t="s">
        <v>419</v>
      </c>
      <c r="Q553" s="12">
        <v>31559785</v>
      </c>
    </row>
    <row r="554" spans="14:17">
      <c r="N554" t="s">
        <v>1760</v>
      </c>
      <c r="P554" s="12" t="s">
        <v>1055</v>
      </c>
      <c r="Q554" s="12">
        <v>31559785</v>
      </c>
    </row>
    <row r="555" spans="14:17">
      <c r="N555" t="s">
        <v>658</v>
      </c>
      <c r="P555" s="12" t="s">
        <v>1056</v>
      </c>
      <c r="Q555" s="12">
        <v>31559785</v>
      </c>
    </row>
    <row r="556" spans="14:17">
      <c r="N556" t="s">
        <v>660</v>
      </c>
      <c r="P556" s="12" t="s">
        <v>1057</v>
      </c>
      <c r="Q556" s="12">
        <v>31559785</v>
      </c>
    </row>
    <row r="557" spans="14:17">
      <c r="N557" t="s">
        <v>1767</v>
      </c>
      <c r="P557" t="s">
        <v>1058</v>
      </c>
      <c r="Q557" s="12">
        <v>41756260</v>
      </c>
    </row>
    <row r="558" spans="14:17">
      <c r="N558" t="s">
        <v>662</v>
      </c>
      <c r="P558" s="12" t="s">
        <v>1059</v>
      </c>
      <c r="Q558" s="12">
        <v>39985884</v>
      </c>
    </row>
    <row r="559" spans="14:17">
      <c r="N559" t="s">
        <v>1774</v>
      </c>
      <c r="P559" s="12" t="s">
        <v>421</v>
      </c>
      <c r="Q559" s="12">
        <v>45689409</v>
      </c>
    </row>
    <row r="560" spans="14:17">
      <c r="N560" t="s">
        <v>1776</v>
      </c>
      <c r="P560" s="12" t="s">
        <v>1060</v>
      </c>
      <c r="Q560" s="12">
        <v>45689409</v>
      </c>
    </row>
    <row r="561" spans="14:17">
      <c r="N561" t="s">
        <v>664</v>
      </c>
      <c r="P561" s="12" t="s">
        <v>1061</v>
      </c>
      <c r="Q561" s="12">
        <v>39985884</v>
      </c>
    </row>
    <row r="562" spans="14:17">
      <c r="N562" t="s">
        <v>1780</v>
      </c>
      <c r="P562" s="12" t="s">
        <v>1062</v>
      </c>
      <c r="Q562" s="12">
        <v>39985884</v>
      </c>
    </row>
    <row r="563" spans="14:17">
      <c r="N563" t="s">
        <v>1782</v>
      </c>
      <c r="P563" s="12" t="s">
        <v>1063</v>
      </c>
      <c r="Q563" s="12">
        <v>39985884</v>
      </c>
    </row>
    <row r="564" spans="14:17">
      <c r="N564" t="s">
        <v>666</v>
      </c>
      <c r="P564" s="12" t="s">
        <v>1064</v>
      </c>
      <c r="Q564" s="12">
        <v>40394022</v>
      </c>
    </row>
    <row r="565" spans="14:17">
      <c r="N565" t="s">
        <v>1784</v>
      </c>
      <c r="P565" s="12" t="s">
        <v>1065</v>
      </c>
      <c r="Q565" s="12">
        <v>42942049</v>
      </c>
    </row>
    <row r="566" spans="14:17">
      <c r="N566" t="s">
        <v>668</v>
      </c>
      <c r="P566" t="s">
        <v>1066</v>
      </c>
      <c r="Q566" s="12">
        <v>42942049</v>
      </c>
    </row>
    <row r="567" spans="14:17">
      <c r="N567" t="s">
        <v>670</v>
      </c>
      <c r="P567" s="12" t="s">
        <v>423</v>
      </c>
      <c r="Q567" s="12">
        <v>42942049</v>
      </c>
    </row>
    <row r="568" spans="14:17">
      <c r="N568" t="s">
        <v>1787</v>
      </c>
      <c r="P568" s="12" t="s">
        <v>1067</v>
      </c>
      <c r="Q568" s="12">
        <v>42942049</v>
      </c>
    </row>
    <row r="569" spans="14:17">
      <c r="N569" t="s">
        <v>673</v>
      </c>
      <c r="P569" s="12" t="s">
        <v>425</v>
      </c>
      <c r="Q569" s="12">
        <v>46003114</v>
      </c>
    </row>
    <row r="570" spans="14:17">
      <c r="N570" t="s">
        <v>675</v>
      </c>
      <c r="P570" s="12" t="s">
        <v>2536</v>
      </c>
      <c r="Q570" s="12">
        <v>46003114</v>
      </c>
    </row>
    <row r="571" spans="14:17">
      <c r="N571" t="s">
        <v>1791</v>
      </c>
      <c r="P571" s="12" t="s">
        <v>1068</v>
      </c>
      <c r="Q571" s="12">
        <v>46003114</v>
      </c>
    </row>
    <row r="572" spans="14:17">
      <c r="N572" t="s">
        <v>677</v>
      </c>
      <c r="P572" s="12" t="s">
        <v>1069</v>
      </c>
      <c r="Q572" s="12">
        <v>46003114</v>
      </c>
    </row>
    <row r="573" spans="14:17">
      <c r="N573" t="s">
        <v>1794</v>
      </c>
      <c r="P573" t="s">
        <v>1070</v>
      </c>
      <c r="Q573" s="12">
        <v>46003114</v>
      </c>
    </row>
    <row r="574" spans="14:17">
      <c r="N574" t="s">
        <v>2500</v>
      </c>
      <c r="P574" t="s">
        <v>1071</v>
      </c>
      <c r="Q574">
        <v>95372579</v>
      </c>
    </row>
    <row r="575" spans="14:17">
      <c r="N575" t="s">
        <v>1798</v>
      </c>
      <c r="P575" t="s">
        <v>1072</v>
      </c>
      <c r="Q575">
        <v>95372579</v>
      </c>
    </row>
    <row r="576" spans="14:17">
      <c r="N576" t="s">
        <v>1800</v>
      </c>
      <c r="P576" t="s">
        <v>1073</v>
      </c>
      <c r="Q576">
        <v>95372579</v>
      </c>
    </row>
    <row r="577" spans="14:17">
      <c r="N577" t="s">
        <v>679</v>
      </c>
      <c r="P577" s="12" t="s">
        <v>1074</v>
      </c>
      <c r="Q577" s="12">
        <v>12104</v>
      </c>
    </row>
    <row r="578" spans="14:17">
      <c r="N578" t="s">
        <v>1802</v>
      </c>
      <c r="P578" s="12" t="s">
        <v>1075</v>
      </c>
      <c r="Q578" s="12">
        <v>46280094</v>
      </c>
    </row>
    <row r="579" spans="14:17">
      <c r="N579" t="s">
        <v>681</v>
      </c>
      <c r="P579" t="s">
        <v>1076</v>
      </c>
      <c r="Q579">
        <v>46280094</v>
      </c>
    </row>
    <row r="580" spans="14:17">
      <c r="N580" t="s">
        <v>683</v>
      </c>
      <c r="P580" t="s">
        <v>1077</v>
      </c>
      <c r="Q580">
        <v>45322664</v>
      </c>
    </row>
    <row r="581" spans="14:17">
      <c r="N581" t="s">
        <v>1811</v>
      </c>
      <c r="P581" s="12" t="s">
        <v>1078</v>
      </c>
      <c r="Q581" s="12">
        <v>31559785</v>
      </c>
    </row>
    <row r="582" spans="14:17">
      <c r="N582" t="s">
        <v>2623</v>
      </c>
      <c r="P582" s="12" t="s">
        <v>426</v>
      </c>
      <c r="Q582" s="12">
        <v>35657751</v>
      </c>
    </row>
    <row r="583" spans="14:17">
      <c r="N583" t="s">
        <v>685</v>
      </c>
      <c r="P583" t="s">
        <v>2490</v>
      </c>
      <c r="Q583">
        <v>45322664</v>
      </c>
    </row>
    <row r="584" spans="14:17">
      <c r="N584" t="s">
        <v>686</v>
      </c>
      <c r="P584" t="s">
        <v>2436</v>
      </c>
      <c r="Q584">
        <v>45322664</v>
      </c>
    </row>
    <row r="585" spans="14:17">
      <c r="N585" t="s">
        <v>688</v>
      </c>
      <c r="P585" s="12" t="s">
        <v>1079</v>
      </c>
      <c r="Q585" s="12">
        <v>40378724</v>
      </c>
    </row>
    <row r="586" spans="14:17">
      <c r="N586" t="s">
        <v>690</v>
      </c>
      <c r="P586" s="12" t="s">
        <v>1080</v>
      </c>
      <c r="Q586" s="12">
        <v>36156821</v>
      </c>
    </row>
    <row r="587" spans="14:17">
      <c r="N587" t="s">
        <v>691</v>
      </c>
      <c r="P587" s="12" t="s">
        <v>1081</v>
      </c>
      <c r="Q587" s="12">
        <v>36393322</v>
      </c>
    </row>
    <row r="588" spans="14:17">
      <c r="N588" t="s">
        <v>1821</v>
      </c>
      <c r="P588" s="12" t="s">
        <v>428</v>
      </c>
      <c r="Q588" s="12">
        <v>36393322</v>
      </c>
    </row>
    <row r="589" spans="14:17">
      <c r="N589" t="s">
        <v>693</v>
      </c>
      <c r="P589" t="s">
        <v>1082</v>
      </c>
      <c r="Q589" s="12">
        <v>25512003</v>
      </c>
    </row>
    <row r="590" spans="14:17">
      <c r="N590" t="s">
        <v>1823</v>
      </c>
      <c r="P590" t="s">
        <v>1083</v>
      </c>
      <c r="Q590" s="12">
        <v>25512003</v>
      </c>
    </row>
    <row r="591" spans="14:17">
      <c r="N591" t="s">
        <v>1824</v>
      </c>
      <c r="P591" t="s">
        <v>1084</v>
      </c>
      <c r="Q591" s="12">
        <v>25512003</v>
      </c>
    </row>
    <row r="592" spans="14:17">
      <c r="N592" t="s">
        <v>695</v>
      </c>
      <c r="P592" s="12" t="s">
        <v>1085</v>
      </c>
      <c r="Q592" s="12">
        <v>25512003</v>
      </c>
    </row>
    <row r="593" spans="14:17">
      <c r="N593" t="s">
        <v>1826</v>
      </c>
      <c r="P593" t="s">
        <v>1086</v>
      </c>
      <c r="Q593">
        <v>25512003</v>
      </c>
    </row>
    <row r="594" spans="14:17">
      <c r="N594" t="s">
        <v>696</v>
      </c>
      <c r="P594" t="s">
        <v>1087</v>
      </c>
      <c r="Q594">
        <v>25512003</v>
      </c>
    </row>
    <row r="595" spans="14:17">
      <c r="N595" t="s">
        <v>1830</v>
      </c>
      <c r="P595" s="12" t="s">
        <v>1088</v>
      </c>
      <c r="Q595" s="12">
        <v>25512003</v>
      </c>
    </row>
    <row r="596" spans="14:17">
      <c r="N596" t="s">
        <v>697</v>
      </c>
      <c r="P596" s="12" t="s">
        <v>1089</v>
      </c>
      <c r="Q596" s="12">
        <v>25512003</v>
      </c>
    </row>
    <row r="597" spans="14:17">
      <c r="N597" t="s">
        <v>699</v>
      </c>
      <c r="P597" s="12" t="s">
        <v>1090</v>
      </c>
      <c r="Q597" s="12">
        <v>42721592</v>
      </c>
    </row>
    <row r="598" spans="14:17">
      <c r="N598" t="s">
        <v>701</v>
      </c>
      <c r="P598" s="12" t="s">
        <v>1091</v>
      </c>
      <c r="Q598" s="12">
        <v>42721592</v>
      </c>
    </row>
    <row r="599" spans="14:17">
      <c r="N599" t="s">
        <v>703</v>
      </c>
      <c r="P599" s="12" t="s">
        <v>1092</v>
      </c>
      <c r="Q599" s="12">
        <v>45750108</v>
      </c>
    </row>
    <row r="600" spans="14:17">
      <c r="N600" t="s">
        <v>1837</v>
      </c>
      <c r="P600" s="12" t="s">
        <v>1093</v>
      </c>
      <c r="Q600" s="12">
        <v>45750108</v>
      </c>
    </row>
    <row r="601" spans="14:17">
      <c r="N601" t="s">
        <v>705</v>
      </c>
      <c r="P601" s="12" t="s">
        <v>2537</v>
      </c>
      <c r="Q601" s="12">
        <v>25512003</v>
      </c>
    </row>
    <row r="602" spans="14:17">
      <c r="N602" t="s">
        <v>707</v>
      </c>
      <c r="P602" s="12" t="s">
        <v>1094</v>
      </c>
      <c r="Q602" s="12">
        <v>25512003</v>
      </c>
    </row>
    <row r="603" spans="14:17">
      <c r="N603" t="s">
        <v>708</v>
      </c>
      <c r="P603" s="12" t="s">
        <v>1095</v>
      </c>
      <c r="Q603" s="12">
        <v>25512003</v>
      </c>
    </row>
    <row r="604" spans="14:17">
      <c r="N604" t="s">
        <v>710</v>
      </c>
      <c r="P604" s="12" t="s">
        <v>1096</v>
      </c>
      <c r="Q604" s="12">
        <v>25512003</v>
      </c>
    </row>
    <row r="605" spans="14:17">
      <c r="N605" t="s">
        <v>1853</v>
      </c>
      <c r="P605" s="12" t="s">
        <v>1097</v>
      </c>
      <c r="Q605" s="12">
        <v>25512003</v>
      </c>
    </row>
    <row r="606" spans="14:17">
      <c r="N606" t="s">
        <v>1854</v>
      </c>
      <c r="P606" s="12" t="s">
        <v>429</v>
      </c>
      <c r="Q606" s="12">
        <v>42721592</v>
      </c>
    </row>
    <row r="607" spans="14:17">
      <c r="N607" t="s">
        <v>1855</v>
      </c>
      <c r="P607" s="12" t="s">
        <v>1098</v>
      </c>
      <c r="Q607" s="12">
        <v>40239501</v>
      </c>
    </row>
    <row r="608" spans="14:17">
      <c r="N608" t="s">
        <v>712</v>
      </c>
      <c r="P608" s="12" t="s">
        <v>1099</v>
      </c>
      <c r="Q608" s="12">
        <v>40239501</v>
      </c>
    </row>
    <row r="609" spans="14:17">
      <c r="N609" t="s">
        <v>714</v>
      </c>
      <c r="P609" s="12" t="s">
        <v>1100</v>
      </c>
      <c r="Q609" s="12">
        <v>40239501</v>
      </c>
    </row>
    <row r="610" spans="14:17">
      <c r="N610" t="s">
        <v>1860</v>
      </c>
      <c r="P610" s="12" t="s">
        <v>2538</v>
      </c>
      <c r="Q610" s="12">
        <v>40239501</v>
      </c>
    </row>
    <row r="611" spans="14:17">
      <c r="N611" t="s">
        <v>2619</v>
      </c>
      <c r="P611" s="12" t="s">
        <v>431</v>
      </c>
      <c r="Q611" s="12">
        <v>40239501</v>
      </c>
    </row>
    <row r="612" spans="14:17">
      <c r="N612" t="s">
        <v>715</v>
      </c>
      <c r="P612" t="s">
        <v>2437</v>
      </c>
      <c r="Q612">
        <v>28640821</v>
      </c>
    </row>
    <row r="613" spans="14:17">
      <c r="N613" t="s">
        <v>1866</v>
      </c>
      <c r="P613" t="s">
        <v>2491</v>
      </c>
      <c r="Q613">
        <v>28640821</v>
      </c>
    </row>
    <row r="614" spans="14:17">
      <c r="N614" t="s">
        <v>1867</v>
      </c>
      <c r="P614" t="s">
        <v>1101</v>
      </c>
      <c r="Q614" s="12">
        <v>27769883</v>
      </c>
    </row>
    <row r="615" spans="14:17">
      <c r="N615" t="s">
        <v>1872</v>
      </c>
      <c r="P615" s="12" t="s">
        <v>433</v>
      </c>
      <c r="Q615" s="12">
        <v>27769883</v>
      </c>
    </row>
    <row r="616" spans="14:17">
      <c r="N616" t="s">
        <v>716</v>
      </c>
      <c r="P616" s="12" t="s">
        <v>1102</v>
      </c>
      <c r="Q616" s="12">
        <v>12207</v>
      </c>
    </row>
    <row r="617" spans="14:17">
      <c r="N617" t="s">
        <v>1875</v>
      </c>
      <c r="P617" t="s">
        <v>1103</v>
      </c>
      <c r="Q617">
        <v>44484026</v>
      </c>
    </row>
    <row r="618" spans="14:17">
      <c r="N618" t="s">
        <v>1880</v>
      </c>
      <c r="P618" t="s">
        <v>1104</v>
      </c>
      <c r="Q618">
        <v>44484026</v>
      </c>
    </row>
    <row r="619" spans="14:17">
      <c r="N619" t="s">
        <v>1882</v>
      </c>
      <c r="P619" s="12" t="s">
        <v>1105</v>
      </c>
      <c r="Q619" s="12">
        <v>44318588</v>
      </c>
    </row>
    <row r="620" spans="14:17">
      <c r="N620" t="s">
        <v>718</v>
      </c>
      <c r="P620" s="12" t="s">
        <v>1106</v>
      </c>
      <c r="Q620" s="12">
        <v>44318588</v>
      </c>
    </row>
    <row r="621" spans="14:17">
      <c r="N621" t="s">
        <v>720</v>
      </c>
      <c r="P621" s="12" t="s">
        <v>1107</v>
      </c>
      <c r="Q621" s="12">
        <v>44318588</v>
      </c>
    </row>
    <row r="622" spans="14:17">
      <c r="N622" t="s">
        <v>722</v>
      </c>
      <c r="P622" s="12" t="s">
        <v>435</v>
      </c>
      <c r="Q622" s="12">
        <v>44318588</v>
      </c>
    </row>
    <row r="623" spans="14:17">
      <c r="N623" t="s">
        <v>724</v>
      </c>
      <c r="P623" s="12" t="s">
        <v>1108</v>
      </c>
      <c r="Q623" s="12">
        <v>42146906</v>
      </c>
    </row>
    <row r="624" spans="14:17">
      <c r="N624" t="s">
        <v>726</v>
      </c>
      <c r="P624" s="12" t="s">
        <v>1109</v>
      </c>
      <c r="Q624" s="12">
        <v>43301986</v>
      </c>
    </row>
    <row r="625" spans="14:17">
      <c r="N625" t="s">
        <v>1892</v>
      </c>
      <c r="P625" s="12" t="s">
        <v>1110</v>
      </c>
      <c r="Q625" s="12">
        <v>33716031</v>
      </c>
    </row>
    <row r="626" spans="14:17">
      <c r="N626" t="s">
        <v>727</v>
      </c>
      <c r="P626" s="12" t="s">
        <v>1111</v>
      </c>
      <c r="Q626" s="12">
        <v>12385</v>
      </c>
    </row>
    <row r="627" spans="14:17">
      <c r="N627" t="s">
        <v>729</v>
      </c>
      <c r="P627" s="12" t="s">
        <v>1112</v>
      </c>
      <c r="Q627" s="12">
        <v>44006001</v>
      </c>
    </row>
    <row r="628" spans="14:17">
      <c r="N628" t="s">
        <v>1895</v>
      </c>
      <c r="P628" s="12" t="s">
        <v>2539</v>
      </c>
      <c r="Q628" s="12">
        <v>44006001</v>
      </c>
    </row>
    <row r="629" spans="14:17">
      <c r="N629" t="s">
        <v>730</v>
      </c>
      <c r="P629" t="s">
        <v>1113</v>
      </c>
      <c r="Q629" s="12">
        <v>44006001</v>
      </c>
    </row>
    <row r="630" spans="14:17">
      <c r="N630" t="s">
        <v>732</v>
      </c>
      <c r="P630" s="12" t="s">
        <v>436</v>
      </c>
      <c r="Q630" s="12">
        <v>44006001</v>
      </c>
    </row>
    <row r="631" spans="14:17">
      <c r="N631" t="s">
        <v>1907</v>
      </c>
      <c r="P631" s="12" t="s">
        <v>1114</v>
      </c>
      <c r="Q631" s="12">
        <v>22508743</v>
      </c>
    </row>
    <row r="632" spans="14:17">
      <c r="N632" t="s">
        <v>1911</v>
      </c>
      <c r="P632" s="12" t="s">
        <v>2540</v>
      </c>
      <c r="Q632" s="12">
        <v>22508743</v>
      </c>
    </row>
    <row r="633" spans="14:17">
      <c r="N633" t="s">
        <v>736</v>
      </c>
      <c r="P633" s="12" t="s">
        <v>438</v>
      </c>
      <c r="Q633" s="12">
        <v>22508743</v>
      </c>
    </row>
    <row r="634" spans="14:17">
      <c r="N634" t="s">
        <v>738</v>
      </c>
      <c r="P634" t="s">
        <v>1115</v>
      </c>
      <c r="Q634" s="12">
        <v>22508743</v>
      </c>
    </row>
    <row r="635" spans="14:17">
      <c r="N635" t="s">
        <v>739</v>
      </c>
      <c r="P635" t="s">
        <v>1116</v>
      </c>
      <c r="Q635" s="12">
        <v>22508743</v>
      </c>
    </row>
    <row r="636" spans="14:17">
      <c r="N636" t="s">
        <v>1916</v>
      </c>
      <c r="P636" t="s">
        <v>1117</v>
      </c>
      <c r="Q636">
        <v>33930</v>
      </c>
    </row>
    <row r="637" spans="14:17">
      <c r="N637" t="s">
        <v>1917</v>
      </c>
      <c r="P637" s="12" t="s">
        <v>1118</v>
      </c>
      <c r="Q637" s="12">
        <v>38636427</v>
      </c>
    </row>
    <row r="638" spans="14:17">
      <c r="N638" t="s">
        <v>740</v>
      </c>
      <c r="P638" s="12" t="s">
        <v>1119</v>
      </c>
      <c r="Q638" s="12">
        <v>17586981</v>
      </c>
    </row>
    <row r="639" spans="14:17">
      <c r="N639" t="s">
        <v>1925</v>
      </c>
      <c r="P639" s="12" t="s">
        <v>1120</v>
      </c>
      <c r="Q639" s="12">
        <v>41670526</v>
      </c>
    </row>
    <row r="640" spans="14:17">
      <c r="N640" t="s">
        <v>1928</v>
      </c>
      <c r="P640" s="12" t="s">
        <v>1121</v>
      </c>
      <c r="Q640" s="12">
        <v>35166947</v>
      </c>
    </row>
    <row r="641" spans="14:17">
      <c r="N641" t="s">
        <v>1933</v>
      </c>
      <c r="P641" s="12" t="s">
        <v>1122</v>
      </c>
      <c r="Q641" s="12">
        <v>35905514</v>
      </c>
    </row>
    <row r="642" spans="14:17">
      <c r="N642" t="s">
        <v>1934</v>
      </c>
      <c r="P642" s="12" t="s">
        <v>1123</v>
      </c>
      <c r="Q642" s="12">
        <v>45298394</v>
      </c>
    </row>
    <row r="643" spans="14:17">
      <c r="N643" t="s">
        <v>742</v>
      </c>
      <c r="P643" t="s">
        <v>2478</v>
      </c>
      <c r="Q643" s="12">
        <v>35166947</v>
      </c>
    </row>
    <row r="644" spans="14:17">
      <c r="N644" t="s">
        <v>744</v>
      </c>
      <c r="P644" t="s">
        <v>1124</v>
      </c>
      <c r="Q644" s="12">
        <v>35166947</v>
      </c>
    </row>
    <row r="645" spans="14:17">
      <c r="N645" t="s">
        <v>1938</v>
      </c>
      <c r="P645" s="12" t="s">
        <v>1125</v>
      </c>
      <c r="Q645" s="12">
        <v>38176948</v>
      </c>
    </row>
    <row r="646" spans="14:17">
      <c r="N646" t="s">
        <v>746</v>
      </c>
      <c r="P646" t="s">
        <v>1126</v>
      </c>
      <c r="Q646" s="12">
        <v>38176948</v>
      </c>
    </row>
    <row r="647" spans="14:17">
      <c r="N647" t="s">
        <v>1941</v>
      </c>
      <c r="P647" t="s">
        <v>1127</v>
      </c>
      <c r="Q647" s="12">
        <v>35166947</v>
      </c>
    </row>
    <row r="648" spans="14:17">
      <c r="N648" t="s">
        <v>748</v>
      </c>
      <c r="P648" s="12" t="s">
        <v>1128</v>
      </c>
      <c r="Q648" s="12">
        <v>35166947</v>
      </c>
    </row>
    <row r="649" spans="14:17">
      <c r="N649" t="s">
        <v>1947</v>
      </c>
      <c r="P649" s="12" t="s">
        <v>1129</v>
      </c>
      <c r="Q649" s="12">
        <v>44936421</v>
      </c>
    </row>
    <row r="650" spans="14:17">
      <c r="N650" t="s">
        <v>750</v>
      </c>
      <c r="P650" s="12" t="s">
        <v>440</v>
      </c>
      <c r="Q650" s="12">
        <v>24646968</v>
      </c>
    </row>
    <row r="651" spans="14:17">
      <c r="N651" t="s">
        <v>1952</v>
      </c>
      <c r="P651" s="12" t="s">
        <v>1130</v>
      </c>
      <c r="Q651" s="12">
        <v>24646968</v>
      </c>
    </row>
    <row r="652" spans="14:17">
      <c r="N652" t="s">
        <v>1954</v>
      </c>
      <c r="P652" t="s">
        <v>1131</v>
      </c>
      <c r="Q652" s="12">
        <v>24646968</v>
      </c>
    </row>
    <row r="653" spans="14:17">
      <c r="N653" t="s">
        <v>1955</v>
      </c>
      <c r="P653" s="12" t="s">
        <v>1132</v>
      </c>
      <c r="Q653" s="12">
        <v>35401598</v>
      </c>
    </row>
    <row r="654" spans="14:17">
      <c r="N654" t="s">
        <v>752</v>
      </c>
      <c r="P654" s="12" t="s">
        <v>441</v>
      </c>
      <c r="Q654" s="12">
        <v>35905514</v>
      </c>
    </row>
    <row r="655" spans="14:17">
      <c r="N655" t="s">
        <v>1959</v>
      </c>
      <c r="P655" s="12" t="s">
        <v>1133</v>
      </c>
      <c r="Q655" s="12">
        <v>35905514</v>
      </c>
    </row>
    <row r="656" spans="14:17">
      <c r="N656" t="s">
        <v>1961</v>
      </c>
      <c r="P656" s="12" t="s">
        <v>1134</v>
      </c>
      <c r="Q656" s="12">
        <v>35905514</v>
      </c>
    </row>
    <row r="657" spans="14:17">
      <c r="N657" t="s">
        <v>754</v>
      </c>
      <c r="P657" s="12" t="s">
        <v>1135</v>
      </c>
      <c r="Q657" s="12">
        <v>36082962</v>
      </c>
    </row>
    <row r="658" spans="14:17">
      <c r="N658" t="s">
        <v>1971</v>
      </c>
      <c r="P658" s="12" t="s">
        <v>1136</v>
      </c>
      <c r="Q658" s="12">
        <v>36741033</v>
      </c>
    </row>
    <row r="659" spans="14:17">
      <c r="N659" t="s">
        <v>756</v>
      </c>
      <c r="P659" s="12" t="s">
        <v>443</v>
      </c>
      <c r="Q659" s="12">
        <v>45298394</v>
      </c>
    </row>
    <row r="660" spans="14:17">
      <c r="N660" t="s">
        <v>758</v>
      </c>
      <c r="P660" s="12" t="s">
        <v>1137</v>
      </c>
      <c r="Q660" s="12">
        <v>38176948</v>
      </c>
    </row>
    <row r="661" spans="14:17">
      <c r="N661" t="s">
        <v>1974</v>
      </c>
      <c r="P661" s="12" t="s">
        <v>1138</v>
      </c>
      <c r="Q661" s="12">
        <v>38176948</v>
      </c>
    </row>
    <row r="662" spans="14:17">
      <c r="N662" t="s">
        <v>761</v>
      </c>
      <c r="P662" s="12" t="s">
        <v>444</v>
      </c>
      <c r="Q662" s="12">
        <v>38176948</v>
      </c>
    </row>
    <row r="663" spans="14:17">
      <c r="N663" t="s">
        <v>763</v>
      </c>
      <c r="P663" s="12" t="s">
        <v>1139</v>
      </c>
      <c r="Q663" s="12">
        <v>35166947</v>
      </c>
    </row>
    <row r="664" spans="14:17">
      <c r="N664" t="s">
        <v>765</v>
      </c>
      <c r="P664" s="12" t="s">
        <v>1140</v>
      </c>
      <c r="Q664" s="12">
        <v>35166947</v>
      </c>
    </row>
    <row r="665" spans="14:17">
      <c r="N665" t="s">
        <v>1982</v>
      </c>
      <c r="P665" s="12" t="s">
        <v>1141</v>
      </c>
      <c r="Q665" s="12">
        <v>38152546</v>
      </c>
    </row>
    <row r="666" spans="14:17">
      <c r="N666" t="s">
        <v>1983</v>
      </c>
      <c r="P666" s="12" t="s">
        <v>448</v>
      </c>
      <c r="Q666" s="12">
        <v>44936421</v>
      </c>
    </row>
    <row r="667" spans="14:17">
      <c r="N667" t="s">
        <v>1986</v>
      </c>
      <c r="P667" s="12" t="s">
        <v>1142</v>
      </c>
      <c r="Q667" s="12">
        <v>35905514</v>
      </c>
    </row>
    <row r="668" spans="14:17">
      <c r="N668" t="s">
        <v>1987</v>
      </c>
      <c r="P668" s="12" t="s">
        <v>1143</v>
      </c>
      <c r="Q668" s="12">
        <v>35166947</v>
      </c>
    </row>
    <row r="669" spans="14:17">
      <c r="N669" t="s">
        <v>767</v>
      </c>
      <c r="P669" t="s">
        <v>1144</v>
      </c>
      <c r="Q669" s="12">
        <v>43896868</v>
      </c>
    </row>
    <row r="670" spans="14:17">
      <c r="N670" t="s">
        <v>1991</v>
      </c>
      <c r="P670" s="12" t="s">
        <v>450</v>
      </c>
      <c r="Q670" s="12">
        <v>43896868</v>
      </c>
    </row>
    <row r="671" spans="14:17">
      <c r="N671" t="s">
        <v>769</v>
      </c>
      <c r="P671" s="12" t="s">
        <v>1145</v>
      </c>
      <c r="Q671" s="12">
        <v>43896868</v>
      </c>
    </row>
    <row r="672" spans="14:17">
      <c r="N672" t="s">
        <v>770</v>
      </c>
      <c r="P672" t="s">
        <v>2504</v>
      </c>
      <c r="Q672" s="12">
        <v>43896868</v>
      </c>
    </row>
    <row r="673" spans="14:17">
      <c r="N673" t="s">
        <v>1995</v>
      </c>
      <c r="P673" t="s">
        <v>2507</v>
      </c>
      <c r="Q673" s="12">
        <v>43896868</v>
      </c>
    </row>
    <row r="674" spans="14:17">
      <c r="N674" t="s">
        <v>772</v>
      </c>
      <c r="P674" t="s">
        <v>1146</v>
      </c>
      <c r="Q674" s="12">
        <v>43896868</v>
      </c>
    </row>
    <row r="675" spans="14:17">
      <c r="N675" t="s">
        <v>774</v>
      </c>
      <c r="P675" t="s">
        <v>1147</v>
      </c>
      <c r="Q675" s="12">
        <v>18822937</v>
      </c>
    </row>
    <row r="676" spans="14:17">
      <c r="N676" t="s">
        <v>2000</v>
      </c>
      <c r="P676" s="12" t="s">
        <v>451</v>
      </c>
      <c r="Q676" s="12">
        <v>18822937</v>
      </c>
    </row>
    <row r="677" spans="14:17">
      <c r="N677" t="s">
        <v>777</v>
      </c>
      <c r="P677" t="s">
        <v>1148</v>
      </c>
      <c r="Q677" s="12">
        <v>18822937</v>
      </c>
    </row>
    <row r="678" spans="14:17">
      <c r="N678" t="s">
        <v>779</v>
      </c>
      <c r="P678" t="s">
        <v>1149</v>
      </c>
      <c r="Q678" s="12">
        <v>45147543</v>
      </c>
    </row>
    <row r="679" spans="14:17">
      <c r="N679" t="s">
        <v>2004</v>
      </c>
      <c r="P679" t="s">
        <v>1150</v>
      </c>
      <c r="Q679" s="12">
        <v>45147543</v>
      </c>
    </row>
    <row r="680" spans="14:17">
      <c r="N680" t="s">
        <v>781</v>
      </c>
      <c r="P680" s="12" t="s">
        <v>1151</v>
      </c>
      <c r="Q680" s="12">
        <v>25474329</v>
      </c>
    </row>
    <row r="681" spans="14:17">
      <c r="N681" t="s">
        <v>2006</v>
      </c>
      <c r="P681" s="12" t="s">
        <v>1152</v>
      </c>
      <c r="Q681" s="12">
        <v>45147543</v>
      </c>
    </row>
    <row r="682" spans="14:17">
      <c r="N682" t="s">
        <v>783</v>
      </c>
      <c r="P682" s="12" t="s">
        <v>1153</v>
      </c>
      <c r="Q682" s="12">
        <v>11682</v>
      </c>
    </row>
    <row r="683" spans="14:17">
      <c r="N683" t="s">
        <v>2009</v>
      </c>
      <c r="P683" s="12" t="s">
        <v>1154</v>
      </c>
      <c r="Q683" s="12">
        <v>25474329</v>
      </c>
    </row>
    <row r="684" spans="14:17">
      <c r="N684" t="s">
        <v>785</v>
      </c>
      <c r="P684" s="12" t="s">
        <v>453</v>
      </c>
      <c r="Q684" s="12">
        <v>25474329</v>
      </c>
    </row>
    <row r="685" spans="14:17">
      <c r="N685" t="s">
        <v>2016</v>
      </c>
      <c r="P685" s="12" t="s">
        <v>1155</v>
      </c>
      <c r="Q685" s="12">
        <v>47085696</v>
      </c>
    </row>
    <row r="686" spans="14:17">
      <c r="N686" t="s">
        <v>2018</v>
      </c>
      <c r="P686" s="12" t="s">
        <v>1156</v>
      </c>
      <c r="Q686" s="12">
        <v>47085696</v>
      </c>
    </row>
    <row r="687" spans="14:17">
      <c r="N687" t="s">
        <v>2022</v>
      </c>
      <c r="P687" t="s">
        <v>1157</v>
      </c>
      <c r="Q687">
        <v>44940129</v>
      </c>
    </row>
    <row r="688" spans="14:17">
      <c r="N688" t="s">
        <v>2024</v>
      </c>
      <c r="P688" t="s">
        <v>1158</v>
      </c>
      <c r="Q688">
        <v>44940129</v>
      </c>
    </row>
    <row r="689" spans="14:17">
      <c r="N689" t="s">
        <v>2025</v>
      </c>
      <c r="P689" s="12" t="s">
        <v>1159</v>
      </c>
      <c r="Q689" s="12">
        <v>42237955</v>
      </c>
    </row>
    <row r="690" spans="14:17">
      <c r="N690" t="s">
        <v>2026</v>
      </c>
      <c r="P690" s="12" t="s">
        <v>1160</v>
      </c>
      <c r="Q690" s="12">
        <v>42237955</v>
      </c>
    </row>
    <row r="691" spans="14:17">
      <c r="N691" t="s">
        <v>2027</v>
      </c>
      <c r="P691" s="12" t="s">
        <v>1161</v>
      </c>
      <c r="Q691" s="12">
        <v>40239501</v>
      </c>
    </row>
    <row r="692" spans="14:17">
      <c r="N692" t="s">
        <v>787</v>
      </c>
      <c r="P692" s="12" t="s">
        <v>1162</v>
      </c>
      <c r="Q692" s="12">
        <v>14121700</v>
      </c>
    </row>
    <row r="693" spans="14:17">
      <c r="N693" t="s">
        <v>2032</v>
      </c>
      <c r="P693" t="s">
        <v>2479</v>
      </c>
      <c r="Q693">
        <v>46749945</v>
      </c>
    </row>
    <row r="694" spans="14:17">
      <c r="N694" t="s">
        <v>789</v>
      </c>
      <c r="P694" t="s">
        <v>2480</v>
      </c>
      <c r="Q694">
        <v>46749945</v>
      </c>
    </row>
    <row r="695" spans="14:17">
      <c r="N695" t="s">
        <v>791</v>
      </c>
      <c r="P695" t="s">
        <v>1163</v>
      </c>
      <c r="Q695">
        <v>43629203</v>
      </c>
    </row>
    <row r="696" spans="14:17">
      <c r="N696" t="s">
        <v>792</v>
      </c>
      <c r="P696" t="s">
        <v>1164</v>
      </c>
      <c r="Q696">
        <v>43629203</v>
      </c>
    </row>
    <row r="697" spans="14:17">
      <c r="N697" t="s">
        <v>794</v>
      </c>
      <c r="P697" t="s">
        <v>1165</v>
      </c>
      <c r="Q697">
        <v>43629203</v>
      </c>
    </row>
    <row r="698" spans="14:17">
      <c r="N698" t="s">
        <v>796</v>
      </c>
      <c r="P698" t="s">
        <v>1166</v>
      </c>
      <c r="Q698">
        <v>43629203</v>
      </c>
    </row>
    <row r="699" spans="14:17">
      <c r="N699" t="s">
        <v>2044</v>
      </c>
      <c r="P699" t="s">
        <v>1167</v>
      </c>
      <c r="Q699">
        <v>43629203</v>
      </c>
    </row>
    <row r="700" spans="14:17">
      <c r="N700" t="s">
        <v>800</v>
      </c>
      <c r="P700" t="s">
        <v>1168</v>
      </c>
      <c r="Q700">
        <v>43629203</v>
      </c>
    </row>
    <row r="701" spans="14:17">
      <c r="N701" t="s">
        <v>2056</v>
      </c>
      <c r="P701" s="12" t="s">
        <v>1169</v>
      </c>
      <c r="Q701" s="12">
        <v>38358265</v>
      </c>
    </row>
    <row r="702" spans="14:17">
      <c r="N702" t="s">
        <v>801</v>
      </c>
      <c r="P702" s="12" t="s">
        <v>1170</v>
      </c>
      <c r="Q702" s="12">
        <v>27436279</v>
      </c>
    </row>
    <row r="703" spans="14:17">
      <c r="N703" t="s">
        <v>803</v>
      </c>
      <c r="P703" s="12" t="s">
        <v>1171</v>
      </c>
      <c r="Q703" s="12">
        <v>38358265</v>
      </c>
    </row>
    <row r="704" spans="14:17">
      <c r="N704" t="s">
        <v>2064</v>
      </c>
      <c r="P704" t="s">
        <v>1172</v>
      </c>
      <c r="Q704">
        <v>42192687</v>
      </c>
    </row>
    <row r="705" spans="14:17">
      <c r="N705" t="s">
        <v>2066</v>
      </c>
      <c r="P705" t="s">
        <v>1173</v>
      </c>
      <c r="Q705">
        <v>42192687</v>
      </c>
    </row>
    <row r="706" spans="14:17">
      <c r="N706" t="s">
        <v>2068</v>
      </c>
      <c r="P706" t="s">
        <v>1174</v>
      </c>
      <c r="Q706">
        <v>42192687</v>
      </c>
    </row>
    <row r="707" spans="14:17">
      <c r="N707" t="s">
        <v>2069</v>
      </c>
      <c r="P707" t="s">
        <v>1175</v>
      </c>
      <c r="Q707">
        <v>42192687</v>
      </c>
    </row>
    <row r="708" spans="14:17">
      <c r="N708" t="s">
        <v>804</v>
      </c>
      <c r="P708" s="12" t="s">
        <v>1176</v>
      </c>
      <c r="Q708" s="12">
        <v>33977995</v>
      </c>
    </row>
    <row r="709" spans="14:17">
      <c r="N709" t="s">
        <v>2078</v>
      </c>
      <c r="P709" s="12" t="s">
        <v>1177</v>
      </c>
      <c r="Q709" s="12">
        <v>39416017</v>
      </c>
    </row>
    <row r="710" spans="14:17">
      <c r="N710" t="s">
        <v>2079</v>
      </c>
      <c r="P710" s="12" t="s">
        <v>1178</v>
      </c>
      <c r="Q710" s="12">
        <v>33977995</v>
      </c>
    </row>
    <row r="711" spans="14:17">
      <c r="N711" t="s">
        <v>2080</v>
      </c>
      <c r="P711" s="12" t="s">
        <v>456</v>
      </c>
      <c r="Q711" s="12">
        <v>39416017</v>
      </c>
    </row>
    <row r="712" spans="14:17">
      <c r="N712" t="s">
        <v>2456</v>
      </c>
      <c r="P712" s="12" t="s">
        <v>1179</v>
      </c>
      <c r="Q712" s="12">
        <v>92854523</v>
      </c>
    </row>
    <row r="713" spans="14:17">
      <c r="N713" t="s">
        <v>2083</v>
      </c>
      <c r="P713" s="12" t="s">
        <v>1180</v>
      </c>
      <c r="Q713" s="12">
        <v>32956296</v>
      </c>
    </row>
    <row r="714" spans="14:17">
      <c r="N714" t="s">
        <v>2084</v>
      </c>
      <c r="P714" t="s">
        <v>1181</v>
      </c>
      <c r="Q714">
        <v>44260361</v>
      </c>
    </row>
    <row r="715" spans="14:17">
      <c r="N715" t="s">
        <v>805</v>
      </c>
      <c r="P715" t="s">
        <v>1182</v>
      </c>
      <c r="Q715">
        <v>44260361</v>
      </c>
    </row>
    <row r="716" spans="14:17">
      <c r="N716" t="s">
        <v>807</v>
      </c>
      <c r="P716" t="s">
        <v>1183</v>
      </c>
      <c r="Q716">
        <v>44260361</v>
      </c>
    </row>
    <row r="717" spans="14:17">
      <c r="N717" t="s">
        <v>2501</v>
      </c>
      <c r="P717" t="s">
        <v>2438</v>
      </c>
      <c r="Q717">
        <v>44260361</v>
      </c>
    </row>
    <row r="718" spans="14:17">
      <c r="N718" t="s">
        <v>2620</v>
      </c>
      <c r="P718" t="s">
        <v>1184</v>
      </c>
      <c r="Q718">
        <v>44260361</v>
      </c>
    </row>
    <row r="719" spans="14:17">
      <c r="N719" t="s">
        <v>809</v>
      </c>
      <c r="P719" t="s">
        <v>1185</v>
      </c>
      <c r="Q719">
        <v>44260361</v>
      </c>
    </row>
    <row r="720" spans="14:17">
      <c r="N720" t="s">
        <v>811</v>
      </c>
      <c r="P720" t="s">
        <v>1186</v>
      </c>
      <c r="Q720">
        <v>44260361</v>
      </c>
    </row>
    <row r="721" spans="14:17">
      <c r="N721" t="s">
        <v>2098</v>
      </c>
      <c r="P721" s="12" t="s">
        <v>1187</v>
      </c>
      <c r="Q721" s="12">
        <v>32948</v>
      </c>
    </row>
    <row r="722" spans="14:17">
      <c r="N722" t="s">
        <v>2099</v>
      </c>
      <c r="P722" s="12" t="s">
        <v>458</v>
      </c>
      <c r="Q722" s="12">
        <v>32948</v>
      </c>
    </row>
    <row r="723" spans="14:17">
      <c r="N723" t="s">
        <v>2102</v>
      </c>
      <c r="P723" s="12" t="s">
        <v>1188</v>
      </c>
      <c r="Q723" s="12">
        <v>45919195</v>
      </c>
    </row>
    <row r="724" spans="14:17">
      <c r="N724" t="s">
        <v>812</v>
      </c>
      <c r="P724" s="12" t="s">
        <v>1189</v>
      </c>
      <c r="Q724" s="12">
        <v>45919195</v>
      </c>
    </row>
    <row r="725" spans="14:17">
      <c r="N725" t="s">
        <v>2104</v>
      </c>
      <c r="P725" s="12" t="s">
        <v>1190</v>
      </c>
      <c r="Q725" s="12">
        <v>45919195</v>
      </c>
    </row>
    <row r="726" spans="14:17">
      <c r="N726" t="s">
        <v>814</v>
      </c>
      <c r="P726" s="12" t="s">
        <v>1191</v>
      </c>
      <c r="Q726" s="12">
        <v>45919195</v>
      </c>
    </row>
    <row r="727" spans="14:17">
      <c r="N727" t="s">
        <v>2106</v>
      </c>
      <c r="P727" t="s">
        <v>2439</v>
      </c>
      <c r="Q727">
        <v>41917769</v>
      </c>
    </row>
    <row r="728" spans="14:17">
      <c r="N728" t="s">
        <v>2107</v>
      </c>
      <c r="P728" s="12" t="s">
        <v>1192</v>
      </c>
      <c r="Q728" s="12">
        <v>39416403</v>
      </c>
    </row>
    <row r="729" spans="14:17">
      <c r="N729" t="s">
        <v>816</v>
      </c>
      <c r="P729" s="12" t="s">
        <v>1193</v>
      </c>
      <c r="Q729" s="12">
        <v>39416403</v>
      </c>
    </row>
    <row r="730" spans="14:17">
      <c r="N730" t="s">
        <v>817</v>
      </c>
      <c r="P730" s="12" t="s">
        <v>1194</v>
      </c>
      <c r="Q730" s="12">
        <v>33615</v>
      </c>
    </row>
    <row r="731" spans="14:17">
      <c r="N731" t="s">
        <v>819</v>
      </c>
      <c r="P731" s="12" t="s">
        <v>1195</v>
      </c>
      <c r="Q731" s="12">
        <v>44884266</v>
      </c>
    </row>
    <row r="732" spans="14:17">
      <c r="N732" t="s">
        <v>821</v>
      </c>
      <c r="P732" s="12" t="s">
        <v>2541</v>
      </c>
      <c r="Q732" s="12" t="s">
        <v>776</v>
      </c>
    </row>
    <row r="733" spans="14:17">
      <c r="N733" t="s">
        <v>2124</v>
      </c>
      <c r="P733" s="12" t="s">
        <v>1196</v>
      </c>
      <c r="Q733" s="12">
        <v>26074677</v>
      </c>
    </row>
    <row r="734" spans="14:17">
      <c r="N734" t="s">
        <v>823</v>
      </c>
      <c r="P734" s="12" t="s">
        <v>1197</v>
      </c>
      <c r="Q734" s="12">
        <v>33615</v>
      </c>
    </row>
    <row r="735" spans="14:17">
      <c r="N735" t="s">
        <v>825</v>
      </c>
      <c r="P735" s="12" t="s">
        <v>1198</v>
      </c>
      <c r="Q735" s="12">
        <v>33615</v>
      </c>
    </row>
    <row r="736" spans="14:17">
      <c r="N736" t="s">
        <v>827</v>
      </c>
      <c r="P736" s="12" t="s">
        <v>460</v>
      </c>
      <c r="Q736" s="12">
        <v>44884266</v>
      </c>
    </row>
    <row r="737" spans="14:17">
      <c r="N737" t="s">
        <v>2130</v>
      </c>
      <c r="P737" s="12" t="s">
        <v>462</v>
      </c>
      <c r="Q737" s="12">
        <v>34210219</v>
      </c>
    </row>
    <row r="738" spans="14:17">
      <c r="N738" t="s">
        <v>2132</v>
      </c>
      <c r="P738" s="12" t="s">
        <v>1199</v>
      </c>
      <c r="Q738" s="12">
        <v>34210219</v>
      </c>
    </row>
    <row r="739" spans="14:17">
      <c r="N739" t="s">
        <v>2134</v>
      </c>
      <c r="P739" t="s">
        <v>1200</v>
      </c>
      <c r="Q739" s="12">
        <v>42662009</v>
      </c>
    </row>
    <row r="740" spans="14:17">
      <c r="N740" t="s">
        <v>2135</v>
      </c>
      <c r="P740" t="s">
        <v>2440</v>
      </c>
      <c r="Q740">
        <v>45689445</v>
      </c>
    </row>
    <row r="741" spans="14:17">
      <c r="N741" t="s">
        <v>2136</v>
      </c>
      <c r="P741" t="s">
        <v>2458</v>
      </c>
      <c r="Q741">
        <v>41823505</v>
      </c>
    </row>
    <row r="742" spans="14:17">
      <c r="N742" t="s">
        <v>2138</v>
      </c>
      <c r="P742" t="s">
        <v>1201</v>
      </c>
      <c r="Q742">
        <v>41823505</v>
      </c>
    </row>
    <row r="743" spans="14:17">
      <c r="N743" t="s">
        <v>2139</v>
      </c>
      <c r="P743" t="s">
        <v>2459</v>
      </c>
      <c r="Q743" s="12">
        <v>45356816</v>
      </c>
    </row>
    <row r="744" spans="14:17">
      <c r="N744" t="s">
        <v>2140</v>
      </c>
      <c r="P744" s="12" t="s">
        <v>1202</v>
      </c>
      <c r="Q744" s="12">
        <v>45356816</v>
      </c>
    </row>
    <row r="745" spans="14:17">
      <c r="N745" t="s">
        <v>829</v>
      </c>
      <c r="P745" s="12" t="s">
        <v>1203</v>
      </c>
      <c r="Q745" s="12">
        <v>45356816</v>
      </c>
    </row>
    <row r="746" spans="14:17">
      <c r="N746" t="s">
        <v>2143</v>
      </c>
      <c r="P746" s="12" t="s">
        <v>464</v>
      </c>
      <c r="Q746" s="12">
        <v>42662009</v>
      </c>
    </row>
    <row r="747" spans="14:17">
      <c r="N747" t="s">
        <v>2144</v>
      </c>
      <c r="P747" s="12" t="s">
        <v>1204</v>
      </c>
      <c r="Q747" s="12">
        <v>42662009</v>
      </c>
    </row>
    <row r="748" spans="14:17">
      <c r="N748" t="s">
        <v>831</v>
      </c>
      <c r="P748" s="12" t="s">
        <v>1205</v>
      </c>
      <c r="Q748" s="12">
        <v>42662009</v>
      </c>
    </row>
    <row r="749" spans="14:17">
      <c r="N749" t="s">
        <v>833</v>
      </c>
      <c r="P749" s="12" t="s">
        <v>1206</v>
      </c>
      <c r="Q749" s="12">
        <v>30799</v>
      </c>
    </row>
    <row r="750" spans="14:17">
      <c r="N750" t="s">
        <v>834</v>
      </c>
      <c r="P750" s="12" t="s">
        <v>465</v>
      </c>
      <c r="Q750" s="12">
        <v>34514275</v>
      </c>
    </row>
    <row r="751" spans="14:17">
      <c r="N751" t="s">
        <v>2152</v>
      </c>
      <c r="P751" s="12" t="s">
        <v>1207</v>
      </c>
      <c r="Q751" s="12">
        <v>34514275</v>
      </c>
    </row>
    <row r="752" spans="14:17">
      <c r="N752" t="s">
        <v>836</v>
      </c>
      <c r="P752" t="s">
        <v>1208</v>
      </c>
      <c r="Q752" s="12">
        <v>34514275</v>
      </c>
    </row>
    <row r="753" spans="14:17">
      <c r="N753" t="s">
        <v>838</v>
      </c>
      <c r="P753" t="s">
        <v>1209</v>
      </c>
      <c r="Q753">
        <v>41823505</v>
      </c>
    </row>
    <row r="754" spans="14:17">
      <c r="N754" t="s">
        <v>840</v>
      </c>
      <c r="P754" t="s">
        <v>1210</v>
      </c>
      <c r="Q754">
        <v>41823505</v>
      </c>
    </row>
    <row r="755" spans="14:17">
      <c r="N755" t="s">
        <v>2158</v>
      </c>
      <c r="P755" s="12" t="s">
        <v>1211</v>
      </c>
      <c r="Q755" s="12">
        <v>45356816</v>
      </c>
    </row>
    <row r="756" spans="14:17">
      <c r="N756" t="s">
        <v>2162</v>
      </c>
      <c r="P756" s="12" t="s">
        <v>467</v>
      </c>
      <c r="Q756" s="12">
        <v>46285009</v>
      </c>
    </row>
    <row r="757" spans="14:17">
      <c r="N757" t="s">
        <v>842</v>
      </c>
      <c r="P757" t="s">
        <v>1212</v>
      </c>
      <c r="Q757">
        <v>46201746</v>
      </c>
    </row>
    <row r="758" spans="14:17">
      <c r="N758" t="s">
        <v>2166</v>
      </c>
      <c r="P758" t="s">
        <v>1213</v>
      </c>
      <c r="Q758">
        <v>46201746</v>
      </c>
    </row>
    <row r="759" spans="14:17">
      <c r="N759" t="s">
        <v>2167</v>
      </c>
      <c r="P759" t="s">
        <v>1214</v>
      </c>
      <c r="Q759">
        <v>46201746</v>
      </c>
    </row>
    <row r="760" spans="14:17">
      <c r="N760" t="s">
        <v>2168</v>
      </c>
      <c r="P760" t="s">
        <v>1215</v>
      </c>
      <c r="Q760">
        <v>46201746</v>
      </c>
    </row>
    <row r="761" spans="14:17">
      <c r="N761" t="s">
        <v>844</v>
      </c>
      <c r="P761" t="s">
        <v>1216</v>
      </c>
      <c r="Q761">
        <v>46201746</v>
      </c>
    </row>
    <row r="762" spans="14:17">
      <c r="N762" t="s">
        <v>2171</v>
      </c>
      <c r="P762" s="12" t="s">
        <v>1217</v>
      </c>
      <c r="Q762" s="12">
        <v>30461376</v>
      </c>
    </row>
    <row r="763" spans="14:17">
      <c r="N763" t="s">
        <v>846</v>
      </c>
      <c r="P763" s="12" t="s">
        <v>469</v>
      </c>
      <c r="Q763" s="12">
        <v>30461376</v>
      </c>
    </row>
    <row r="764" spans="14:17">
      <c r="N764" t="s">
        <v>2174</v>
      </c>
      <c r="P764" s="12" t="s">
        <v>1218</v>
      </c>
      <c r="Q764" s="12">
        <v>12434</v>
      </c>
    </row>
    <row r="765" spans="14:17">
      <c r="N765" t="s">
        <v>2177</v>
      </c>
      <c r="P765" s="12" t="s">
        <v>471</v>
      </c>
      <c r="Q765" s="12">
        <v>12434</v>
      </c>
    </row>
    <row r="766" spans="14:17">
      <c r="N766" t="s">
        <v>848</v>
      </c>
      <c r="P766" t="s">
        <v>1219</v>
      </c>
      <c r="Q766">
        <v>42056185</v>
      </c>
    </row>
    <row r="767" spans="14:17">
      <c r="N767" t="s">
        <v>2621</v>
      </c>
      <c r="P767" t="s">
        <v>1220</v>
      </c>
      <c r="Q767">
        <v>42056185</v>
      </c>
    </row>
    <row r="768" spans="14:17">
      <c r="N768" t="s">
        <v>2183</v>
      </c>
      <c r="P768" s="12" t="s">
        <v>1221</v>
      </c>
      <c r="Q768" s="12">
        <v>33796165</v>
      </c>
    </row>
    <row r="769" spans="14:17">
      <c r="N769" t="s">
        <v>850</v>
      </c>
      <c r="P769" t="s">
        <v>1222</v>
      </c>
      <c r="Q769">
        <v>42056185</v>
      </c>
    </row>
    <row r="770" spans="14:17">
      <c r="N770" t="s">
        <v>2188</v>
      </c>
      <c r="P770" s="12" t="s">
        <v>1223</v>
      </c>
      <c r="Q770" s="12">
        <v>38243076</v>
      </c>
    </row>
    <row r="771" spans="14:17">
      <c r="N771" t="s">
        <v>2189</v>
      </c>
      <c r="P771" t="s">
        <v>1224</v>
      </c>
      <c r="Q771">
        <v>42056185</v>
      </c>
    </row>
    <row r="772" spans="14:17">
      <c r="N772" t="s">
        <v>852</v>
      </c>
      <c r="P772" s="12" t="s">
        <v>473</v>
      </c>
      <c r="Q772" s="12">
        <v>38243076</v>
      </c>
    </row>
    <row r="773" spans="14:17">
      <c r="N773" t="s">
        <v>2194</v>
      </c>
      <c r="P773" s="12" t="s">
        <v>1225</v>
      </c>
      <c r="Q773" s="12">
        <v>24062463</v>
      </c>
    </row>
    <row r="774" spans="14:17">
      <c r="N774" t="s">
        <v>854</v>
      </c>
      <c r="P774" s="12" t="s">
        <v>475</v>
      </c>
      <c r="Q774" s="12">
        <v>24062463</v>
      </c>
    </row>
    <row r="775" spans="14:17">
      <c r="N775" t="s">
        <v>2195</v>
      </c>
      <c r="P775" s="12" t="s">
        <v>1226</v>
      </c>
      <c r="Q775" s="12">
        <v>38619023</v>
      </c>
    </row>
    <row r="776" spans="14:17">
      <c r="N776" t="s">
        <v>856</v>
      </c>
      <c r="P776" s="12" t="s">
        <v>477</v>
      </c>
      <c r="Q776" s="12">
        <v>38619023</v>
      </c>
    </row>
    <row r="777" spans="14:17">
      <c r="N777" t="s">
        <v>858</v>
      </c>
      <c r="P777" t="s">
        <v>1227</v>
      </c>
      <c r="Q777">
        <v>37019337</v>
      </c>
    </row>
    <row r="778" spans="14:17">
      <c r="N778" t="s">
        <v>2198</v>
      </c>
      <c r="P778" t="s">
        <v>1228</v>
      </c>
      <c r="Q778">
        <v>37019337</v>
      </c>
    </row>
    <row r="779" spans="14:17">
      <c r="N779" t="s">
        <v>2502</v>
      </c>
      <c r="P779" s="12" t="s">
        <v>1229</v>
      </c>
      <c r="Q779" s="12">
        <v>41692680</v>
      </c>
    </row>
    <row r="780" spans="14:17">
      <c r="N780" t="s">
        <v>2203</v>
      </c>
      <c r="P780" s="12" t="s">
        <v>1230</v>
      </c>
      <c r="Q780" s="12">
        <v>41692680</v>
      </c>
    </row>
    <row r="781" spans="14:17">
      <c r="N781" t="s">
        <v>860</v>
      </c>
      <c r="P781" s="12" t="s">
        <v>479</v>
      </c>
      <c r="Q781" s="12">
        <v>41692680</v>
      </c>
    </row>
    <row r="782" spans="14:17">
      <c r="N782" t="s">
        <v>861</v>
      </c>
      <c r="P782" t="s">
        <v>1231</v>
      </c>
      <c r="Q782">
        <v>47787990</v>
      </c>
    </row>
    <row r="783" spans="14:17">
      <c r="N783" t="s">
        <v>863</v>
      </c>
      <c r="P783" s="12" t="s">
        <v>1232</v>
      </c>
      <c r="Q783" s="12">
        <v>12177</v>
      </c>
    </row>
    <row r="784" spans="14:17">
      <c r="N784" t="s">
        <v>2213</v>
      </c>
      <c r="P784" s="12" t="s">
        <v>1233</v>
      </c>
      <c r="Q784" s="12">
        <v>12177</v>
      </c>
    </row>
    <row r="785" spans="14:17">
      <c r="N785" t="s">
        <v>2214</v>
      </c>
      <c r="P785" t="s">
        <v>1234</v>
      </c>
      <c r="Q785">
        <v>47787990</v>
      </c>
    </row>
    <row r="786" spans="14:17">
      <c r="N786" t="s">
        <v>864</v>
      </c>
      <c r="P786" t="s">
        <v>1235</v>
      </c>
      <c r="Q786">
        <v>47787990</v>
      </c>
    </row>
    <row r="787" spans="14:17">
      <c r="N787" t="s">
        <v>866</v>
      </c>
      <c r="P787" t="s">
        <v>1236</v>
      </c>
      <c r="Q787">
        <v>23643860</v>
      </c>
    </row>
    <row r="788" spans="14:17">
      <c r="N788" t="s">
        <v>2220</v>
      </c>
      <c r="P788" t="s">
        <v>1237</v>
      </c>
      <c r="Q788">
        <v>23643860</v>
      </c>
    </row>
    <row r="789" spans="14:17">
      <c r="N789" t="s">
        <v>2228</v>
      </c>
      <c r="P789" t="s">
        <v>1238</v>
      </c>
      <c r="Q789">
        <v>23643860</v>
      </c>
    </row>
    <row r="790" spans="14:17">
      <c r="N790" t="s">
        <v>868</v>
      </c>
      <c r="P790" t="s">
        <v>1239</v>
      </c>
      <c r="Q790">
        <v>23643860</v>
      </c>
    </row>
    <row r="791" spans="14:17">
      <c r="N791" t="s">
        <v>869</v>
      </c>
      <c r="P791" t="s">
        <v>1240</v>
      </c>
      <c r="Q791">
        <v>23643860</v>
      </c>
    </row>
    <row r="792" spans="14:17">
      <c r="N792" t="s">
        <v>2231</v>
      </c>
      <c r="P792" s="12" t="s">
        <v>1241</v>
      </c>
      <c r="Q792" s="12">
        <v>40128517</v>
      </c>
    </row>
    <row r="793" spans="14:17">
      <c r="N793" t="s">
        <v>2232</v>
      </c>
      <c r="P793" t="s">
        <v>1242</v>
      </c>
      <c r="Q793">
        <v>40535524</v>
      </c>
    </row>
    <row r="794" spans="14:17">
      <c r="N794" t="s">
        <v>870</v>
      </c>
      <c r="P794" s="12" t="s">
        <v>1243</v>
      </c>
      <c r="Q794" s="12">
        <v>44965623</v>
      </c>
    </row>
    <row r="795" spans="14:17">
      <c r="N795" t="s">
        <v>2234</v>
      </c>
      <c r="P795" s="12" t="s">
        <v>1244</v>
      </c>
      <c r="Q795" s="12">
        <v>43244454</v>
      </c>
    </row>
    <row r="796" spans="14:17">
      <c r="N796" t="s">
        <v>872</v>
      </c>
      <c r="P796" s="12" t="s">
        <v>1245</v>
      </c>
      <c r="Q796" s="12">
        <v>43244454</v>
      </c>
    </row>
    <row r="797" spans="14:17">
      <c r="N797" t="s">
        <v>2239</v>
      </c>
      <c r="P797" s="12" t="s">
        <v>2542</v>
      </c>
      <c r="Q797" s="12">
        <v>43244454</v>
      </c>
    </row>
    <row r="798" spans="14:17">
      <c r="N798" t="s">
        <v>2241</v>
      </c>
      <c r="P798" s="12" t="s">
        <v>480</v>
      </c>
      <c r="Q798" s="12">
        <v>43244454</v>
      </c>
    </row>
    <row r="799" spans="14:17">
      <c r="N799" t="s">
        <v>2245</v>
      </c>
      <c r="P799" s="12" t="s">
        <v>1246</v>
      </c>
      <c r="Q799" s="12">
        <v>40422367</v>
      </c>
    </row>
    <row r="800" spans="14:17">
      <c r="N800" t="s">
        <v>874</v>
      </c>
      <c r="P800" s="12" t="s">
        <v>1247</v>
      </c>
      <c r="Q800" s="12">
        <v>40422367</v>
      </c>
    </row>
    <row r="801" spans="14:17">
      <c r="N801" t="s">
        <v>876</v>
      </c>
      <c r="P801" s="12" t="s">
        <v>1248</v>
      </c>
      <c r="Q801" s="12">
        <v>42021827</v>
      </c>
    </row>
    <row r="802" spans="14:17">
      <c r="N802" t="s">
        <v>2250</v>
      </c>
      <c r="P802" s="12" t="s">
        <v>482</v>
      </c>
      <c r="Q802" s="12">
        <v>42021827</v>
      </c>
    </row>
    <row r="803" spans="14:17">
      <c r="N803" t="s">
        <v>877</v>
      </c>
      <c r="P803" s="12" t="s">
        <v>1249</v>
      </c>
      <c r="Q803" s="12">
        <v>39376070</v>
      </c>
    </row>
    <row r="804" spans="14:17">
      <c r="N804" t="s">
        <v>2254</v>
      </c>
      <c r="P804" s="12" t="s">
        <v>484</v>
      </c>
      <c r="Q804" s="12">
        <v>39376070</v>
      </c>
    </row>
    <row r="805" spans="14:17">
      <c r="N805" t="s">
        <v>879</v>
      </c>
      <c r="P805" s="12" t="s">
        <v>1250</v>
      </c>
      <c r="Q805" s="12">
        <v>25980677</v>
      </c>
    </row>
    <row r="806" spans="14:17">
      <c r="N806" t="s">
        <v>880</v>
      </c>
      <c r="P806" s="12" t="s">
        <v>1251</v>
      </c>
      <c r="Q806" s="12">
        <v>25980677</v>
      </c>
    </row>
    <row r="807" spans="14:17">
      <c r="N807" t="s">
        <v>2255</v>
      </c>
      <c r="P807" s="12" t="s">
        <v>2543</v>
      </c>
      <c r="Q807" s="12">
        <v>25980677</v>
      </c>
    </row>
    <row r="808" spans="14:17">
      <c r="N808" t="s">
        <v>882</v>
      </c>
      <c r="P808" s="12" t="s">
        <v>486</v>
      </c>
      <c r="Q808" s="12">
        <v>25980677</v>
      </c>
    </row>
    <row r="809" spans="14:17">
      <c r="N809" t="s">
        <v>2256</v>
      </c>
      <c r="P809" s="12" t="s">
        <v>1252</v>
      </c>
      <c r="Q809" s="12">
        <v>22431238</v>
      </c>
    </row>
    <row r="810" spans="14:17">
      <c r="N810" t="s">
        <v>884</v>
      </c>
      <c r="P810" s="12" t="s">
        <v>488</v>
      </c>
      <c r="Q810" s="12">
        <v>22431238</v>
      </c>
    </row>
    <row r="811" spans="14:17">
      <c r="N811" t="s">
        <v>886</v>
      </c>
      <c r="P811" s="12" t="s">
        <v>1253</v>
      </c>
      <c r="Q811" s="12">
        <v>38486069</v>
      </c>
    </row>
    <row r="812" spans="14:17">
      <c r="N812" t="s">
        <v>887</v>
      </c>
      <c r="P812" s="12" t="s">
        <v>1254</v>
      </c>
      <c r="Q812" s="12">
        <v>34292</v>
      </c>
    </row>
    <row r="813" spans="14:17">
      <c r="N813" t="s">
        <v>2262</v>
      </c>
      <c r="P813" t="s">
        <v>1255</v>
      </c>
      <c r="Q813">
        <v>40535524</v>
      </c>
    </row>
    <row r="814" spans="14:17">
      <c r="N814" t="s">
        <v>2263</v>
      </c>
      <c r="P814" t="s">
        <v>1256</v>
      </c>
      <c r="Q814">
        <v>40535524</v>
      </c>
    </row>
    <row r="815" spans="14:17">
      <c r="N815" t="s">
        <v>2264</v>
      </c>
      <c r="P815" t="s">
        <v>1257</v>
      </c>
      <c r="Q815">
        <v>40535524</v>
      </c>
    </row>
    <row r="816" spans="14:17">
      <c r="N816" t="s">
        <v>889</v>
      </c>
      <c r="P816" t="s">
        <v>1258</v>
      </c>
      <c r="Q816">
        <v>40535524</v>
      </c>
    </row>
    <row r="817" spans="14:17">
      <c r="N817" t="s">
        <v>2268</v>
      </c>
      <c r="P817" t="s">
        <v>1259</v>
      </c>
      <c r="Q817">
        <v>40535524</v>
      </c>
    </row>
    <row r="818" spans="14:17">
      <c r="N818" t="s">
        <v>2270</v>
      </c>
      <c r="P818" t="s">
        <v>1260</v>
      </c>
      <c r="Q818">
        <v>32762527</v>
      </c>
    </row>
    <row r="819" spans="14:17">
      <c r="N819" t="s">
        <v>2274</v>
      </c>
      <c r="P819" t="s">
        <v>1261</v>
      </c>
      <c r="Q819">
        <v>42157414</v>
      </c>
    </row>
    <row r="820" spans="14:17">
      <c r="N820" t="s">
        <v>2275</v>
      </c>
      <c r="P820" s="12" t="s">
        <v>1262</v>
      </c>
      <c r="Q820" s="12">
        <v>32791662</v>
      </c>
    </row>
    <row r="821" spans="14:17">
      <c r="N821" t="s">
        <v>891</v>
      </c>
      <c r="P821" s="12" t="s">
        <v>490</v>
      </c>
      <c r="Q821" s="12">
        <v>32791662</v>
      </c>
    </row>
    <row r="822" spans="14:17">
      <c r="N822" t="s">
        <v>2277</v>
      </c>
      <c r="P822" s="12" t="s">
        <v>1263</v>
      </c>
      <c r="Q822" s="12">
        <v>12890</v>
      </c>
    </row>
    <row r="823" spans="14:17">
      <c r="N823" t="s">
        <v>892</v>
      </c>
      <c r="P823" s="12" t="s">
        <v>492</v>
      </c>
      <c r="Q823" s="12">
        <v>12890</v>
      </c>
    </row>
    <row r="824" spans="14:17">
      <c r="N824" t="s">
        <v>894</v>
      </c>
      <c r="P824" t="s">
        <v>1264</v>
      </c>
      <c r="Q824" s="12">
        <v>12890</v>
      </c>
    </row>
    <row r="825" spans="14:17">
      <c r="N825" t="s">
        <v>2287</v>
      </c>
      <c r="P825" t="s">
        <v>1265</v>
      </c>
      <c r="Q825" s="12">
        <v>44503176</v>
      </c>
    </row>
    <row r="826" spans="14:17">
      <c r="N826" t="s">
        <v>2290</v>
      </c>
      <c r="P826" t="s">
        <v>1266</v>
      </c>
      <c r="Q826" s="12">
        <v>44503176</v>
      </c>
    </row>
    <row r="827" spans="14:17">
      <c r="N827" t="s">
        <v>2291</v>
      </c>
      <c r="P827" t="s">
        <v>1267</v>
      </c>
      <c r="Q827" s="12">
        <v>44503176</v>
      </c>
    </row>
    <row r="828" spans="14:17">
      <c r="N828" t="s">
        <v>2503</v>
      </c>
      <c r="P828" s="12" t="s">
        <v>1268</v>
      </c>
      <c r="Q828" s="12">
        <v>45227870</v>
      </c>
    </row>
    <row r="829" spans="14:17">
      <c r="N829" t="s">
        <v>2296</v>
      </c>
      <c r="P829" s="12" t="s">
        <v>2544</v>
      </c>
      <c r="Q829" s="12">
        <v>45227870</v>
      </c>
    </row>
    <row r="830" spans="14:17">
      <c r="N830" t="s">
        <v>896</v>
      </c>
      <c r="P830" s="12" t="s">
        <v>494</v>
      </c>
      <c r="Q830" s="12">
        <v>45227870</v>
      </c>
    </row>
    <row r="831" spans="14:17">
      <c r="N831" t="s">
        <v>2297</v>
      </c>
      <c r="P831" s="12" t="s">
        <v>1269</v>
      </c>
      <c r="Q831" s="12">
        <v>45227870</v>
      </c>
    </row>
    <row r="832" spans="14:17">
      <c r="N832" t="s">
        <v>898</v>
      </c>
      <c r="P832" s="12" t="s">
        <v>1270</v>
      </c>
      <c r="Q832" s="12">
        <v>45752944</v>
      </c>
    </row>
    <row r="833" spans="14:17">
      <c r="N833" t="s">
        <v>899</v>
      </c>
      <c r="P833" s="12" t="s">
        <v>496</v>
      </c>
      <c r="Q833" s="12">
        <v>45752944</v>
      </c>
    </row>
    <row r="834" spans="14:17">
      <c r="N834" t="s">
        <v>901</v>
      </c>
      <c r="P834" s="12" t="s">
        <v>498</v>
      </c>
      <c r="Q834" s="12">
        <v>12891</v>
      </c>
    </row>
    <row r="835" spans="14:17">
      <c r="N835" t="s">
        <v>2302</v>
      </c>
      <c r="P835" s="12" t="s">
        <v>500</v>
      </c>
      <c r="Q835" s="12">
        <v>12340</v>
      </c>
    </row>
    <row r="836" spans="14:17">
      <c r="N836" t="s">
        <v>2304</v>
      </c>
      <c r="P836" t="s">
        <v>1271</v>
      </c>
      <c r="Q836" s="12">
        <v>36696432</v>
      </c>
    </row>
    <row r="837" spans="14:17">
      <c r="N837" t="s">
        <v>2306</v>
      </c>
      <c r="P837" s="12" t="s">
        <v>1272</v>
      </c>
      <c r="Q837" s="12">
        <v>44303987</v>
      </c>
    </row>
    <row r="838" spans="14:17">
      <c r="N838" t="s">
        <v>2308</v>
      </c>
      <c r="P838" t="s">
        <v>1273</v>
      </c>
      <c r="Q838" s="12">
        <v>44303987</v>
      </c>
    </row>
    <row r="839" spans="14:17">
      <c r="N839" t="s">
        <v>2311</v>
      </c>
      <c r="P839" s="12" t="s">
        <v>1274</v>
      </c>
      <c r="Q839" s="12">
        <v>36696432</v>
      </c>
    </row>
    <row r="840" spans="14:17">
      <c r="N840" t="s">
        <v>903</v>
      </c>
      <c r="P840" t="s">
        <v>1275</v>
      </c>
      <c r="Q840" s="12">
        <v>36696432</v>
      </c>
    </row>
    <row r="841" spans="14:17">
      <c r="N841" t="s">
        <v>905</v>
      </c>
      <c r="P841" s="12" t="s">
        <v>1276</v>
      </c>
      <c r="Q841" s="12">
        <v>12685</v>
      </c>
    </row>
    <row r="842" spans="14:17">
      <c r="N842" t="s">
        <v>2319</v>
      </c>
      <c r="P842" s="12" t="s">
        <v>1277</v>
      </c>
      <c r="Q842" s="12">
        <v>27678067</v>
      </c>
    </row>
    <row r="843" spans="14:17">
      <c r="N843" t="s">
        <v>907</v>
      </c>
      <c r="P843" s="12" t="s">
        <v>502</v>
      </c>
      <c r="Q843" s="12">
        <v>27678067</v>
      </c>
    </row>
    <row r="844" spans="14:17">
      <c r="N844" t="s">
        <v>2325</v>
      </c>
      <c r="P844" t="s">
        <v>1278</v>
      </c>
      <c r="Q844">
        <v>28460124</v>
      </c>
    </row>
    <row r="845" spans="14:17">
      <c r="N845" t="s">
        <v>2326</v>
      </c>
      <c r="P845" s="12" t="s">
        <v>1279</v>
      </c>
      <c r="Q845" s="12">
        <v>43987705</v>
      </c>
    </row>
    <row r="846" spans="14:17">
      <c r="N846" t="s">
        <v>909</v>
      </c>
      <c r="P846" t="s">
        <v>1280</v>
      </c>
      <c r="Q846" s="12">
        <v>43987705</v>
      </c>
    </row>
    <row r="847" spans="14:17">
      <c r="N847" t="s">
        <v>910</v>
      </c>
      <c r="P847" s="12" t="s">
        <v>1281</v>
      </c>
      <c r="Q847" s="12">
        <v>43987705</v>
      </c>
    </row>
    <row r="848" spans="14:17">
      <c r="N848" t="s">
        <v>912</v>
      </c>
      <c r="P848" s="12" t="s">
        <v>1282</v>
      </c>
      <c r="Q848" s="12">
        <v>13058</v>
      </c>
    </row>
    <row r="849" spans="14:17">
      <c r="N849" t="s">
        <v>2330</v>
      </c>
      <c r="P849" t="s">
        <v>1283</v>
      </c>
      <c r="Q849" s="12">
        <v>12290</v>
      </c>
    </row>
    <row r="850" spans="14:17">
      <c r="N850" t="s">
        <v>2334</v>
      </c>
      <c r="P850" s="12" t="s">
        <v>1284</v>
      </c>
      <c r="Q850" s="12">
        <v>12290</v>
      </c>
    </row>
    <row r="851" spans="14:17">
      <c r="N851" t="s">
        <v>2335</v>
      </c>
      <c r="P851" s="12" t="s">
        <v>1285</v>
      </c>
      <c r="Q851" s="12">
        <v>12290</v>
      </c>
    </row>
    <row r="852" spans="14:17">
      <c r="N852" t="s">
        <v>914</v>
      </c>
      <c r="P852" s="12" t="s">
        <v>1286</v>
      </c>
      <c r="Q852" s="12">
        <v>12290</v>
      </c>
    </row>
    <row r="853" spans="14:17">
      <c r="N853" t="s">
        <v>2339</v>
      </c>
      <c r="P853" s="12" t="s">
        <v>1287</v>
      </c>
      <c r="Q853" s="12">
        <v>42146164</v>
      </c>
    </row>
    <row r="854" spans="14:17">
      <c r="N854" t="s">
        <v>916</v>
      </c>
      <c r="P854" s="12" t="s">
        <v>504</v>
      </c>
      <c r="Q854" s="12">
        <v>42146164</v>
      </c>
    </row>
    <row r="855" spans="14:17">
      <c r="N855" t="s">
        <v>2341</v>
      </c>
      <c r="P855" t="s">
        <v>1288</v>
      </c>
      <c r="Q855" s="12">
        <v>42146164</v>
      </c>
    </row>
    <row r="856" spans="14:17">
      <c r="N856" t="s">
        <v>2344</v>
      </c>
      <c r="P856" s="12" t="s">
        <v>1289</v>
      </c>
      <c r="Q856" s="12">
        <v>42874724</v>
      </c>
    </row>
    <row r="857" spans="14:17">
      <c r="N857" t="s">
        <v>918</v>
      </c>
      <c r="P857" s="12" t="s">
        <v>1290</v>
      </c>
      <c r="Q857" s="12">
        <v>41471324</v>
      </c>
    </row>
    <row r="858" spans="14:17">
      <c r="N858" t="s">
        <v>2348</v>
      </c>
      <c r="P858" s="12" t="s">
        <v>1291</v>
      </c>
      <c r="Q858" s="12">
        <v>41471324</v>
      </c>
    </row>
    <row r="859" spans="14:17">
      <c r="N859" t="s">
        <v>920</v>
      </c>
      <c r="P859" s="12" t="s">
        <v>1292</v>
      </c>
      <c r="Q859" s="12">
        <v>12475</v>
      </c>
    </row>
    <row r="860" spans="14:17">
      <c r="N860" t="s">
        <v>2351</v>
      </c>
      <c r="P860" t="s">
        <v>2492</v>
      </c>
      <c r="Q860">
        <v>70453</v>
      </c>
    </row>
    <row r="861" spans="14:17">
      <c r="N861" t="s">
        <v>2352</v>
      </c>
      <c r="P861" s="12" t="s">
        <v>1293</v>
      </c>
      <c r="Q861" s="12">
        <v>12595</v>
      </c>
    </row>
    <row r="862" spans="14:17">
      <c r="N862" t="s">
        <v>922</v>
      </c>
      <c r="P862" s="12" t="s">
        <v>506</v>
      </c>
      <c r="Q862" s="12">
        <v>12290</v>
      </c>
    </row>
    <row r="863" spans="14:17">
      <c r="N863" t="s">
        <v>2356</v>
      </c>
      <c r="P863" s="12" t="s">
        <v>1294</v>
      </c>
      <c r="Q863" s="12">
        <v>12290</v>
      </c>
    </row>
    <row r="864" spans="14:17">
      <c r="N864" t="s">
        <v>924</v>
      </c>
      <c r="P864" s="12" t="s">
        <v>1295</v>
      </c>
      <c r="Q864" s="12">
        <v>42874724</v>
      </c>
    </row>
    <row r="865" spans="14:17">
      <c r="N865" t="s">
        <v>2363</v>
      </c>
      <c r="P865" s="12" t="s">
        <v>1296</v>
      </c>
      <c r="Q865" s="12">
        <v>41471324</v>
      </c>
    </row>
    <row r="866" spans="14:17">
      <c r="N866" t="s">
        <v>2366</v>
      </c>
      <c r="P866" s="12" t="s">
        <v>2545</v>
      </c>
      <c r="Q866" s="12">
        <v>41471324</v>
      </c>
    </row>
    <row r="867" spans="14:17">
      <c r="N867" t="s">
        <v>925</v>
      </c>
      <c r="P867" s="12" t="s">
        <v>508</v>
      </c>
      <c r="Q867" s="12">
        <v>41471324</v>
      </c>
    </row>
    <row r="868" spans="14:17">
      <c r="N868" t="s">
        <v>926</v>
      </c>
      <c r="P868" s="12" t="s">
        <v>1297</v>
      </c>
      <c r="Q868" s="12">
        <v>12595</v>
      </c>
    </row>
    <row r="869" spans="14:17">
      <c r="N869" t="s">
        <v>928</v>
      </c>
      <c r="P869" s="12" t="s">
        <v>1298</v>
      </c>
      <c r="Q869" s="12">
        <v>12595</v>
      </c>
    </row>
    <row r="870" spans="14:17">
      <c r="N870" t="s">
        <v>930</v>
      </c>
      <c r="P870" t="s">
        <v>1299</v>
      </c>
      <c r="Q870" s="12">
        <v>12595</v>
      </c>
    </row>
    <row r="871" spans="14:17">
      <c r="N871" t="s">
        <v>2370</v>
      </c>
      <c r="P871" s="12" t="s">
        <v>509</v>
      </c>
      <c r="Q871" s="12">
        <v>12595</v>
      </c>
    </row>
    <row r="872" spans="14:17">
      <c r="N872" t="s">
        <v>931</v>
      </c>
      <c r="P872" s="12" t="s">
        <v>1300</v>
      </c>
      <c r="Q872" s="12">
        <v>30237443</v>
      </c>
    </row>
    <row r="873" spans="14:17">
      <c r="N873" t="s">
        <v>2377</v>
      </c>
      <c r="P873" s="12" t="s">
        <v>511</v>
      </c>
      <c r="Q873" s="12">
        <v>30237443</v>
      </c>
    </row>
    <row r="874" spans="14:17">
      <c r="N874" t="s">
        <v>933</v>
      </c>
      <c r="P874" t="s">
        <v>1301</v>
      </c>
      <c r="Q874" s="12">
        <v>12290</v>
      </c>
    </row>
    <row r="875" spans="14:17">
      <c r="N875" t="s">
        <v>2382</v>
      </c>
      <c r="P875" s="12" t="s">
        <v>1302</v>
      </c>
      <c r="Q875" s="12">
        <v>22472519</v>
      </c>
    </row>
    <row r="876" spans="14:17">
      <c r="N876" t="s">
        <v>934</v>
      </c>
      <c r="P876" s="12" t="s">
        <v>1303</v>
      </c>
      <c r="Q876" s="12">
        <v>22472519</v>
      </c>
    </row>
    <row r="877" spans="14:17">
      <c r="N877" t="s">
        <v>935</v>
      </c>
      <c r="P877" s="12" t="s">
        <v>1304</v>
      </c>
      <c r="Q877" s="12">
        <v>37181824</v>
      </c>
    </row>
    <row r="878" spans="14:17">
      <c r="N878" t="s">
        <v>2389</v>
      </c>
      <c r="P878" s="12" t="s">
        <v>512</v>
      </c>
      <c r="Q878" s="12">
        <v>37181824</v>
      </c>
    </row>
    <row r="879" spans="14:17">
      <c r="N879" t="s">
        <v>937</v>
      </c>
      <c r="P879" s="12" t="s">
        <v>1305</v>
      </c>
      <c r="Q879" s="12">
        <v>37181824</v>
      </c>
    </row>
    <row r="880" spans="14:17">
      <c r="N880" t="s">
        <v>938</v>
      </c>
      <c r="P880" s="12" t="s">
        <v>1306</v>
      </c>
      <c r="Q880" s="12">
        <v>44425086</v>
      </c>
    </row>
    <row r="881" spans="14:17">
      <c r="N881" t="s">
        <v>2395</v>
      </c>
      <c r="P881" s="12" t="s">
        <v>1307</v>
      </c>
      <c r="Q881" s="12">
        <v>44425086</v>
      </c>
    </row>
    <row r="882" spans="14:17">
      <c r="N882" t="s">
        <v>940</v>
      </c>
      <c r="P882" t="s">
        <v>1308</v>
      </c>
      <c r="Q882" s="12">
        <v>44425086</v>
      </c>
    </row>
    <row r="883" spans="14:17">
      <c r="N883" t="s">
        <v>942</v>
      </c>
      <c r="P883" s="12" t="s">
        <v>1309</v>
      </c>
      <c r="Q883" s="12">
        <v>77084</v>
      </c>
    </row>
    <row r="884" spans="14:17">
      <c r="N884" t="s">
        <v>946</v>
      </c>
      <c r="P884" s="12" t="s">
        <v>1310</v>
      </c>
      <c r="Q884" s="12">
        <v>77084</v>
      </c>
    </row>
    <row r="885" spans="14:17">
      <c r="N885" t="s">
        <v>948</v>
      </c>
      <c r="P885" s="12" t="s">
        <v>1311</v>
      </c>
      <c r="Q885" s="12">
        <v>77084</v>
      </c>
    </row>
    <row r="886" spans="14:17">
      <c r="P886" s="12" t="s">
        <v>1312</v>
      </c>
      <c r="Q886" s="12">
        <v>77084</v>
      </c>
    </row>
    <row r="887" spans="14:17">
      <c r="P887" t="s">
        <v>1313</v>
      </c>
      <c r="Q887" s="12">
        <v>77084</v>
      </c>
    </row>
    <row r="888" spans="14:17">
      <c r="P888" s="12" t="s">
        <v>1314</v>
      </c>
      <c r="Q888" s="12">
        <v>37919380</v>
      </c>
    </row>
    <row r="889" spans="14:17">
      <c r="P889" s="12" t="s">
        <v>1315</v>
      </c>
      <c r="Q889" s="12">
        <v>45677429</v>
      </c>
    </row>
    <row r="890" spans="14:17">
      <c r="P890" s="12" t="s">
        <v>1316</v>
      </c>
      <c r="Q890" s="12">
        <v>45677429</v>
      </c>
    </row>
    <row r="891" spans="14:17">
      <c r="P891" t="s">
        <v>1317</v>
      </c>
      <c r="Q891">
        <v>44052040</v>
      </c>
    </row>
    <row r="892" spans="14:17">
      <c r="P892" t="s">
        <v>1318</v>
      </c>
      <c r="Q892">
        <v>44052040</v>
      </c>
    </row>
    <row r="893" spans="14:17">
      <c r="P893" t="s">
        <v>1319</v>
      </c>
      <c r="Q893" t="s">
        <v>1320</v>
      </c>
    </row>
    <row r="894" spans="14:17">
      <c r="P894" t="s">
        <v>1321</v>
      </c>
      <c r="Q894">
        <v>44052040</v>
      </c>
    </row>
    <row r="895" spans="14:17">
      <c r="P895" t="s">
        <v>1322</v>
      </c>
      <c r="Q895">
        <v>44052040</v>
      </c>
    </row>
    <row r="896" spans="14:17">
      <c r="P896" t="s">
        <v>1323</v>
      </c>
      <c r="Q896">
        <v>44052040</v>
      </c>
    </row>
    <row r="897" spans="16:17">
      <c r="P897" s="12" t="s">
        <v>1324</v>
      </c>
      <c r="Q897" s="12">
        <v>35000430</v>
      </c>
    </row>
    <row r="898" spans="16:17">
      <c r="P898" s="12" t="s">
        <v>515</v>
      </c>
      <c r="Q898" s="12">
        <v>35000430</v>
      </c>
    </row>
    <row r="899" spans="16:17">
      <c r="P899" t="s">
        <v>1325</v>
      </c>
      <c r="Q899">
        <v>32784025</v>
      </c>
    </row>
    <row r="900" spans="16:17">
      <c r="P900" t="s">
        <v>1326</v>
      </c>
      <c r="Q900">
        <v>32784025</v>
      </c>
    </row>
    <row r="901" spans="16:17">
      <c r="P901" s="12" t="s">
        <v>1327</v>
      </c>
      <c r="Q901" s="12">
        <v>41687128</v>
      </c>
    </row>
    <row r="902" spans="16:17">
      <c r="P902" s="12" t="s">
        <v>1328</v>
      </c>
      <c r="Q902" s="12">
        <v>41687128</v>
      </c>
    </row>
    <row r="903" spans="16:17">
      <c r="P903" t="s">
        <v>1329</v>
      </c>
      <c r="Q903">
        <v>34470856</v>
      </c>
    </row>
    <row r="904" spans="16:17">
      <c r="P904" t="s">
        <v>1330</v>
      </c>
      <c r="Q904">
        <v>34470856</v>
      </c>
    </row>
    <row r="905" spans="16:17">
      <c r="P905" t="s">
        <v>1331</v>
      </c>
      <c r="Q905">
        <v>34470856</v>
      </c>
    </row>
    <row r="906" spans="16:17">
      <c r="P906" t="s">
        <v>1332</v>
      </c>
      <c r="Q906">
        <v>34470856</v>
      </c>
    </row>
    <row r="907" spans="16:17">
      <c r="P907" t="s">
        <v>1333</v>
      </c>
      <c r="Q907">
        <v>34470856</v>
      </c>
    </row>
    <row r="908" spans="16:17">
      <c r="P908" s="12" t="s">
        <v>1334</v>
      </c>
      <c r="Q908" s="12">
        <v>34418180</v>
      </c>
    </row>
    <row r="909" spans="16:17">
      <c r="P909" t="s">
        <v>2441</v>
      </c>
      <c r="Q909">
        <v>44850611</v>
      </c>
    </row>
    <row r="910" spans="16:17">
      <c r="P910" t="s">
        <v>2442</v>
      </c>
      <c r="Q910">
        <v>44850611</v>
      </c>
    </row>
    <row r="911" spans="16:17">
      <c r="P911" t="s">
        <v>1335</v>
      </c>
      <c r="Q911" s="12">
        <v>17212</v>
      </c>
    </row>
    <row r="912" spans="16:17">
      <c r="P912" t="s">
        <v>1336</v>
      </c>
      <c r="Q912">
        <v>17212</v>
      </c>
    </row>
    <row r="913" spans="16:17">
      <c r="P913" s="12" t="s">
        <v>1337</v>
      </c>
      <c r="Q913" s="12">
        <v>17212</v>
      </c>
    </row>
    <row r="914" spans="16:17">
      <c r="P914" s="12" t="s">
        <v>517</v>
      </c>
      <c r="Q914" s="12">
        <v>17212</v>
      </c>
    </row>
    <row r="915" spans="16:17">
      <c r="P915" s="12" t="s">
        <v>1338</v>
      </c>
      <c r="Q915" s="12">
        <v>35724023</v>
      </c>
    </row>
    <row r="916" spans="16:17">
      <c r="P916" t="s">
        <v>2443</v>
      </c>
      <c r="Q916">
        <v>44850611</v>
      </c>
    </row>
    <row r="917" spans="16:17">
      <c r="P917" t="s">
        <v>2444</v>
      </c>
      <c r="Q917">
        <v>44850611</v>
      </c>
    </row>
    <row r="918" spans="16:17">
      <c r="P918" t="s">
        <v>1339</v>
      </c>
      <c r="Q918" s="12">
        <v>17212</v>
      </c>
    </row>
    <row r="919" spans="16:17">
      <c r="P919" s="12" t="s">
        <v>1340</v>
      </c>
      <c r="Q919" s="12">
        <v>35724023</v>
      </c>
    </row>
    <row r="920" spans="16:17">
      <c r="P920" s="12" t="s">
        <v>1341</v>
      </c>
      <c r="Q920" s="12" t="s">
        <v>776</v>
      </c>
    </row>
    <row r="921" spans="16:17">
      <c r="P921" t="s">
        <v>1342</v>
      </c>
      <c r="Q921">
        <v>44656163</v>
      </c>
    </row>
    <row r="922" spans="16:17">
      <c r="P922" s="12" t="s">
        <v>1343</v>
      </c>
      <c r="Q922" s="12">
        <v>39711917</v>
      </c>
    </row>
    <row r="923" spans="16:17">
      <c r="P923" s="12" t="s">
        <v>1344</v>
      </c>
      <c r="Q923" s="12">
        <v>39711917</v>
      </c>
    </row>
    <row r="924" spans="16:17">
      <c r="P924" t="s">
        <v>1345</v>
      </c>
      <c r="Q924" s="12">
        <v>41204026</v>
      </c>
    </row>
    <row r="925" spans="16:17">
      <c r="P925" s="12" t="s">
        <v>1346</v>
      </c>
      <c r="Q925" s="12">
        <v>45012085</v>
      </c>
    </row>
    <row r="926" spans="16:17">
      <c r="P926" s="12" t="s">
        <v>1347</v>
      </c>
      <c r="Q926" s="12">
        <v>12149</v>
      </c>
    </row>
    <row r="927" spans="16:17">
      <c r="P927" s="12" t="s">
        <v>1348</v>
      </c>
      <c r="Q927" s="12">
        <v>38400473</v>
      </c>
    </row>
    <row r="928" spans="16:17">
      <c r="P928" t="s">
        <v>1349</v>
      </c>
      <c r="Q928">
        <v>44656163</v>
      </c>
    </row>
    <row r="929" spans="16:17">
      <c r="P929" s="12" t="s">
        <v>518</v>
      </c>
      <c r="Q929" s="12">
        <v>39711917</v>
      </c>
    </row>
    <row r="930" spans="16:17">
      <c r="P930" s="12" t="s">
        <v>1350</v>
      </c>
      <c r="Q930" s="12">
        <v>39711917</v>
      </c>
    </row>
    <row r="931" spans="16:17">
      <c r="P931" t="s">
        <v>1351</v>
      </c>
      <c r="Q931" s="12">
        <v>41204026</v>
      </c>
    </row>
    <row r="932" spans="16:17">
      <c r="P932" t="s">
        <v>1352</v>
      </c>
      <c r="Q932" s="12">
        <v>41204026</v>
      </c>
    </row>
    <row r="933" spans="16:17">
      <c r="P933" s="12" t="s">
        <v>1353</v>
      </c>
      <c r="Q933" s="12">
        <v>42353574</v>
      </c>
    </row>
    <row r="934" spans="16:17">
      <c r="P934" s="12" t="s">
        <v>1354</v>
      </c>
      <c r="Q934" s="12">
        <v>44209201</v>
      </c>
    </row>
    <row r="935" spans="16:17">
      <c r="P935" s="12" t="s">
        <v>520</v>
      </c>
      <c r="Q935" s="12">
        <v>44209201</v>
      </c>
    </row>
    <row r="936" spans="16:17">
      <c r="P936" s="12" t="s">
        <v>1355</v>
      </c>
      <c r="Q936" s="12">
        <v>44209201</v>
      </c>
    </row>
    <row r="937" spans="16:17">
      <c r="P937" s="12" t="s">
        <v>1356</v>
      </c>
      <c r="Q937" s="12">
        <v>40181393</v>
      </c>
    </row>
    <row r="938" spans="16:17">
      <c r="P938" s="12" t="s">
        <v>1357</v>
      </c>
      <c r="Q938" s="12">
        <v>37548171</v>
      </c>
    </row>
    <row r="939" spans="16:17">
      <c r="P939" s="12" t="s">
        <v>522</v>
      </c>
      <c r="Q939" s="12">
        <v>37548171</v>
      </c>
    </row>
    <row r="940" spans="16:17">
      <c r="P940" s="12" t="s">
        <v>1358</v>
      </c>
      <c r="Q940" s="12">
        <v>37548171</v>
      </c>
    </row>
    <row r="941" spans="16:17">
      <c r="P941" s="12" t="s">
        <v>1359</v>
      </c>
      <c r="Q941" s="12">
        <v>40284689</v>
      </c>
    </row>
    <row r="942" spans="16:17">
      <c r="P942" t="s">
        <v>2460</v>
      </c>
      <c r="Q942" s="12">
        <v>44544722</v>
      </c>
    </row>
    <row r="943" spans="16:17">
      <c r="P943" s="12" t="s">
        <v>1360</v>
      </c>
      <c r="Q943" s="12">
        <v>44544722</v>
      </c>
    </row>
    <row r="944" spans="16:17">
      <c r="P944" s="12" t="s">
        <v>523</v>
      </c>
      <c r="Q944" s="12">
        <v>45012085</v>
      </c>
    </row>
    <row r="945" spans="16:17">
      <c r="P945" s="12" t="s">
        <v>1361</v>
      </c>
      <c r="Q945" s="12">
        <v>45012085</v>
      </c>
    </row>
    <row r="946" spans="16:17">
      <c r="P946" s="12" t="s">
        <v>1362</v>
      </c>
      <c r="Q946" s="12">
        <v>12149</v>
      </c>
    </row>
    <row r="947" spans="16:17">
      <c r="P947" s="12" t="s">
        <v>1363</v>
      </c>
      <c r="Q947" s="12">
        <v>12149</v>
      </c>
    </row>
    <row r="948" spans="16:17">
      <c r="P948" s="12" t="s">
        <v>525</v>
      </c>
      <c r="Q948" s="12">
        <v>12149</v>
      </c>
    </row>
    <row r="949" spans="16:17">
      <c r="P949" t="s">
        <v>1364</v>
      </c>
      <c r="Q949" s="12">
        <v>44544722</v>
      </c>
    </row>
    <row r="950" spans="16:17">
      <c r="P950" s="12" t="s">
        <v>1365</v>
      </c>
      <c r="Q950" s="12">
        <v>39711917</v>
      </c>
    </row>
    <row r="951" spans="16:17">
      <c r="P951" t="s">
        <v>1366</v>
      </c>
      <c r="Q951">
        <v>46293555</v>
      </c>
    </row>
    <row r="952" spans="16:17">
      <c r="P952" t="s">
        <v>1367</v>
      </c>
      <c r="Q952">
        <v>46293555</v>
      </c>
    </row>
    <row r="953" spans="16:17">
      <c r="P953" t="s">
        <v>1368</v>
      </c>
      <c r="Q953">
        <v>46293555</v>
      </c>
    </row>
    <row r="954" spans="16:17">
      <c r="P954" s="12" t="s">
        <v>1369</v>
      </c>
      <c r="Q954" s="12">
        <v>43301986</v>
      </c>
    </row>
    <row r="955" spans="16:17">
      <c r="P955" t="s">
        <v>1370</v>
      </c>
      <c r="Q955" s="12">
        <v>18224482</v>
      </c>
    </row>
    <row r="956" spans="16:17">
      <c r="P956" s="12" t="s">
        <v>1371</v>
      </c>
      <c r="Q956" s="12" t="s">
        <v>776</v>
      </c>
    </row>
    <row r="957" spans="16:17">
      <c r="P957" s="12" t="s">
        <v>1372</v>
      </c>
      <c r="Q957" s="12">
        <v>16677784</v>
      </c>
    </row>
    <row r="958" spans="16:17">
      <c r="P958" s="12" t="s">
        <v>1373</v>
      </c>
      <c r="Q958" s="12">
        <v>43301986</v>
      </c>
    </row>
    <row r="959" spans="16:17">
      <c r="P959" t="s">
        <v>1374</v>
      </c>
      <c r="Q959" s="12">
        <v>28172877</v>
      </c>
    </row>
    <row r="960" spans="16:17">
      <c r="P960" t="s">
        <v>1375</v>
      </c>
      <c r="Q960">
        <v>37214657</v>
      </c>
    </row>
    <row r="961" spans="16:17">
      <c r="P961" t="s">
        <v>1376</v>
      </c>
      <c r="Q961" s="12">
        <v>43311360</v>
      </c>
    </row>
    <row r="962" spans="16:17">
      <c r="P962" s="12" t="s">
        <v>1377</v>
      </c>
      <c r="Q962" s="12">
        <v>42472862</v>
      </c>
    </row>
    <row r="963" spans="16:17">
      <c r="P963" s="12" t="s">
        <v>1378</v>
      </c>
      <c r="Q963" s="12">
        <v>42472862</v>
      </c>
    </row>
    <row r="964" spans="16:17">
      <c r="P964" s="12" t="s">
        <v>1379</v>
      </c>
      <c r="Q964" s="12">
        <v>42472862</v>
      </c>
    </row>
    <row r="965" spans="16:17">
      <c r="P965" s="12" t="s">
        <v>1380</v>
      </c>
      <c r="Q965" s="12">
        <v>94775601</v>
      </c>
    </row>
    <row r="966" spans="16:17">
      <c r="P966" s="12" t="s">
        <v>1381</v>
      </c>
      <c r="Q966" s="12">
        <v>94775601</v>
      </c>
    </row>
    <row r="967" spans="16:17">
      <c r="P967" s="12" t="s">
        <v>1382</v>
      </c>
      <c r="Q967" s="12">
        <v>96117187</v>
      </c>
    </row>
    <row r="968" spans="16:17">
      <c r="P968" s="12" t="s">
        <v>527</v>
      </c>
      <c r="Q968" s="12">
        <v>96117187</v>
      </c>
    </row>
    <row r="969" spans="16:17">
      <c r="P969" s="12" t="s">
        <v>1383</v>
      </c>
      <c r="Q969" s="12">
        <v>96117187</v>
      </c>
    </row>
    <row r="970" spans="16:17">
      <c r="P970" t="s">
        <v>1384</v>
      </c>
      <c r="Q970">
        <v>36359202</v>
      </c>
    </row>
    <row r="971" spans="16:17">
      <c r="P971" s="12" t="s">
        <v>1385</v>
      </c>
      <c r="Q971" s="12">
        <v>45900681</v>
      </c>
    </row>
    <row r="972" spans="16:17">
      <c r="P972" t="s">
        <v>1386</v>
      </c>
      <c r="Q972">
        <v>36359202</v>
      </c>
    </row>
    <row r="973" spans="16:17">
      <c r="P973" t="s">
        <v>1387</v>
      </c>
      <c r="Q973">
        <v>36359202</v>
      </c>
    </row>
    <row r="974" spans="16:17">
      <c r="P974" t="s">
        <v>1388</v>
      </c>
      <c r="Q974">
        <v>36359202</v>
      </c>
    </row>
    <row r="975" spans="16:17">
      <c r="P975" s="12" t="s">
        <v>1389</v>
      </c>
      <c r="Q975" s="12">
        <v>18224482</v>
      </c>
    </row>
    <row r="976" spans="16:17">
      <c r="P976" t="s">
        <v>1390</v>
      </c>
      <c r="Q976">
        <v>43319446</v>
      </c>
    </row>
    <row r="977" spans="16:17">
      <c r="P977" s="12" t="s">
        <v>1391</v>
      </c>
      <c r="Q977" s="12">
        <v>16677784</v>
      </c>
    </row>
    <row r="978" spans="16:17">
      <c r="P978" t="s">
        <v>1392</v>
      </c>
      <c r="Q978">
        <v>94914642</v>
      </c>
    </row>
    <row r="979" spans="16:17">
      <c r="P979" t="s">
        <v>1393</v>
      </c>
      <c r="Q979">
        <v>94914642</v>
      </c>
    </row>
    <row r="980" spans="16:17">
      <c r="P980" s="12" t="s">
        <v>529</v>
      </c>
      <c r="Q980" s="12">
        <v>28172877</v>
      </c>
    </row>
    <row r="981" spans="16:17">
      <c r="P981" s="12" t="s">
        <v>1394</v>
      </c>
      <c r="Q981" s="12">
        <v>28172877</v>
      </c>
    </row>
    <row r="982" spans="16:17">
      <c r="P982" t="s">
        <v>1395</v>
      </c>
      <c r="Q982">
        <v>94914642</v>
      </c>
    </row>
    <row r="983" spans="16:17">
      <c r="P983" t="s">
        <v>1396</v>
      </c>
      <c r="Q983">
        <v>37214657</v>
      </c>
    </row>
    <row r="984" spans="16:17">
      <c r="P984" s="12" t="s">
        <v>1397</v>
      </c>
      <c r="Q984" s="12">
        <v>42144841</v>
      </c>
    </row>
    <row r="985" spans="16:17">
      <c r="P985" s="12" t="s">
        <v>531</v>
      </c>
      <c r="Q985" s="12">
        <v>43311360</v>
      </c>
    </row>
    <row r="986" spans="16:17">
      <c r="P986" s="12" t="s">
        <v>1398</v>
      </c>
      <c r="Q986" s="12">
        <v>30403455</v>
      </c>
    </row>
    <row r="987" spans="16:17">
      <c r="P987" s="12" t="s">
        <v>1399</v>
      </c>
      <c r="Q987" s="12">
        <v>30403455</v>
      </c>
    </row>
    <row r="988" spans="16:17">
      <c r="P988" s="12" t="s">
        <v>2546</v>
      </c>
      <c r="Q988" s="12">
        <v>30403455</v>
      </c>
    </row>
    <row r="989" spans="16:17">
      <c r="P989" s="12" t="s">
        <v>1400</v>
      </c>
      <c r="Q989" s="12">
        <v>42472862</v>
      </c>
    </row>
    <row r="990" spans="16:17">
      <c r="P990" s="12" t="s">
        <v>1401</v>
      </c>
      <c r="Q990" s="12">
        <v>42472862</v>
      </c>
    </row>
    <row r="991" spans="16:17">
      <c r="P991" s="12" t="s">
        <v>1402</v>
      </c>
      <c r="Q991" s="12">
        <v>94775601</v>
      </c>
    </row>
    <row r="992" spans="16:17">
      <c r="P992" s="12" t="s">
        <v>533</v>
      </c>
      <c r="Q992" s="12">
        <v>43301986</v>
      </c>
    </row>
    <row r="993" spans="16:17">
      <c r="P993" s="12" t="s">
        <v>1403</v>
      </c>
      <c r="Q993" s="12">
        <v>29434522</v>
      </c>
    </row>
    <row r="994" spans="16:17">
      <c r="P994" s="12" t="s">
        <v>534</v>
      </c>
      <c r="Q994" s="12">
        <v>45900681</v>
      </c>
    </row>
    <row r="995" spans="16:17">
      <c r="P995" s="12" t="s">
        <v>536</v>
      </c>
      <c r="Q995" s="12">
        <v>18224482</v>
      </c>
    </row>
    <row r="996" spans="16:17">
      <c r="P996" s="12" t="s">
        <v>1404</v>
      </c>
      <c r="Q996" s="12">
        <v>18224482</v>
      </c>
    </row>
    <row r="997" spans="16:17">
      <c r="P997" t="s">
        <v>1405</v>
      </c>
      <c r="Q997">
        <v>18224482</v>
      </c>
    </row>
    <row r="998" spans="16:17">
      <c r="P998" s="12" t="s">
        <v>1406</v>
      </c>
      <c r="Q998" s="12">
        <v>35948823</v>
      </c>
    </row>
    <row r="999" spans="16:17">
      <c r="P999" s="12" t="s">
        <v>538</v>
      </c>
      <c r="Q999" s="12">
        <v>35948823</v>
      </c>
    </row>
    <row r="1000" spans="16:17">
      <c r="P1000" s="12" t="s">
        <v>1407</v>
      </c>
      <c r="Q1000" s="12">
        <v>35948823</v>
      </c>
    </row>
    <row r="1001" spans="16:17">
      <c r="P1001" t="s">
        <v>1408</v>
      </c>
      <c r="Q1001">
        <v>43319446</v>
      </c>
    </row>
    <row r="1002" spans="16:17">
      <c r="P1002" t="s">
        <v>1409</v>
      </c>
      <c r="Q1002">
        <v>43319446</v>
      </c>
    </row>
    <row r="1003" spans="16:17">
      <c r="P1003" t="s">
        <v>1410</v>
      </c>
      <c r="Q1003">
        <v>43319446</v>
      </c>
    </row>
    <row r="1004" spans="16:17">
      <c r="P1004" t="s">
        <v>1411</v>
      </c>
      <c r="Q1004">
        <v>43319446</v>
      </c>
    </row>
    <row r="1005" spans="16:17">
      <c r="P1005" s="12" t="s">
        <v>1412</v>
      </c>
      <c r="Q1005" s="12">
        <v>16677784</v>
      </c>
    </row>
    <row r="1006" spans="16:17">
      <c r="P1006" t="s">
        <v>1413</v>
      </c>
      <c r="Q1006">
        <v>16677784</v>
      </c>
    </row>
    <row r="1007" spans="16:17">
      <c r="P1007" s="12" t="s">
        <v>1414</v>
      </c>
      <c r="Q1007" s="12">
        <v>40423591</v>
      </c>
    </row>
    <row r="1008" spans="16:17">
      <c r="P1008" s="12" t="s">
        <v>1415</v>
      </c>
      <c r="Q1008" s="12">
        <v>39343492</v>
      </c>
    </row>
    <row r="1009" spans="16:17">
      <c r="P1009" s="12" t="s">
        <v>1416</v>
      </c>
      <c r="Q1009" s="12">
        <v>39343492</v>
      </c>
    </row>
    <row r="1010" spans="16:17">
      <c r="P1010" t="s">
        <v>1417</v>
      </c>
      <c r="Q1010" s="12">
        <v>43311360</v>
      </c>
    </row>
    <row r="1011" spans="16:17">
      <c r="P1011" s="12" t="s">
        <v>1418</v>
      </c>
      <c r="Q1011" s="12">
        <v>41248020</v>
      </c>
    </row>
    <row r="1012" spans="16:17">
      <c r="P1012" s="12" t="s">
        <v>1419</v>
      </c>
      <c r="Q1012" s="12">
        <v>41248020</v>
      </c>
    </row>
    <row r="1013" spans="16:17">
      <c r="P1013" s="12" t="s">
        <v>540</v>
      </c>
      <c r="Q1013" s="12">
        <v>41248020</v>
      </c>
    </row>
    <row r="1014" spans="16:17">
      <c r="P1014" s="12" t="s">
        <v>1420</v>
      </c>
      <c r="Q1014" s="12">
        <v>44425086</v>
      </c>
    </row>
    <row r="1015" spans="16:17">
      <c r="P1015" s="12" t="s">
        <v>1421</v>
      </c>
      <c r="Q1015" s="12">
        <v>95761763</v>
      </c>
    </row>
    <row r="1016" spans="16:17">
      <c r="P1016" s="12" t="s">
        <v>1422</v>
      </c>
      <c r="Q1016" s="12">
        <v>95761763</v>
      </c>
    </row>
    <row r="1017" spans="16:17">
      <c r="P1017" s="12" t="s">
        <v>1423</v>
      </c>
      <c r="Q1017" s="12">
        <v>95761763</v>
      </c>
    </row>
    <row r="1018" spans="16:17">
      <c r="P1018" t="s">
        <v>1424</v>
      </c>
      <c r="Q1018" s="12">
        <v>40073390</v>
      </c>
    </row>
    <row r="1019" spans="16:17">
      <c r="P1019" s="12" t="s">
        <v>1425</v>
      </c>
      <c r="Q1019" s="12">
        <v>40073390</v>
      </c>
    </row>
    <row r="1020" spans="16:17">
      <c r="P1020" s="12" t="s">
        <v>1426</v>
      </c>
      <c r="Q1020" s="12">
        <v>37864833</v>
      </c>
    </row>
    <row r="1021" spans="16:17">
      <c r="P1021" t="s">
        <v>1427</v>
      </c>
      <c r="Q1021" s="12">
        <v>40073390</v>
      </c>
    </row>
    <row r="1022" spans="16:17">
      <c r="P1022" t="s">
        <v>1428</v>
      </c>
      <c r="Q1022">
        <v>39344532</v>
      </c>
    </row>
    <row r="1023" spans="16:17">
      <c r="P1023" s="12" t="s">
        <v>1429</v>
      </c>
      <c r="Q1023" s="12">
        <v>31640951</v>
      </c>
    </row>
    <row r="1024" spans="16:17">
      <c r="P1024" s="12" t="s">
        <v>1430</v>
      </c>
      <c r="Q1024" s="12">
        <v>13956</v>
      </c>
    </row>
    <row r="1025" spans="16:17">
      <c r="P1025" s="12" t="s">
        <v>542</v>
      </c>
      <c r="Q1025" s="12">
        <v>13956</v>
      </c>
    </row>
    <row r="1026" spans="16:17">
      <c r="P1026" t="s">
        <v>1431</v>
      </c>
      <c r="Q1026">
        <v>13956</v>
      </c>
    </row>
    <row r="1027" spans="16:17">
      <c r="P1027" t="s">
        <v>1432</v>
      </c>
      <c r="Q1027">
        <v>32762527</v>
      </c>
    </row>
    <row r="1028" spans="16:17">
      <c r="P1028" t="s">
        <v>1433</v>
      </c>
      <c r="Q1028">
        <v>32762527</v>
      </c>
    </row>
    <row r="1029" spans="16:17">
      <c r="P1029" t="s">
        <v>1434</v>
      </c>
      <c r="Q1029">
        <v>32762527</v>
      </c>
    </row>
    <row r="1030" spans="16:17">
      <c r="P1030" t="s">
        <v>1435</v>
      </c>
      <c r="Q1030">
        <v>32762527</v>
      </c>
    </row>
    <row r="1031" spans="16:17">
      <c r="P1031" s="12" t="s">
        <v>1436</v>
      </c>
      <c r="Q1031" s="12">
        <v>46753451</v>
      </c>
    </row>
    <row r="1032" spans="16:17">
      <c r="P1032" t="s">
        <v>1437</v>
      </c>
      <c r="Q1032">
        <v>40677307</v>
      </c>
    </row>
    <row r="1033" spans="16:17">
      <c r="P1033" t="s">
        <v>1438</v>
      </c>
      <c r="Q1033">
        <v>40677307</v>
      </c>
    </row>
    <row r="1034" spans="16:17">
      <c r="P1034" t="s">
        <v>2445</v>
      </c>
      <c r="Q1034">
        <v>45689445</v>
      </c>
    </row>
    <row r="1035" spans="16:17">
      <c r="P1035" t="s">
        <v>2493</v>
      </c>
      <c r="Q1035">
        <v>45689445</v>
      </c>
    </row>
    <row r="1036" spans="16:17">
      <c r="P1036" t="s">
        <v>2446</v>
      </c>
      <c r="Q1036">
        <v>45689445</v>
      </c>
    </row>
    <row r="1037" spans="16:17">
      <c r="P1037" t="s">
        <v>1439</v>
      </c>
      <c r="Q1037">
        <v>46702815</v>
      </c>
    </row>
    <row r="1038" spans="16:17">
      <c r="P1038" t="s">
        <v>1440</v>
      </c>
      <c r="Q1038">
        <v>46702815</v>
      </c>
    </row>
    <row r="1039" spans="16:17">
      <c r="P1039" t="s">
        <v>1441</v>
      </c>
      <c r="Q1039">
        <v>46702815</v>
      </c>
    </row>
    <row r="1040" spans="16:17">
      <c r="P1040" s="12" t="s">
        <v>1442</v>
      </c>
      <c r="Q1040" s="12">
        <v>37607470</v>
      </c>
    </row>
    <row r="1041" spans="16:17">
      <c r="P1041" s="12" t="s">
        <v>544</v>
      </c>
      <c r="Q1041" s="12">
        <v>44262710</v>
      </c>
    </row>
    <row r="1042" spans="16:17">
      <c r="P1042" t="s">
        <v>1443</v>
      </c>
      <c r="Q1042">
        <v>40677307</v>
      </c>
    </row>
    <row r="1043" spans="16:17">
      <c r="P1043" t="s">
        <v>1444</v>
      </c>
      <c r="Q1043">
        <v>40677307</v>
      </c>
    </row>
    <row r="1044" spans="16:17">
      <c r="P1044" t="s">
        <v>1445</v>
      </c>
      <c r="Q1044">
        <v>40677307</v>
      </c>
    </row>
    <row r="1045" spans="16:17">
      <c r="P1045" s="12" t="s">
        <v>546</v>
      </c>
      <c r="Q1045" s="12">
        <v>39215989</v>
      </c>
    </row>
    <row r="1046" spans="16:17">
      <c r="P1046" t="s">
        <v>1446</v>
      </c>
      <c r="Q1046">
        <v>46702815</v>
      </c>
    </row>
    <row r="1047" spans="16:17">
      <c r="P1047" s="12" t="s">
        <v>1447</v>
      </c>
      <c r="Q1047" s="12">
        <v>37607470</v>
      </c>
    </row>
    <row r="1048" spans="16:17">
      <c r="P1048" s="12" t="s">
        <v>547</v>
      </c>
      <c r="Q1048" s="12">
        <v>37607470</v>
      </c>
    </row>
    <row r="1049" spans="16:17">
      <c r="P1049" t="s">
        <v>1448</v>
      </c>
      <c r="Q1049" s="12">
        <v>12884</v>
      </c>
    </row>
    <row r="1050" spans="16:17">
      <c r="P1050" s="12" t="s">
        <v>1449</v>
      </c>
      <c r="Q1050" s="12">
        <v>12884</v>
      </c>
    </row>
    <row r="1051" spans="16:17">
      <c r="P1051" s="12" t="s">
        <v>549</v>
      </c>
      <c r="Q1051" s="12">
        <v>12884</v>
      </c>
    </row>
    <row r="1052" spans="16:17">
      <c r="P1052" t="s">
        <v>1450</v>
      </c>
      <c r="Q1052">
        <v>18880507</v>
      </c>
    </row>
    <row r="1053" spans="16:17">
      <c r="P1053" t="s">
        <v>2494</v>
      </c>
      <c r="Q1053">
        <v>18880507</v>
      </c>
    </row>
    <row r="1054" spans="16:17">
      <c r="P1054" s="12" t="s">
        <v>1451</v>
      </c>
      <c r="Q1054" s="12">
        <v>46753451</v>
      </c>
    </row>
    <row r="1055" spans="16:17">
      <c r="P1055" s="12" t="s">
        <v>2547</v>
      </c>
      <c r="Q1055" s="12">
        <v>46753451</v>
      </c>
    </row>
    <row r="1056" spans="16:17">
      <c r="P1056" s="12" t="s">
        <v>550</v>
      </c>
      <c r="Q1056" s="12">
        <v>46753451</v>
      </c>
    </row>
    <row r="1057" spans="16:17">
      <c r="P1057" t="s">
        <v>1452</v>
      </c>
      <c r="Q1057" s="12">
        <v>45417600</v>
      </c>
    </row>
    <row r="1058" spans="16:17">
      <c r="P1058" t="s">
        <v>1453</v>
      </c>
      <c r="Q1058">
        <v>42409809</v>
      </c>
    </row>
    <row r="1059" spans="16:17">
      <c r="P1059" s="12" t="s">
        <v>1454</v>
      </c>
      <c r="Q1059" s="12">
        <v>37559346</v>
      </c>
    </row>
    <row r="1060" spans="16:17">
      <c r="P1060" t="s">
        <v>1455</v>
      </c>
      <c r="Q1060">
        <v>33501856</v>
      </c>
    </row>
    <row r="1061" spans="16:17">
      <c r="P1061" t="s">
        <v>1456</v>
      </c>
      <c r="Q1061">
        <v>33501856</v>
      </c>
    </row>
    <row r="1062" spans="16:17">
      <c r="P1062" t="s">
        <v>1457</v>
      </c>
      <c r="Q1062">
        <v>42409809</v>
      </c>
    </row>
    <row r="1063" spans="16:17">
      <c r="P1063" t="s">
        <v>2447</v>
      </c>
      <c r="Q1063">
        <v>42409809</v>
      </c>
    </row>
    <row r="1064" spans="16:17">
      <c r="P1064" s="12" t="s">
        <v>1458</v>
      </c>
      <c r="Q1064" s="12">
        <v>94624772</v>
      </c>
    </row>
    <row r="1065" spans="16:17">
      <c r="P1065" s="12" t="s">
        <v>552</v>
      </c>
      <c r="Q1065" s="12">
        <v>42575970</v>
      </c>
    </row>
    <row r="1066" spans="16:17">
      <c r="P1066" s="12" t="s">
        <v>2548</v>
      </c>
      <c r="Q1066" s="12">
        <v>42575970</v>
      </c>
    </row>
    <row r="1067" spans="16:17">
      <c r="P1067" s="12" t="s">
        <v>554</v>
      </c>
      <c r="Q1067" s="12">
        <v>45417600</v>
      </c>
    </row>
    <row r="1068" spans="16:17">
      <c r="P1068" s="12" t="s">
        <v>2549</v>
      </c>
      <c r="Q1068" s="12">
        <v>45417600</v>
      </c>
    </row>
    <row r="1069" spans="16:17">
      <c r="P1069" s="12" t="s">
        <v>1459</v>
      </c>
      <c r="Q1069" s="12">
        <v>41687048</v>
      </c>
    </row>
    <row r="1070" spans="16:17">
      <c r="P1070" s="12" t="s">
        <v>1460</v>
      </c>
      <c r="Q1070" s="12">
        <v>26427019</v>
      </c>
    </row>
    <row r="1071" spans="16:17">
      <c r="P1071" s="12" t="s">
        <v>1461</v>
      </c>
      <c r="Q1071" s="12">
        <v>37559346</v>
      </c>
    </row>
    <row r="1072" spans="16:17">
      <c r="P1072" s="12" t="s">
        <v>556</v>
      </c>
      <c r="Q1072" s="12">
        <v>37559346</v>
      </c>
    </row>
    <row r="1073" spans="16:17">
      <c r="P1073" s="12" t="s">
        <v>2550</v>
      </c>
      <c r="Q1073" s="12">
        <v>37559346</v>
      </c>
    </row>
    <row r="1074" spans="16:17">
      <c r="P1074" t="s">
        <v>1462</v>
      </c>
      <c r="Q1074">
        <v>33501856</v>
      </c>
    </row>
    <row r="1075" spans="16:17">
      <c r="P1075" t="s">
        <v>1463</v>
      </c>
      <c r="Q1075">
        <v>33501856</v>
      </c>
    </row>
    <row r="1076" spans="16:17">
      <c r="P1076" t="s">
        <v>1464</v>
      </c>
      <c r="Q1076">
        <v>47202075</v>
      </c>
    </row>
    <row r="1077" spans="16:17">
      <c r="P1077" s="12" t="s">
        <v>558</v>
      </c>
      <c r="Q1077" s="12">
        <v>40424860</v>
      </c>
    </row>
    <row r="1078" spans="16:17">
      <c r="P1078" s="12" t="s">
        <v>1465</v>
      </c>
      <c r="Q1078" s="12">
        <v>40424860</v>
      </c>
    </row>
    <row r="1079" spans="16:17">
      <c r="P1079" t="s">
        <v>1466</v>
      </c>
      <c r="Q1079">
        <v>47202075</v>
      </c>
    </row>
    <row r="1080" spans="16:17">
      <c r="P1080" t="s">
        <v>1467</v>
      </c>
      <c r="Q1080">
        <v>47202075</v>
      </c>
    </row>
    <row r="1081" spans="16:17">
      <c r="P1081" t="s">
        <v>1468</v>
      </c>
      <c r="Q1081">
        <v>42933370</v>
      </c>
    </row>
    <row r="1082" spans="16:17">
      <c r="P1082" t="s">
        <v>1469</v>
      </c>
      <c r="Q1082">
        <v>42933370</v>
      </c>
    </row>
    <row r="1083" spans="16:17">
      <c r="P1083" t="s">
        <v>1470</v>
      </c>
      <c r="Q1083">
        <v>42933370</v>
      </c>
    </row>
    <row r="1084" spans="16:17">
      <c r="P1084" t="s">
        <v>1471</v>
      </c>
      <c r="Q1084">
        <v>42933370</v>
      </c>
    </row>
    <row r="1085" spans="16:17">
      <c r="P1085" t="s">
        <v>1472</v>
      </c>
      <c r="Q1085">
        <v>42933370</v>
      </c>
    </row>
    <row r="1086" spans="16:17">
      <c r="P1086" t="s">
        <v>1473</v>
      </c>
      <c r="Q1086">
        <v>42933370</v>
      </c>
    </row>
    <row r="1087" spans="16:17">
      <c r="P1087" s="12" t="s">
        <v>559</v>
      </c>
      <c r="Q1087" s="12">
        <v>12936</v>
      </c>
    </row>
    <row r="1088" spans="16:17">
      <c r="P1088" s="12" t="s">
        <v>1474</v>
      </c>
      <c r="Q1088" s="12">
        <v>12936</v>
      </c>
    </row>
    <row r="1089" spans="16:17">
      <c r="P1089" s="12" t="s">
        <v>1475</v>
      </c>
      <c r="Q1089" s="12">
        <v>36492062</v>
      </c>
    </row>
    <row r="1090" spans="16:17">
      <c r="P1090" s="12" t="s">
        <v>561</v>
      </c>
      <c r="Q1090" s="12">
        <v>36492062</v>
      </c>
    </row>
    <row r="1091" spans="16:17">
      <c r="P1091" s="12" t="s">
        <v>1476</v>
      </c>
      <c r="Q1091" s="12">
        <v>42821138</v>
      </c>
    </row>
    <row r="1092" spans="16:17">
      <c r="P1092" s="12" t="s">
        <v>1477</v>
      </c>
      <c r="Q1092" s="12">
        <v>42821138</v>
      </c>
    </row>
    <row r="1093" spans="16:17">
      <c r="P1093" s="12" t="s">
        <v>1478</v>
      </c>
      <c r="Q1093" s="12">
        <v>30040861</v>
      </c>
    </row>
    <row r="1094" spans="16:17">
      <c r="P1094" s="12" t="s">
        <v>1479</v>
      </c>
      <c r="Q1094" s="12">
        <v>33470</v>
      </c>
    </row>
    <row r="1095" spans="16:17">
      <c r="P1095" s="12" t="s">
        <v>1480</v>
      </c>
      <c r="Q1095" s="12">
        <v>36592786</v>
      </c>
    </row>
    <row r="1096" spans="16:17">
      <c r="P1096" s="12" t="s">
        <v>1481</v>
      </c>
      <c r="Q1096" s="12">
        <v>41898021</v>
      </c>
    </row>
    <row r="1097" spans="16:17">
      <c r="P1097" t="s">
        <v>1482</v>
      </c>
      <c r="Q1097" s="12">
        <v>41898021</v>
      </c>
    </row>
    <row r="1098" spans="16:17">
      <c r="P1098" s="12" t="s">
        <v>1483</v>
      </c>
      <c r="Q1098" s="12">
        <v>41898021</v>
      </c>
    </row>
    <row r="1099" spans="16:17">
      <c r="P1099" s="12" t="s">
        <v>1484</v>
      </c>
      <c r="Q1099" s="12">
        <v>41898021</v>
      </c>
    </row>
    <row r="1100" spans="16:17">
      <c r="P1100" s="12" t="s">
        <v>1485</v>
      </c>
      <c r="Q1100" s="12">
        <v>41898021</v>
      </c>
    </row>
    <row r="1101" spans="16:17">
      <c r="P1101" s="12" t="s">
        <v>1486</v>
      </c>
      <c r="Q1101" s="12">
        <v>40858014</v>
      </c>
    </row>
    <row r="1102" spans="16:17">
      <c r="P1102" s="12" t="s">
        <v>565</v>
      </c>
      <c r="Q1102" s="12">
        <v>40858014</v>
      </c>
    </row>
    <row r="1103" spans="16:17">
      <c r="P1103" s="12" t="s">
        <v>1487</v>
      </c>
      <c r="Q1103" s="12">
        <v>41069315</v>
      </c>
    </row>
    <row r="1104" spans="16:17">
      <c r="P1104" s="12" t="s">
        <v>567</v>
      </c>
      <c r="Q1104" s="12">
        <v>41069315</v>
      </c>
    </row>
    <row r="1105" spans="16:17">
      <c r="P1105" s="12" t="s">
        <v>1488</v>
      </c>
      <c r="Q1105" s="12">
        <v>12398</v>
      </c>
    </row>
    <row r="1106" spans="16:17">
      <c r="P1106" s="12" t="s">
        <v>1489</v>
      </c>
      <c r="Q1106" s="12">
        <v>12258</v>
      </c>
    </row>
    <row r="1107" spans="16:17">
      <c r="P1107" s="12" t="s">
        <v>1490</v>
      </c>
      <c r="Q1107" s="12">
        <v>38177033</v>
      </c>
    </row>
    <row r="1108" spans="16:17">
      <c r="P1108" s="12" t="s">
        <v>1491</v>
      </c>
      <c r="Q1108" s="12">
        <v>18406304</v>
      </c>
    </row>
    <row r="1109" spans="16:17">
      <c r="P1109" s="12" t="s">
        <v>1492</v>
      </c>
      <c r="Q1109" s="12">
        <v>39979506</v>
      </c>
    </row>
    <row r="1110" spans="16:17">
      <c r="P1110" s="12" t="s">
        <v>1493</v>
      </c>
      <c r="Q1110" s="12">
        <v>36160913</v>
      </c>
    </row>
    <row r="1111" spans="16:17">
      <c r="P1111" s="12" t="s">
        <v>1494</v>
      </c>
      <c r="Q1111" s="12">
        <v>13872</v>
      </c>
    </row>
    <row r="1112" spans="16:17">
      <c r="P1112" s="12" t="s">
        <v>1495</v>
      </c>
      <c r="Q1112" s="12">
        <v>20202536</v>
      </c>
    </row>
    <row r="1113" spans="16:17">
      <c r="P1113" s="12" t="s">
        <v>1496</v>
      </c>
      <c r="Q1113" s="12">
        <v>36160913</v>
      </c>
    </row>
    <row r="1114" spans="16:17">
      <c r="P1114" s="12" t="s">
        <v>2551</v>
      </c>
      <c r="Q1114" s="12">
        <v>36160913</v>
      </c>
    </row>
    <row r="1115" spans="16:17">
      <c r="P1115" s="12" t="s">
        <v>1497</v>
      </c>
      <c r="Q1115" s="12">
        <v>36160913</v>
      </c>
    </row>
    <row r="1116" spans="16:17">
      <c r="P1116" s="12" t="s">
        <v>1498</v>
      </c>
      <c r="Q1116" s="12">
        <v>13872</v>
      </c>
    </row>
    <row r="1117" spans="16:17">
      <c r="P1117" t="s">
        <v>1499</v>
      </c>
      <c r="Q1117" s="12">
        <v>13872</v>
      </c>
    </row>
    <row r="1118" spans="16:17">
      <c r="P1118" s="12" t="s">
        <v>1500</v>
      </c>
      <c r="Q1118" s="12">
        <v>38356710</v>
      </c>
    </row>
    <row r="1119" spans="16:17">
      <c r="P1119" s="12" t="s">
        <v>569</v>
      </c>
      <c r="Q1119" s="12">
        <v>38356710</v>
      </c>
    </row>
    <row r="1120" spans="16:17">
      <c r="P1120" s="12" t="s">
        <v>2552</v>
      </c>
      <c r="Q1120" s="12">
        <v>38356710</v>
      </c>
    </row>
    <row r="1121" spans="16:17">
      <c r="P1121" s="12" t="s">
        <v>1501</v>
      </c>
      <c r="Q1121" s="12">
        <v>40391777</v>
      </c>
    </row>
    <row r="1122" spans="16:17">
      <c r="P1122" s="12" t="s">
        <v>1502</v>
      </c>
      <c r="Q1122" s="12">
        <v>37358594</v>
      </c>
    </row>
    <row r="1123" spans="16:17">
      <c r="P1123" s="12" t="s">
        <v>1503</v>
      </c>
      <c r="Q1123" s="12">
        <v>37358594</v>
      </c>
    </row>
    <row r="1124" spans="16:17">
      <c r="P1124" s="12" t="s">
        <v>570</v>
      </c>
      <c r="Q1124" s="12">
        <v>37358594</v>
      </c>
    </row>
    <row r="1125" spans="16:17">
      <c r="P1125" s="12" t="s">
        <v>1504</v>
      </c>
      <c r="Q1125" s="12">
        <v>42472862</v>
      </c>
    </row>
    <row r="1126" spans="16:17">
      <c r="P1126" s="12" t="s">
        <v>1505</v>
      </c>
      <c r="Q1126" s="12">
        <v>42472862</v>
      </c>
    </row>
    <row r="1127" spans="16:17">
      <c r="P1127" t="s">
        <v>1506</v>
      </c>
      <c r="Q1127" s="12">
        <v>11675</v>
      </c>
    </row>
    <row r="1128" spans="16:17">
      <c r="P1128" s="12" t="s">
        <v>1507</v>
      </c>
      <c r="Q1128" s="12">
        <v>11675</v>
      </c>
    </row>
    <row r="1129" spans="16:17">
      <c r="P1129" s="12" t="s">
        <v>572</v>
      </c>
      <c r="Q1129" s="12">
        <v>11675</v>
      </c>
    </row>
    <row r="1130" spans="16:17">
      <c r="P1130" s="12" t="s">
        <v>1508</v>
      </c>
      <c r="Q1130" s="12">
        <v>41197602</v>
      </c>
    </row>
    <row r="1131" spans="16:17">
      <c r="P1131" s="12" t="s">
        <v>1509</v>
      </c>
      <c r="Q1131" s="12">
        <v>40878502</v>
      </c>
    </row>
    <row r="1132" spans="16:17">
      <c r="P1132" s="12" t="s">
        <v>1510</v>
      </c>
      <c r="Q1132" s="12">
        <v>45147543</v>
      </c>
    </row>
    <row r="1133" spans="16:17">
      <c r="P1133" s="12" t="s">
        <v>1511</v>
      </c>
      <c r="Q1133" s="12">
        <v>10737</v>
      </c>
    </row>
    <row r="1134" spans="16:17">
      <c r="P1134" s="12" t="s">
        <v>2553</v>
      </c>
      <c r="Q1134" s="12">
        <v>10737</v>
      </c>
    </row>
    <row r="1135" spans="16:17">
      <c r="P1135" s="97" t="s">
        <v>2454</v>
      </c>
      <c r="Q1135">
        <v>41704091</v>
      </c>
    </row>
    <row r="1136" spans="16:17">
      <c r="P1136" s="12" t="s">
        <v>1512</v>
      </c>
      <c r="Q1136" s="12">
        <v>46252382</v>
      </c>
    </row>
    <row r="1137" spans="16:17">
      <c r="P1137" s="12" t="s">
        <v>1513</v>
      </c>
      <c r="Q1137" s="12">
        <v>34369092</v>
      </c>
    </row>
    <row r="1138" spans="16:17">
      <c r="P1138" s="12" t="s">
        <v>1514</v>
      </c>
      <c r="Q1138" s="12">
        <v>12898</v>
      </c>
    </row>
    <row r="1139" spans="16:17">
      <c r="P1139" t="s">
        <v>2495</v>
      </c>
      <c r="Q1139">
        <v>32639047</v>
      </c>
    </row>
    <row r="1140" spans="16:17">
      <c r="P1140" s="12" t="s">
        <v>2554</v>
      </c>
      <c r="Q1140" s="12">
        <v>12299</v>
      </c>
    </row>
    <row r="1141" spans="16:17">
      <c r="P1141" s="12" t="s">
        <v>1515</v>
      </c>
      <c r="Q1141" s="12">
        <v>12299</v>
      </c>
    </row>
    <row r="1142" spans="16:17">
      <c r="P1142" s="12" t="s">
        <v>1516</v>
      </c>
      <c r="Q1142" s="12">
        <v>12299</v>
      </c>
    </row>
    <row r="1143" spans="16:17">
      <c r="P1143" s="12" t="s">
        <v>573</v>
      </c>
      <c r="Q1143" s="12">
        <v>12299</v>
      </c>
    </row>
    <row r="1144" spans="16:17">
      <c r="P1144" s="12" t="s">
        <v>1517</v>
      </c>
      <c r="Q1144" s="12">
        <v>37480598</v>
      </c>
    </row>
    <row r="1145" spans="16:17">
      <c r="P1145" t="s">
        <v>1518</v>
      </c>
      <c r="Q1145">
        <v>38319746</v>
      </c>
    </row>
    <row r="1146" spans="16:17">
      <c r="P1146" t="s">
        <v>2481</v>
      </c>
      <c r="Q1146">
        <v>38319746</v>
      </c>
    </row>
    <row r="1147" spans="16:17">
      <c r="P1147" s="12" t="s">
        <v>1519</v>
      </c>
      <c r="Q1147" s="12">
        <v>45926911</v>
      </c>
    </row>
    <row r="1148" spans="16:17">
      <c r="P1148" s="12" t="s">
        <v>1520</v>
      </c>
      <c r="Q1148" s="12">
        <v>45926911</v>
      </c>
    </row>
    <row r="1149" spans="16:17">
      <c r="P1149" s="12" t="s">
        <v>2555</v>
      </c>
      <c r="Q1149" s="12">
        <v>45926911</v>
      </c>
    </row>
    <row r="1150" spans="16:17">
      <c r="P1150" s="12" t="s">
        <v>576</v>
      </c>
      <c r="Q1150" s="12">
        <v>45012267</v>
      </c>
    </row>
    <row r="1151" spans="16:17">
      <c r="P1151" s="12" t="s">
        <v>1521</v>
      </c>
      <c r="Q1151" s="12">
        <v>35142167</v>
      </c>
    </row>
    <row r="1152" spans="16:17">
      <c r="P1152" s="12" t="s">
        <v>1522</v>
      </c>
      <c r="Q1152" s="12">
        <v>35142167</v>
      </c>
    </row>
    <row r="1153" spans="16:17">
      <c r="P1153" s="12" t="s">
        <v>1523</v>
      </c>
      <c r="Q1153" s="12">
        <v>42516697</v>
      </c>
    </row>
    <row r="1154" spans="16:17">
      <c r="P1154" s="12" t="s">
        <v>1524</v>
      </c>
      <c r="Q1154" s="12">
        <v>38943072</v>
      </c>
    </row>
    <row r="1155" spans="16:17">
      <c r="P1155" s="12" t="s">
        <v>1525</v>
      </c>
      <c r="Q1155" s="12">
        <v>38943072</v>
      </c>
    </row>
    <row r="1156" spans="16:17">
      <c r="P1156" s="12" t="s">
        <v>1526</v>
      </c>
      <c r="Q1156" s="12">
        <v>24293262</v>
      </c>
    </row>
    <row r="1157" spans="16:17">
      <c r="P1157" s="12" t="s">
        <v>2556</v>
      </c>
      <c r="Q1157" s="12">
        <v>24293262</v>
      </c>
    </row>
    <row r="1158" spans="16:17">
      <c r="P1158" s="12" t="s">
        <v>1527</v>
      </c>
      <c r="Q1158" s="12">
        <v>24293262</v>
      </c>
    </row>
    <row r="1159" spans="16:17">
      <c r="P1159" s="12" t="s">
        <v>577</v>
      </c>
      <c r="Q1159" s="12">
        <v>24293262</v>
      </c>
    </row>
    <row r="1160" spans="16:17">
      <c r="P1160" s="12" t="s">
        <v>1528</v>
      </c>
      <c r="Q1160" s="12">
        <v>24293262</v>
      </c>
    </row>
    <row r="1161" spans="16:17">
      <c r="P1161" s="12" t="s">
        <v>1529</v>
      </c>
      <c r="Q1161" s="12">
        <v>25988340</v>
      </c>
    </row>
    <row r="1162" spans="16:17">
      <c r="P1162" s="12" t="s">
        <v>1530</v>
      </c>
      <c r="Q1162" s="12">
        <v>41290026</v>
      </c>
    </row>
    <row r="1163" spans="16:17">
      <c r="P1163" s="12" t="s">
        <v>1531</v>
      </c>
      <c r="Q1163" s="12">
        <v>45983709</v>
      </c>
    </row>
    <row r="1164" spans="16:17">
      <c r="P1164" s="12" t="s">
        <v>578</v>
      </c>
      <c r="Q1164" s="12">
        <v>41290026</v>
      </c>
    </row>
    <row r="1165" spans="16:17">
      <c r="P1165" t="s">
        <v>1532</v>
      </c>
      <c r="Q1165" s="12">
        <v>41290026</v>
      </c>
    </row>
    <row r="1166" spans="16:17">
      <c r="P1166" t="s">
        <v>1533</v>
      </c>
      <c r="Q1166" s="12">
        <v>41290026</v>
      </c>
    </row>
    <row r="1167" spans="16:17">
      <c r="P1167" s="12" t="s">
        <v>1534</v>
      </c>
      <c r="Q1167" s="12">
        <v>45983709</v>
      </c>
    </row>
    <row r="1168" spans="16:17">
      <c r="P1168" s="12" t="s">
        <v>2557</v>
      </c>
      <c r="Q1168" s="12">
        <v>45983709</v>
      </c>
    </row>
    <row r="1169" spans="16:17">
      <c r="P1169" s="12" t="s">
        <v>580</v>
      </c>
      <c r="Q1169" s="12">
        <v>45983709</v>
      </c>
    </row>
    <row r="1170" spans="16:17">
      <c r="P1170" s="12" t="s">
        <v>1535</v>
      </c>
      <c r="Q1170" s="12">
        <v>41290026</v>
      </c>
    </row>
    <row r="1171" spans="16:17">
      <c r="P1171" t="s">
        <v>2448</v>
      </c>
      <c r="Q1171">
        <v>46898849</v>
      </c>
    </row>
    <row r="1172" spans="16:17">
      <c r="P1172" t="s">
        <v>2496</v>
      </c>
      <c r="Q1172">
        <v>46898849</v>
      </c>
    </row>
    <row r="1173" spans="16:17">
      <c r="P1173" t="s">
        <v>1536</v>
      </c>
      <c r="Q1173">
        <v>47646971</v>
      </c>
    </row>
    <row r="1174" spans="16:17">
      <c r="P1174" t="s">
        <v>1537</v>
      </c>
      <c r="Q1174">
        <v>47646971</v>
      </c>
    </row>
    <row r="1175" spans="16:17">
      <c r="P1175" t="s">
        <v>2461</v>
      </c>
      <c r="Q1175" s="12">
        <v>39849206</v>
      </c>
    </row>
    <row r="1176" spans="16:17">
      <c r="P1176" s="12" t="s">
        <v>1538</v>
      </c>
      <c r="Q1176" s="12">
        <v>39849206</v>
      </c>
    </row>
    <row r="1177" spans="16:17">
      <c r="P1177" t="s">
        <v>2449</v>
      </c>
      <c r="Q1177">
        <v>47344153</v>
      </c>
    </row>
    <row r="1178" spans="16:17">
      <c r="P1178" t="s">
        <v>2497</v>
      </c>
      <c r="Q1178">
        <v>47344153</v>
      </c>
    </row>
    <row r="1179" spans="16:17">
      <c r="P1179" s="12" t="s">
        <v>1539</v>
      </c>
      <c r="Q1179" s="12">
        <v>37673874</v>
      </c>
    </row>
    <row r="1180" spans="16:17">
      <c r="P1180" s="12" t="s">
        <v>582</v>
      </c>
      <c r="Q1180" s="12">
        <v>45777770</v>
      </c>
    </row>
    <row r="1181" spans="16:17">
      <c r="P1181" t="s">
        <v>1540</v>
      </c>
      <c r="Q1181" s="12">
        <v>45777770</v>
      </c>
    </row>
    <row r="1182" spans="16:17">
      <c r="P1182" s="12" t="s">
        <v>1541</v>
      </c>
      <c r="Q1182" s="12">
        <v>42949397</v>
      </c>
    </row>
    <row r="1183" spans="16:17">
      <c r="P1183" s="12" t="s">
        <v>2558</v>
      </c>
      <c r="Q1183" s="12">
        <v>42949397</v>
      </c>
    </row>
    <row r="1184" spans="16:17">
      <c r="P1184" s="12" t="s">
        <v>1542</v>
      </c>
      <c r="Q1184" s="12">
        <v>42949397</v>
      </c>
    </row>
    <row r="1185" spans="16:17">
      <c r="P1185" s="12" t="s">
        <v>1543</v>
      </c>
      <c r="Q1185" s="12">
        <v>38983856</v>
      </c>
    </row>
    <row r="1186" spans="16:17">
      <c r="P1186" s="12" t="s">
        <v>1544</v>
      </c>
      <c r="Q1186" s="12">
        <v>38983856</v>
      </c>
    </row>
    <row r="1187" spans="16:17">
      <c r="P1187" s="12" t="s">
        <v>2559</v>
      </c>
      <c r="Q1187" s="12">
        <v>38983856</v>
      </c>
    </row>
    <row r="1188" spans="16:17">
      <c r="P1188" s="12" t="s">
        <v>584</v>
      </c>
      <c r="Q1188" s="12">
        <v>38983856</v>
      </c>
    </row>
    <row r="1189" spans="16:17">
      <c r="P1189" s="12" t="s">
        <v>585</v>
      </c>
      <c r="Q1189" s="12">
        <v>12892</v>
      </c>
    </row>
    <row r="1190" spans="16:17">
      <c r="P1190" s="12" t="s">
        <v>1545</v>
      </c>
      <c r="Q1190" s="12">
        <v>12892</v>
      </c>
    </row>
    <row r="1191" spans="16:17">
      <c r="P1191" t="s">
        <v>1546</v>
      </c>
      <c r="Q1191" s="12">
        <v>12892</v>
      </c>
    </row>
    <row r="1192" spans="16:17">
      <c r="P1192" s="12" t="s">
        <v>587</v>
      </c>
      <c r="Q1192" s="12">
        <v>29479568</v>
      </c>
    </row>
    <row r="1193" spans="16:17">
      <c r="P1193" s="12" t="s">
        <v>589</v>
      </c>
      <c r="Q1193" s="12">
        <v>40170135</v>
      </c>
    </row>
    <row r="1194" spans="16:17">
      <c r="P1194" s="12" t="s">
        <v>1547</v>
      </c>
      <c r="Q1194" s="12">
        <v>40015710</v>
      </c>
    </row>
    <row r="1195" spans="16:17">
      <c r="P1195" s="12" t="s">
        <v>1548</v>
      </c>
      <c r="Q1195" s="12">
        <v>39464433</v>
      </c>
    </row>
    <row r="1196" spans="16:17">
      <c r="P1196" s="12" t="s">
        <v>1549</v>
      </c>
      <c r="Q1196" s="12">
        <v>46955156</v>
      </c>
    </row>
    <row r="1197" spans="16:17">
      <c r="P1197" s="12" t="s">
        <v>1550</v>
      </c>
      <c r="Q1197" s="12">
        <v>46955156</v>
      </c>
    </row>
    <row r="1198" spans="16:17">
      <c r="P1198" t="s">
        <v>1551</v>
      </c>
      <c r="Q1198" s="12">
        <v>18057238</v>
      </c>
    </row>
    <row r="1199" spans="16:17">
      <c r="P1199" s="12" t="s">
        <v>1552</v>
      </c>
      <c r="Q1199" s="12">
        <v>18057238</v>
      </c>
    </row>
    <row r="1200" spans="16:17">
      <c r="P1200" s="12" t="s">
        <v>590</v>
      </c>
      <c r="Q1200" s="12">
        <v>18057238</v>
      </c>
    </row>
    <row r="1201" spans="16:17">
      <c r="P1201" s="12" t="s">
        <v>1553</v>
      </c>
      <c r="Q1201" s="12">
        <v>18057238</v>
      </c>
    </row>
    <row r="1202" spans="16:17">
      <c r="P1202" s="12" t="s">
        <v>1554</v>
      </c>
      <c r="Q1202" s="12">
        <v>18057238</v>
      </c>
    </row>
    <row r="1203" spans="16:17">
      <c r="P1203" s="12" t="s">
        <v>1555</v>
      </c>
      <c r="Q1203" s="12">
        <v>40185441</v>
      </c>
    </row>
    <row r="1204" spans="16:17">
      <c r="P1204" s="12" t="s">
        <v>1556</v>
      </c>
      <c r="Q1204" s="12">
        <v>34309230</v>
      </c>
    </row>
    <row r="1205" spans="16:17">
      <c r="P1205" s="12" t="s">
        <v>1557</v>
      </c>
      <c r="Q1205" s="12">
        <v>34309230</v>
      </c>
    </row>
    <row r="1206" spans="16:17">
      <c r="P1206" s="12" t="s">
        <v>2560</v>
      </c>
      <c r="Q1206" s="12">
        <v>34309230</v>
      </c>
    </row>
    <row r="1207" spans="16:17">
      <c r="P1207" s="12" t="s">
        <v>592</v>
      </c>
      <c r="Q1207" s="12">
        <v>34309230</v>
      </c>
    </row>
    <row r="1208" spans="16:17">
      <c r="P1208" t="s">
        <v>2462</v>
      </c>
      <c r="Q1208">
        <v>43629113</v>
      </c>
    </row>
    <row r="1209" spans="16:17">
      <c r="P1209" t="s">
        <v>1558</v>
      </c>
      <c r="Q1209">
        <v>39467782</v>
      </c>
    </row>
    <row r="1210" spans="16:17">
      <c r="P1210" t="s">
        <v>1559</v>
      </c>
      <c r="Q1210">
        <v>39467782</v>
      </c>
    </row>
    <row r="1211" spans="16:17">
      <c r="P1211" t="s">
        <v>1560</v>
      </c>
      <c r="Q1211">
        <v>39467782</v>
      </c>
    </row>
    <row r="1212" spans="16:17">
      <c r="P1212" t="s">
        <v>1561</v>
      </c>
      <c r="Q1212">
        <v>39467782</v>
      </c>
    </row>
    <row r="1213" spans="16:17">
      <c r="P1213" t="s">
        <v>1562</v>
      </c>
      <c r="Q1213">
        <v>39467782</v>
      </c>
    </row>
    <row r="1214" spans="16:17">
      <c r="P1214" s="12" t="s">
        <v>1563</v>
      </c>
      <c r="Q1214" s="12">
        <v>12687</v>
      </c>
    </row>
    <row r="1215" spans="16:17">
      <c r="P1215" s="12" t="s">
        <v>1564</v>
      </c>
      <c r="Q1215" s="12">
        <v>40006637</v>
      </c>
    </row>
    <row r="1216" spans="16:17">
      <c r="P1216" s="12" t="s">
        <v>1565</v>
      </c>
      <c r="Q1216" s="12">
        <v>40006637</v>
      </c>
    </row>
    <row r="1217" spans="16:17">
      <c r="P1217" s="12" t="s">
        <v>1566</v>
      </c>
      <c r="Q1217" s="12">
        <v>40006637</v>
      </c>
    </row>
    <row r="1218" spans="16:17">
      <c r="P1218" s="12" t="s">
        <v>1567</v>
      </c>
      <c r="Q1218" s="12">
        <v>45417782</v>
      </c>
    </row>
    <row r="1219" spans="16:17">
      <c r="P1219" s="12" t="s">
        <v>1568</v>
      </c>
      <c r="Q1219" s="12">
        <v>45417782</v>
      </c>
    </row>
    <row r="1220" spans="16:17">
      <c r="P1220" s="12" t="s">
        <v>1569</v>
      </c>
      <c r="Q1220" s="12">
        <v>45417782</v>
      </c>
    </row>
    <row r="1221" spans="16:17">
      <c r="P1221" s="12" t="s">
        <v>594</v>
      </c>
      <c r="Q1221" s="12">
        <v>45417782</v>
      </c>
    </row>
    <row r="1222" spans="16:17">
      <c r="P1222" s="12" t="s">
        <v>1570</v>
      </c>
      <c r="Q1222" s="12">
        <v>45417782</v>
      </c>
    </row>
    <row r="1223" spans="16:17">
      <c r="P1223" s="12" t="s">
        <v>1571</v>
      </c>
      <c r="Q1223" s="12">
        <v>12435</v>
      </c>
    </row>
    <row r="1224" spans="16:17">
      <c r="P1224" s="12" t="s">
        <v>1572</v>
      </c>
      <c r="Q1224" s="12">
        <v>12435</v>
      </c>
    </row>
    <row r="1225" spans="16:17">
      <c r="P1225" t="s">
        <v>2508</v>
      </c>
      <c r="Q1225" s="12">
        <v>12435</v>
      </c>
    </row>
    <row r="1226" spans="16:17">
      <c r="P1226" s="12" t="s">
        <v>595</v>
      </c>
      <c r="Q1226" s="12">
        <v>12435</v>
      </c>
    </row>
    <row r="1227" spans="16:17">
      <c r="P1227" s="12" t="s">
        <v>1573</v>
      </c>
      <c r="Q1227" s="12">
        <v>12435</v>
      </c>
    </row>
    <row r="1228" spans="16:17">
      <c r="P1228" s="12" t="s">
        <v>1574</v>
      </c>
      <c r="Q1228" s="12">
        <v>37837661</v>
      </c>
    </row>
    <row r="1229" spans="16:17">
      <c r="P1229" s="12" t="s">
        <v>596</v>
      </c>
      <c r="Q1229" s="12">
        <v>37837661</v>
      </c>
    </row>
    <row r="1230" spans="16:17">
      <c r="P1230" t="s">
        <v>1575</v>
      </c>
      <c r="Q1230">
        <v>37019337</v>
      </c>
    </row>
    <row r="1231" spans="16:17">
      <c r="P1231" s="12" t="s">
        <v>1576</v>
      </c>
      <c r="Q1231" s="12">
        <v>11836</v>
      </c>
    </row>
    <row r="1232" spans="16:17">
      <c r="P1232" t="s">
        <v>1577</v>
      </c>
      <c r="Q1232">
        <v>37989596</v>
      </c>
    </row>
    <row r="1233" spans="16:17">
      <c r="P1233" t="s">
        <v>1578</v>
      </c>
      <c r="Q1233">
        <v>37989596</v>
      </c>
    </row>
    <row r="1234" spans="16:17">
      <c r="P1234" t="s">
        <v>1579</v>
      </c>
      <c r="Q1234">
        <v>37989596</v>
      </c>
    </row>
    <row r="1235" spans="16:17">
      <c r="P1235" t="s">
        <v>1580</v>
      </c>
      <c r="Q1235">
        <v>37989596</v>
      </c>
    </row>
    <row r="1236" spans="16:17">
      <c r="P1236" t="s">
        <v>1581</v>
      </c>
      <c r="Q1236">
        <v>37989596</v>
      </c>
    </row>
    <row r="1237" spans="16:17">
      <c r="P1237" s="12" t="s">
        <v>1582</v>
      </c>
      <c r="Q1237" s="12">
        <v>44598859</v>
      </c>
    </row>
    <row r="1238" spans="16:17">
      <c r="P1238" s="12" t="s">
        <v>1583</v>
      </c>
      <c r="Q1238" s="12">
        <v>39149791</v>
      </c>
    </row>
    <row r="1239" spans="16:17">
      <c r="P1239" s="12" t="s">
        <v>1584</v>
      </c>
      <c r="Q1239" s="12">
        <v>39149791</v>
      </c>
    </row>
    <row r="1240" spans="16:17">
      <c r="P1240" t="s">
        <v>1585</v>
      </c>
      <c r="Q1240">
        <v>36404018</v>
      </c>
    </row>
    <row r="1241" spans="16:17">
      <c r="P1241" t="s">
        <v>1586</v>
      </c>
      <c r="Q1241">
        <v>36404018</v>
      </c>
    </row>
    <row r="1242" spans="16:17">
      <c r="P1242" s="12" t="s">
        <v>1587</v>
      </c>
      <c r="Q1242" s="12">
        <v>33045090</v>
      </c>
    </row>
    <row r="1243" spans="16:17">
      <c r="P1243" t="s">
        <v>1588</v>
      </c>
      <c r="Q1243">
        <v>36404018</v>
      </c>
    </row>
    <row r="1244" spans="16:17">
      <c r="P1244" t="s">
        <v>1589</v>
      </c>
      <c r="Q1244">
        <v>36404018</v>
      </c>
    </row>
    <row r="1245" spans="16:17">
      <c r="P1245" t="s">
        <v>1590</v>
      </c>
      <c r="Q1245">
        <v>36404018</v>
      </c>
    </row>
    <row r="1246" spans="16:17">
      <c r="P1246" t="s">
        <v>1591</v>
      </c>
      <c r="Q1246">
        <v>27259537</v>
      </c>
    </row>
    <row r="1247" spans="16:17">
      <c r="P1247" t="s">
        <v>1592</v>
      </c>
      <c r="Q1247">
        <v>27259537</v>
      </c>
    </row>
    <row r="1248" spans="16:17">
      <c r="P1248" t="s">
        <v>1593</v>
      </c>
      <c r="Q1248">
        <v>27259537</v>
      </c>
    </row>
    <row r="1249" spans="16:17">
      <c r="P1249" t="s">
        <v>1594</v>
      </c>
      <c r="Q1249">
        <v>27259537</v>
      </c>
    </row>
    <row r="1250" spans="16:17">
      <c r="P1250" s="12" t="s">
        <v>1595</v>
      </c>
      <c r="Q1250" s="12">
        <v>12317</v>
      </c>
    </row>
    <row r="1251" spans="16:17">
      <c r="P1251" s="12" t="s">
        <v>597</v>
      </c>
      <c r="Q1251" s="12">
        <v>12317</v>
      </c>
    </row>
    <row r="1252" spans="16:17">
      <c r="P1252" s="12" t="s">
        <v>1596</v>
      </c>
      <c r="Q1252" s="12">
        <v>28898771</v>
      </c>
    </row>
    <row r="1253" spans="16:17">
      <c r="P1253" s="12" t="s">
        <v>2561</v>
      </c>
      <c r="Q1253" s="12">
        <v>28898771</v>
      </c>
    </row>
    <row r="1254" spans="16:17">
      <c r="P1254" s="12" t="s">
        <v>1597</v>
      </c>
      <c r="Q1254" s="12">
        <v>43089412</v>
      </c>
    </row>
    <row r="1255" spans="16:17">
      <c r="P1255" t="s">
        <v>1598</v>
      </c>
      <c r="Q1255" s="12">
        <v>43089412</v>
      </c>
    </row>
    <row r="1256" spans="16:17">
      <c r="P1256" s="12" t="s">
        <v>1599</v>
      </c>
      <c r="Q1256" s="12">
        <v>28898771</v>
      </c>
    </row>
    <row r="1257" spans="16:17">
      <c r="P1257" s="12" t="s">
        <v>1600</v>
      </c>
      <c r="Q1257" s="12">
        <v>43089412</v>
      </c>
    </row>
    <row r="1258" spans="16:17">
      <c r="P1258" s="12" t="s">
        <v>599</v>
      </c>
      <c r="Q1258" s="12">
        <v>43089412</v>
      </c>
    </row>
    <row r="1259" spans="16:17">
      <c r="P1259" s="12" t="s">
        <v>1601</v>
      </c>
      <c r="Q1259" s="12">
        <v>43089412</v>
      </c>
    </row>
    <row r="1260" spans="16:17">
      <c r="P1260" s="12" t="s">
        <v>1602</v>
      </c>
      <c r="Q1260" s="12">
        <v>28898771</v>
      </c>
    </row>
    <row r="1261" spans="16:17">
      <c r="P1261" t="s">
        <v>2463</v>
      </c>
      <c r="Q1261" s="12">
        <v>13786</v>
      </c>
    </row>
    <row r="1262" spans="16:17">
      <c r="P1262" s="12" t="s">
        <v>1603</v>
      </c>
      <c r="Q1262" s="12">
        <v>13786</v>
      </c>
    </row>
    <row r="1263" spans="16:17">
      <c r="P1263" s="12" t="s">
        <v>601</v>
      </c>
      <c r="Q1263" s="12">
        <v>13786</v>
      </c>
    </row>
    <row r="1264" spans="16:17">
      <c r="P1264" s="12" t="s">
        <v>1604</v>
      </c>
      <c r="Q1264" s="12">
        <v>39418634</v>
      </c>
    </row>
    <row r="1265" spans="16:17">
      <c r="P1265" s="12" t="s">
        <v>2562</v>
      </c>
      <c r="Q1265" s="12">
        <v>39418634</v>
      </c>
    </row>
    <row r="1266" spans="16:17">
      <c r="P1266" s="12" t="s">
        <v>1605</v>
      </c>
      <c r="Q1266" s="12">
        <v>41103385</v>
      </c>
    </row>
    <row r="1267" spans="16:17">
      <c r="P1267" s="12" t="s">
        <v>603</v>
      </c>
      <c r="Q1267" s="12">
        <v>42412716</v>
      </c>
    </row>
    <row r="1268" spans="16:17">
      <c r="P1268" s="12" t="s">
        <v>1606</v>
      </c>
      <c r="Q1268" s="12">
        <v>42412716</v>
      </c>
    </row>
    <row r="1269" spans="16:17">
      <c r="P1269" s="12" t="s">
        <v>1607</v>
      </c>
      <c r="Q1269" s="12">
        <v>40671810</v>
      </c>
    </row>
    <row r="1270" spans="16:17">
      <c r="P1270" s="12" t="s">
        <v>1608</v>
      </c>
      <c r="Q1270" s="12">
        <v>40671810</v>
      </c>
    </row>
    <row r="1271" spans="16:17">
      <c r="P1271" s="12" t="s">
        <v>1609</v>
      </c>
      <c r="Q1271" s="12">
        <v>40671810</v>
      </c>
    </row>
    <row r="1272" spans="16:17">
      <c r="P1272" s="12" t="s">
        <v>1610</v>
      </c>
      <c r="Q1272" s="12">
        <v>94656597</v>
      </c>
    </row>
    <row r="1273" spans="16:17">
      <c r="P1273" s="12" t="s">
        <v>605</v>
      </c>
      <c r="Q1273" s="12">
        <v>94656597</v>
      </c>
    </row>
    <row r="1274" spans="16:17">
      <c r="P1274" s="12" t="s">
        <v>607</v>
      </c>
      <c r="Q1274" s="12">
        <v>39418634</v>
      </c>
    </row>
    <row r="1275" spans="16:17">
      <c r="P1275" s="12" t="s">
        <v>1611</v>
      </c>
      <c r="Q1275" s="12">
        <v>39418634</v>
      </c>
    </row>
    <row r="1276" spans="16:17">
      <c r="P1276" s="12" t="s">
        <v>1612</v>
      </c>
      <c r="Q1276" s="12">
        <v>94656597</v>
      </c>
    </row>
    <row r="1277" spans="16:17">
      <c r="P1277" s="12" t="s">
        <v>1613</v>
      </c>
      <c r="Q1277" s="12">
        <v>94656597</v>
      </c>
    </row>
    <row r="1278" spans="16:17">
      <c r="P1278" s="12" t="s">
        <v>1614</v>
      </c>
      <c r="Q1278" s="12">
        <v>41103385</v>
      </c>
    </row>
    <row r="1279" spans="16:17">
      <c r="P1279" s="12" t="s">
        <v>1615</v>
      </c>
      <c r="Q1279" s="12">
        <v>29392005</v>
      </c>
    </row>
    <row r="1280" spans="16:17">
      <c r="P1280" s="12" t="s">
        <v>1616</v>
      </c>
      <c r="Q1280" s="12">
        <v>37480598</v>
      </c>
    </row>
    <row r="1281" spans="16:17">
      <c r="P1281" s="12" t="s">
        <v>1617</v>
      </c>
      <c r="Q1281" s="12">
        <v>37480598</v>
      </c>
    </row>
    <row r="1282" spans="16:17">
      <c r="P1282" s="12" t="s">
        <v>1618</v>
      </c>
      <c r="Q1282" s="12">
        <v>37480598</v>
      </c>
    </row>
    <row r="1283" spans="16:17">
      <c r="P1283" s="12" t="s">
        <v>1619</v>
      </c>
      <c r="Q1283" s="12">
        <v>44656733</v>
      </c>
    </row>
    <row r="1284" spans="16:17">
      <c r="P1284" s="12" t="s">
        <v>609</v>
      </c>
      <c r="Q1284" s="12">
        <v>44656733</v>
      </c>
    </row>
    <row r="1285" spans="16:17">
      <c r="P1285" s="12" t="s">
        <v>1620</v>
      </c>
      <c r="Q1285" s="12">
        <v>38947757</v>
      </c>
    </row>
    <row r="1286" spans="16:17">
      <c r="P1286" s="12" t="s">
        <v>2563</v>
      </c>
      <c r="Q1286" s="12">
        <v>40381683</v>
      </c>
    </row>
    <row r="1287" spans="16:17">
      <c r="P1287" s="12" t="s">
        <v>2564</v>
      </c>
      <c r="Q1287" s="12">
        <v>45687042</v>
      </c>
    </row>
    <row r="1288" spans="16:17">
      <c r="P1288" s="12" t="s">
        <v>1621</v>
      </c>
      <c r="Q1288" s="12">
        <v>45687042</v>
      </c>
    </row>
    <row r="1289" spans="16:17">
      <c r="P1289" t="s">
        <v>1622</v>
      </c>
      <c r="Q1289">
        <v>45356816</v>
      </c>
    </row>
    <row r="1290" spans="16:17">
      <c r="P1290" s="12" t="s">
        <v>611</v>
      </c>
      <c r="Q1290" s="12">
        <v>35617100</v>
      </c>
    </row>
    <row r="1291" spans="16:17">
      <c r="P1291" t="s">
        <v>1623</v>
      </c>
      <c r="Q1291" s="12">
        <v>17212</v>
      </c>
    </row>
    <row r="1292" spans="16:17">
      <c r="P1292" t="s">
        <v>1624</v>
      </c>
      <c r="Q1292" s="12">
        <v>17212</v>
      </c>
    </row>
    <row r="1293" spans="16:17">
      <c r="P1293" t="s">
        <v>1625</v>
      </c>
      <c r="Q1293">
        <v>37786037</v>
      </c>
    </row>
    <row r="1294" spans="16:17">
      <c r="P1294" t="s">
        <v>2450</v>
      </c>
      <c r="Q1294" s="12">
        <v>28898771</v>
      </c>
    </row>
    <row r="1295" spans="16:17">
      <c r="P1295" s="12" t="s">
        <v>1626</v>
      </c>
      <c r="Q1295" s="12">
        <v>39393504</v>
      </c>
    </row>
    <row r="1296" spans="16:17">
      <c r="P1296" s="12" t="s">
        <v>1627</v>
      </c>
      <c r="Q1296" s="12">
        <v>43998966</v>
      </c>
    </row>
    <row r="1297" spans="16:17">
      <c r="P1297" s="12" t="s">
        <v>1628</v>
      </c>
      <c r="Q1297" s="12">
        <v>43998966</v>
      </c>
    </row>
    <row r="1298" spans="16:17">
      <c r="P1298" s="12" t="s">
        <v>1629</v>
      </c>
      <c r="Q1298" s="12">
        <v>50441124</v>
      </c>
    </row>
    <row r="1299" spans="16:17">
      <c r="P1299" s="12" t="s">
        <v>1630</v>
      </c>
      <c r="Q1299" s="12">
        <v>50441124</v>
      </c>
    </row>
    <row r="1300" spans="16:17">
      <c r="P1300" s="12" t="s">
        <v>1631</v>
      </c>
      <c r="Q1300" s="12">
        <v>50441124</v>
      </c>
    </row>
    <row r="1301" spans="16:17">
      <c r="P1301" t="s">
        <v>2482</v>
      </c>
      <c r="Q1301">
        <v>45623522</v>
      </c>
    </row>
    <row r="1302" spans="16:17">
      <c r="P1302" s="12" t="s">
        <v>1632</v>
      </c>
      <c r="Q1302" s="12">
        <v>44447985</v>
      </c>
    </row>
    <row r="1303" spans="16:17">
      <c r="P1303" t="s">
        <v>1633</v>
      </c>
      <c r="Q1303">
        <v>33122187</v>
      </c>
    </row>
    <row r="1304" spans="16:17">
      <c r="P1304" t="s">
        <v>1634</v>
      </c>
      <c r="Q1304">
        <v>33122187</v>
      </c>
    </row>
    <row r="1305" spans="16:17">
      <c r="P1305" t="s">
        <v>1635</v>
      </c>
      <c r="Q1305">
        <v>33122187</v>
      </c>
    </row>
    <row r="1306" spans="16:17">
      <c r="P1306" t="s">
        <v>1636</v>
      </c>
      <c r="Q1306">
        <v>33122187</v>
      </c>
    </row>
    <row r="1307" spans="16:17">
      <c r="P1307" s="12" t="s">
        <v>1637</v>
      </c>
      <c r="Q1307" s="12">
        <v>26550375</v>
      </c>
    </row>
    <row r="1308" spans="16:17">
      <c r="P1308" s="12" t="s">
        <v>1638</v>
      </c>
      <c r="Q1308" s="12">
        <v>34959036</v>
      </c>
    </row>
    <row r="1309" spans="16:17">
      <c r="P1309" s="12" t="s">
        <v>1639</v>
      </c>
      <c r="Q1309" s="12">
        <v>43574382</v>
      </c>
    </row>
    <row r="1310" spans="16:17">
      <c r="P1310" s="12" t="s">
        <v>1640</v>
      </c>
      <c r="Q1310" s="12">
        <v>22819436</v>
      </c>
    </row>
    <row r="1311" spans="16:17">
      <c r="P1311" s="12" t="s">
        <v>1641</v>
      </c>
      <c r="Q1311" s="12">
        <v>22819436</v>
      </c>
    </row>
    <row r="1312" spans="16:17">
      <c r="P1312" s="12" t="s">
        <v>612</v>
      </c>
      <c r="Q1312" s="12">
        <v>22819436</v>
      </c>
    </row>
    <row r="1313" spans="16:17">
      <c r="P1313" s="12" t="s">
        <v>1642</v>
      </c>
      <c r="Q1313" s="12">
        <v>41150966</v>
      </c>
    </row>
    <row r="1314" spans="16:17">
      <c r="P1314" s="12" t="s">
        <v>1643</v>
      </c>
      <c r="Q1314" s="12">
        <v>40024253</v>
      </c>
    </row>
    <row r="1315" spans="16:17">
      <c r="P1315" s="12" t="s">
        <v>1644</v>
      </c>
      <c r="Q1315" s="12">
        <v>12219</v>
      </c>
    </row>
    <row r="1316" spans="16:17">
      <c r="P1316" s="12" t="s">
        <v>1645</v>
      </c>
      <c r="Q1316" s="12">
        <v>39418565</v>
      </c>
    </row>
    <row r="1317" spans="16:17">
      <c r="P1317" s="12" t="s">
        <v>1646</v>
      </c>
      <c r="Q1317" s="12">
        <v>39418565</v>
      </c>
    </row>
    <row r="1318" spans="16:17">
      <c r="P1318" s="12" t="s">
        <v>614</v>
      </c>
      <c r="Q1318" s="12">
        <v>21594484</v>
      </c>
    </row>
    <row r="1319" spans="16:17">
      <c r="P1319" s="12" t="s">
        <v>1647</v>
      </c>
      <c r="Q1319" s="12">
        <v>44508898</v>
      </c>
    </row>
    <row r="1320" spans="16:17">
      <c r="P1320" s="12" t="s">
        <v>1648</v>
      </c>
      <c r="Q1320" s="12">
        <v>44508898</v>
      </c>
    </row>
    <row r="1321" spans="16:17">
      <c r="P1321" s="12" t="s">
        <v>1649</v>
      </c>
      <c r="Q1321" s="12">
        <v>44508898</v>
      </c>
    </row>
    <row r="1322" spans="16:17">
      <c r="P1322" s="12" t="s">
        <v>1650</v>
      </c>
      <c r="Q1322" s="12">
        <v>44554412</v>
      </c>
    </row>
    <row r="1323" spans="16:17">
      <c r="P1323" s="12" t="s">
        <v>616</v>
      </c>
      <c r="Q1323" s="12">
        <v>44554412</v>
      </c>
    </row>
    <row r="1324" spans="16:17">
      <c r="P1324" s="12" t="s">
        <v>2565</v>
      </c>
      <c r="Q1324" s="12">
        <v>44554412</v>
      </c>
    </row>
    <row r="1325" spans="16:17">
      <c r="P1325" s="12" t="s">
        <v>1651</v>
      </c>
      <c r="Q1325" s="12">
        <v>29635735</v>
      </c>
    </row>
    <row r="1326" spans="16:17">
      <c r="P1326" s="12" t="s">
        <v>1652</v>
      </c>
      <c r="Q1326" s="12">
        <v>12877</v>
      </c>
    </row>
    <row r="1327" spans="16:17">
      <c r="P1327" t="s">
        <v>1653</v>
      </c>
      <c r="Q1327">
        <v>36561378</v>
      </c>
    </row>
    <row r="1328" spans="16:17">
      <c r="P1328" s="12" t="s">
        <v>1654</v>
      </c>
      <c r="Q1328" s="12">
        <v>35166947</v>
      </c>
    </row>
    <row r="1329" spans="16:17">
      <c r="P1329" s="12" t="s">
        <v>1655</v>
      </c>
      <c r="Q1329" s="12">
        <v>41898391</v>
      </c>
    </row>
    <row r="1330" spans="16:17">
      <c r="P1330" s="12" t="s">
        <v>1656</v>
      </c>
      <c r="Q1330" s="12">
        <v>42364427</v>
      </c>
    </row>
    <row r="1331" spans="16:17">
      <c r="P1331" s="12" t="s">
        <v>1657</v>
      </c>
      <c r="Q1331" s="12">
        <v>35419741</v>
      </c>
    </row>
    <row r="1332" spans="16:17">
      <c r="P1332" s="12" t="s">
        <v>2566</v>
      </c>
      <c r="Q1332" s="12">
        <v>95552922</v>
      </c>
    </row>
    <row r="1333" spans="16:17">
      <c r="P1333" s="12" t="s">
        <v>1658</v>
      </c>
      <c r="Q1333" s="12">
        <v>42998850</v>
      </c>
    </row>
    <row r="1334" spans="16:17">
      <c r="P1334" s="12" t="s">
        <v>1659</v>
      </c>
      <c r="Q1334" s="12">
        <v>43672243</v>
      </c>
    </row>
    <row r="1335" spans="16:17">
      <c r="P1335" s="12" t="s">
        <v>1660</v>
      </c>
      <c r="Q1335" s="12">
        <v>43672243</v>
      </c>
    </row>
    <row r="1336" spans="16:17">
      <c r="P1336" s="12" t="s">
        <v>617</v>
      </c>
      <c r="Q1336" s="12">
        <v>43672243</v>
      </c>
    </row>
    <row r="1337" spans="16:17">
      <c r="P1337" s="12" t="s">
        <v>1661</v>
      </c>
      <c r="Q1337" s="12">
        <v>43262077</v>
      </c>
    </row>
    <row r="1338" spans="16:17">
      <c r="P1338" s="12" t="s">
        <v>619</v>
      </c>
      <c r="Q1338" s="12">
        <v>34488</v>
      </c>
    </row>
    <row r="1339" spans="16:17">
      <c r="P1339" s="12" t="s">
        <v>1662</v>
      </c>
      <c r="Q1339" s="12">
        <v>34488</v>
      </c>
    </row>
    <row r="1340" spans="16:17">
      <c r="P1340" t="s">
        <v>1663</v>
      </c>
      <c r="Q1340">
        <v>33789775</v>
      </c>
    </row>
    <row r="1341" spans="16:17">
      <c r="P1341" t="s">
        <v>1664</v>
      </c>
      <c r="Q1341">
        <v>33789775</v>
      </c>
    </row>
    <row r="1342" spans="16:17">
      <c r="P1342" s="12" t="s">
        <v>1665</v>
      </c>
      <c r="Q1342" s="12">
        <v>39065166</v>
      </c>
    </row>
    <row r="1343" spans="16:17">
      <c r="P1343" s="12" t="s">
        <v>1666</v>
      </c>
      <c r="Q1343" s="12">
        <v>37667255</v>
      </c>
    </row>
    <row r="1344" spans="16:17">
      <c r="P1344" s="12" t="s">
        <v>1667</v>
      </c>
      <c r="Q1344" s="12">
        <v>37667255</v>
      </c>
    </row>
    <row r="1345" spans="16:17">
      <c r="P1345" s="12" t="s">
        <v>1668</v>
      </c>
      <c r="Q1345" s="12">
        <v>44789774</v>
      </c>
    </row>
    <row r="1346" spans="16:17">
      <c r="P1346" s="12" t="s">
        <v>1669</v>
      </c>
      <c r="Q1346" s="12">
        <v>44789774</v>
      </c>
    </row>
    <row r="1347" spans="16:17">
      <c r="P1347" s="12" t="s">
        <v>621</v>
      </c>
      <c r="Q1347" s="12">
        <v>44789774</v>
      </c>
    </row>
    <row r="1348" spans="16:17">
      <c r="P1348" s="12" t="s">
        <v>1670</v>
      </c>
      <c r="Q1348" s="12">
        <v>43310085</v>
      </c>
    </row>
    <row r="1349" spans="16:17">
      <c r="P1349" s="12" t="s">
        <v>1671</v>
      </c>
      <c r="Q1349" s="12">
        <v>36387276</v>
      </c>
    </row>
    <row r="1350" spans="16:17">
      <c r="P1350" s="12" t="s">
        <v>1672</v>
      </c>
      <c r="Q1350" s="12">
        <v>44156353</v>
      </c>
    </row>
    <row r="1351" spans="16:17">
      <c r="P1351" s="12" t="s">
        <v>1673</v>
      </c>
      <c r="Q1351" s="12">
        <v>38346365</v>
      </c>
    </row>
    <row r="1352" spans="16:17">
      <c r="P1352" s="12" t="s">
        <v>1674</v>
      </c>
      <c r="Q1352" s="12">
        <v>38458057</v>
      </c>
    </row>
    <row r="1353" spans="16:17">
      <c r="P1353" s="12" t="s">
        <v>1675</v>
      </c>
      <c r="Q1353" s="12">
        <v>38458057</v>
      </c>
    </row>
    <row r="1354" spans="16:17">
      <c r="P1354" t="s">
        <v>2498</v>
      </c>
      <c r="Q1354">
        <v>36561378</v>
      </c>
    </row>
    <row r="1355" spans="16:17">
      <c r="P1355" t="s">
        <v>1676</v>
      </c>
      <c r="Q1355">
        <v>22986617</v>
      </c>
    </row>
    <row r="1356" spans="16:17">
      <c r="P1356" t="s">
        <v>1677</v>
      </c>
      <c r="Q1356">
        <v>22986617</v>
      </c>
    </row>
    <row r="1357" spans="16:17">
      <c r="P1357" t="s">
        <v>1678</v>
      </c>
      <c r="Q1357" s="12">
        <v>38346365</v>
      </c>
    </row>
    <row r="1358" spans="16:17">
      <c r="P1358" s="12" t="s">
        <v>623</v>
      </c>
      <c r="Q1358" s="12">
        <v>38346365</v>
      </c>
    </row>
    <row r="1359" spans="16:17">
      <c r="P1359" s="12" t="s">
        <v>1679</v>
      </c>
      <c r="Q1359" s="12">
        <v>38346365</v>
      </c>
    </row>
    <row r="1360" spans="16:17">
      <c r="P1360" t="s">
        <v>1680</v>
      </c>
      <c r="Q1360" s="12">
        <v>38346365</v>
      </c>
    </row>
    <row r="1361" spans="16:17">
      <c r="P1361" s="12" t="s">
        <v>1681</v>
      </c>
      <c r="Q1361" s="12">
        <v>39427173</v>
      </c>
    </row>
    <row r="1362" spans="16:17">
      <c r="P1362" t="s">
        <v>1682</v>
      </c>
      <c r="Q1362">
        <v>35820013</v>
      </c>
    </row>
    <row r="1363" spans="16:17">
      <c r="P1363" t="s">
        <v>1683</v>
      </c>
      <c r="Q1363">
        <v>35820013</v>
      </c>
    </row>
    <row r="1364" spans="16:17">
      <c r="P1364" s="12" t="s">
        <v>1684</v>
      </c>
      <c r="Q1364" s="12">
        <v>30494494</v>
      </c>
    </row>
    <row r="1365" spans="16:17">
      <c r="P1365" s="12" t="s">
        <v>624</v>
      </c>
      <c r="Q1365" s="12">
        <v>43310085</v>
      </c>
    </row>
    <row r="1366" spans="16:17">
      <c r="P1366" s="12" t="s">
        <v>1685</v>
      </c>
      <c r="Q1366" s="12">
        <v>43310085</v>
      </c>
    </row>
    <row r="1367" spans="16:17">
      <c r="P1367" s="12" t="s">
        <v>626</v>
      </c>
      <c r="Q1367" s="12">
        <v>36387276</v>
      </c>
    </row>
    <row r="1368" spans="16:17">
      <c r="P1368" s="12" t="s">
        <v>1686</v>
      </c>
      <c r="Q1368" s="12">
        <v>36387276</v>
      </c>
    </row>
    <row r="1369" spans="16:17">
      <c r="P1369" s="12" t="s">
        <v>627</v>
      </c>
      <c r="Q1369" s="12">
        <v>44156353</v>
      </c>
    </row>
    <row r="1370" spans="16:17">
      <c r="P1370" s="12" t="s">
        <v>1687</v>
      </c>
      <c r="Q1370" s="12">
        <v>39269078</v>
      </c>
    </row>
    <row r="1371" spans="16:17">
      <c r="P1371" t="s">
        <v>1688</v>
      </c>
      <c r="Q1371">
        <v>22986617</v>
      </c>
    </row>
    <row r="1372" spans="16:17">
      <c r="P1372" t="s">
        <v>1689</v>
      </c>
      <c r="Q1372">
        <v>22986617</v>
      </c>
    </row>
    <row r="1373" spans="16:17">
      <c r="P1373" s="12" t="s">
        <v>1690</v>
      </c>
      <c r="Q1373" s="12">
        <v>13297618</v>
      </c>
    </row>
    <row r="1374" spans="16:17">
      <c r="P1374" s="12" t="s">
        <v>1691</v>
      </c>
      <c r="Q1374" s="12">
        <v>43724496</v>
      </c>
    </row>
    <row r="1375" spans="16:17">
      <c r="P1375" s="12" t="s">
        <v>1692</v>
      </c>
      <c r="Q1375" s="12">
        <v>43724496</v>
      </c>
    </row>
    <row r="1376" spans="16:17">
      <c r="P1376" s="12" t="s">
        <v>1693</v>
      </c>
      <c r="Q1376" s="12">
        <v>11714</v>
      </c>
    </row>
    <row r="1377" spans="16:17">
      <c r="P1377" t="s">
        <v>1694</v>
      </c>
      <c r="Q1377">
        <v>11714</v>
      </c>
    </row>
    <row r="1378" spans="16:17">
      <c r="P1378" s="12" t="s">
        <v>1695</v>
      </c>
      <c r="Q1378" s="12">
        <v>11714</v>
      </c>
    </row>
    <row r="1379" spans="16:17">
      <c r="P1379" s="12" t="s">
        <v>629</v>
      </c>
      <c r="Q1379" s="12">
        <v>11714</v>
      </c>
    </row>
    <row r="1380" spans="16:17">
      <c r="P1380" s="12" t="s">
        <v>1696</v>
      </c>
      <c r="Q1380" s="12">
        <v>38346365</v>
      </c>
    </row>
    <row r="1381" spans="16:17">
      <c r="P1381" s="12" t="s">
        <v>1697</v>
      </c>
      <c r="Q1381" s="12">
        <v>42820200</v>
      </c>
    </row>
    <row r="1382" spans="16:17">
      <c r="P1382" s="12" t="s">
        <v>1698</v>
      </c>
      <c r="Q1382" s="12">
        <v>42820200</v>
      </c>
    </row>
    <row r="1383" spans="16:17">
      <c r="P1383" s="12" t="s">
        <v>631</v>
      </c>
      <c r="Q1383" s="12">
        <v>42820200</v>
      </c>
    </row>
    <row r="1384" spans="16:17">
      <c r="P1384" s="12" t="s">
        <v>1699</v>
      </c>
      <c r="Q1384" s="12">
        <v>42567123</v>
      </c>
    </row>
    <row r="1385" spans="16:17">
      <c r="P1385" s="12" t="s">
        <v>633</v>
      </c>
      <c r="Q1385" s="12">
        <v>32087816</v>
      </c>
    </row>
    <row r="1386" spans="16:17">
      <c r="P1386" s="12" t="s">
        <v>1700</v>
      </c>
      <c r="Q1386" s="12">
        <v>42157414</v>
      </c>
    </row>
    <row r="1387" spans="16:17">
      <c r="P1387" s="12" t="s">
        <v>1701</v>
      </c>
      <c r="Q1387" s="12">
        <v>42157414</v>
      </c>
    </row>
    <row r="1388" spans="16:17">
      <c r="P1388" s="12" t="s">
        <v>2567</v>
      </c>
      <c r="Q1388" s="12">
        <v>42157414</v>
      </c>
    </row>
    <row r="1389" spans="16:17">
      <c r="P1389" s="12" t="s">
        <v>1702</v>
      </c>
      <c r="Q1389" s="12">
        <v>40745396</v>
      </c>
    </row>
    <row r="1390" spans="16:17">
      <c r="P1390" s="12" t="s">
        <v>1703</v>
      </c>
      <c r="Q1390" s="12">
        <v>36779160</v>
      </c>
    </row>
    <row r="1391" spans="16:17">
      <c r="P1391" s="12" t="s">
        <v>1704</v>
      </c>
      <c r="Q1391" s="12">
        <v>39849147</v>
      </c>
    </row>
    <row r="1392" spans="16:17">
      <c r="P1392" s="12" t="s">
        <v>1705</v>
      </c>
      <c r="Q1392" s="12">
        <v>39849147</v>
      </c>
    </row>
    <row r="1393" spans="16:17">
      <c r="P1393" t="s">
        <v>1706</v>
      </c>
      <c r="Q1393" s="12">
        <v>39849147</v>
      </c>
    </row>
    <row r="1394" spans="16:17">
      <c r="P1394" s="12" t="s">
        <v>636</v>
      </c>
      <c r="Q1394" s="12">
        <v>43180231</v>
      </c>
    </row>
    <row r="1395" spans="16:17">
      <c r="P1395" s="12" t="s">
        <v>1707</v>
      </c>
      <c r="Q1395" s="12">
        <v>45678365</v>
      </c>
    </row>
    <row r="1396" spans="16:17">
      <c r="P1396" t="s">
        <v>1708</v>
      </c>
      <c r="Q1396">
        <v>25805778</v>
      </c>
    </row>
    <row r="1397" spans="16:17">
      <c r="P1397" t="s">
        <v>1709</v>
      </c>
      <c r="Q1397" s="12">
        <v>43039140</v>
      </c>
    </row>
    <row r="1398" spans="16:17">
      <c r="P1398" s="12" t="s">
        <v>638</v>
      </c>
      <c r="Q1398" s="12">
        <v>45678365</v>
      </c>
    </row>
    <row r="1399" spans="16:17">
      <c r="P1399" t="s">
        <v>1710</v>
      </c>
      <c r="Q1399" s="12">
        <v>45678365</v>
      </c>
    </row>
    <row r="1400" spans="16:17">
      <c r="P1400" t="s">
        <v>1711</v>
      </c>
      <c r="Q1400">
        <v>25805778</v>
      </c>
    </row>
    <row r="1401" spans="16:17">
      <c r="P1401" t="s">
        <v>1712</v>
      </c>
      <c r="Q1401">
        <v>25805778</v>
      </c>
    </row>
    <row r="1402" spans="16:17">
      <c r="P1402" s="12" t="s">
        <v>640</v>
      </c>
      <c r="Q1402" s="12">
        <v>43039140</v>
      </c>
    </row>
    <row r="1403" spans="16:17">
      <c r="P1403" s="12" t="s">
        <v>1713</v>
      </c>
      <c r="Q1403" s="12">
        <v>43039140</v>
      </c>
    </row>
    <row r="1404" spans="16:17">
      <c r="P1404" s="12" t="s">
        <v>1714</v>
      </c>
      <c r="Q1404" s="12">
        <v>36156558</v>
      </c>
    </row>
    <row r="1405" spans="16:17">
      <c r="P1405" t="s">
        <v>1715</v>
      </c>
      <c r="Q1405" s="12">
        <v>13764</v>
      </c>
    </row>
    <row r="1406" spans="16:17">
      <c r="P1406" t="s">
        <v>1716</v>
      </c>
      <c r="Q1406" s="12">
        <v>13764</v>
      </c>
    </row>
    <row r="1407" spans="16:17">
      <c r="P1407" s="12" t="s">
        <v>642</v>
      </c>
      <c r="Q1407" s="12">
        <v>13764</v>
      </c>
    </row>
    <row r="1408" spans="16:17">
      <c r="P1408" t="s">
        <v>1717</v>
      </c>
      <c r="Q1408" s="12">
        <v>13764</v>
      </c>
    </row>
    <row r="1409" spans="16:17">
      <c r="P1409" t="s">
        <v>1718</v>
      </c>
      <c r="Q1409" s="12">
        <v>13764</v>
      </c>
    </row>
    <row r="1410" spans="16:17">
      <c r="P1410" s="12" t="s">
        <v>1719</v>
      </c>
      <c r="Q1410" s="12">
        <v>41263276</v>
      </c>
    </row>
    <row r="1411" spans="16:17">
      <c r="P1411" t="s">
        <v>1720</v>
      </c>
      <c r="Q1411" s="12">
        <v>44484098</v>
      </c>
    </row>
    <row r="1412" spans="16:17">
      <c r="P1412" s="12" t="s">
        <v>1721</v>
      </c>
      <c r="Q1412" s="12">
        <v>44484098</v>
      </c>
    </row>
    <row r="1413" spans="16:17">
      <c r="P1413" s="12" t="s">
        <v>1722</v>
      </c>
      <c r="Q1413" s="12">
        <v>44484098</v>
      </c>
    </row>
    <row r="1414" spans="16:17">
      <c r="P1414" s="12" t="s">
        <v>644</v>
      </c>
      <c r="Q1414" s="12">
        <v>44484098</v>
      </c>
    </row>
    <row r="1415" spans="16:17">
      <c r="P1415" s="12" t="s">
        <v>1723</v>
      </c>
      <c r="Q1415" s="12">
        <v>94465774</v>
      </c>
    </row>
    <row r="1416" spans="16:17">
      <c r="P1416" s="12" t="s">
        <v>646</v>
      </c>
      <c r="Q1416" s="12">
        <v>94465774</v>
      </c>
    </row>
    <row r="1417" spans="16:17">
      <c r="P1417" s="12" t="s">
        <v>1724</v>
      </c>
      <c r="Q1417" s="12">
        <v>94465774</v>
      </c>
    </row>
    <row r="1418" spans="16:17">
      <c r="P1418" s="12" t="s">
        <v>1725</v>
      </c>
      <c r="Q1418" s="12">
        <v>39712754</v>
      </c>
    </row>
    <row r="1419" spans="16:17">
      <c r="P1419" s="12" t="s">
        <v>648</v>
      </c>
      <c r="Q1419" s="12">
        <v>39712754</v>
      </c>
    </row>
    <row r="1420" spans="16:17">
      <c r="P1420" s="12" t="s">
        <v>1726</v>
      </c>
      <c r="Q1420" s="12">
        <v>39712754</v>
      </c>
    </row>
    <row r="1421" spans="16:17">
      <c r="P1421" t="s">
        <v>1727</v>
      </c>
      <c r="Q1421">
        <v>43629113</v>
      </c>
    </row>
    <row r="1422" spans="16:17">
      <c r="P1422" t="s">
        <v>2499</v>
      </c>
      <c r="Q1422">
        <v>43629113</v>
      </c>
    </row>
    <row r="1423" spans="16:17">
      <c r="P1423" t="s">
        <v>1728</v>
      </c>
      <c r="Q1423" s="12">
        <v>35166947</v>
      </c>
    </row>
    <row r="1424" spans="16:17">
      <c r="P1424" s="12" t="s">
        <v>1729</v>
      </c>
      <c r="Q1424" s="98">
        <v>28374699</v>
      </c>
    </row>
    <row r="1425" spans="16:17">
      <c r="P1425" t="s">
        <v>1730</v>
      </c>
      <c r="Q1425">
        <v>34809431</v>
      </c>
    </row>
    <row r="1426" spans="16:17">
      <c r="P1426" t="s">
        <v>1731</v>
      </c>
      <c r="Q1426">
        <v>34809431</v>
      </c>
    </row>
    <row r="1427" spans="16:17">
      <c r="P1427" s="12" t="s">
        <v>1732</v>
      </c>
      <c r="Q1427" s="12">
        <v>39268829</v>
      </c>
    </row>
    <row r="1428" spans="16:17">
      <c r="P1428" s="12" t="s">
        <v>1733</v>
      </c>
      <c r="Q1428" s="12">
        <v>33947</v>
      </c>
    </row>
    <row r="1429" spans="16:17">
      <c r="P1429" s="12" t="s">
        <v>1734</v>
      </c>
      <c r="Q1429" s="12">
        <v>33947</v>
      </c>
    </row>
    <row r="1430" spans="16:17">
      <c r="P1430" t="s">
        <v>1735</v>
      </c>
      <c r="Q1430">
        <v>44533037</v>
      </c>
    </row>
    <row r="1431" spans="16:17">
      <c r="P1431" t="s">
        <v>1736</v>
      </c>
      <c r="Q1431">
        <v>44533037</v>
      </c>
    </row>
    <row r="1432" spans="16:17">
      <c r="P1432" t="s">
        <v>1737</v>
      </c>
      <c r="Q1432">
        <v>44533037</v>
      </c>
    </row>
    <row r="1433" spans="16:17">
      <c r="P1433" t="s">
        <v>1738</v>
      </c>
      <c r="Q1433">
        <v>44533037</v>
      </c>
    </row>
    <row r="1434" spans="16:17">
      <c r="P1434" t="s">
        <v>1739</v>
      </c>
      <c r="Q1434">
        <v>44533037</v>
      </c>
    </row>
    <row r="1435" spans="16:17">
      <c r="P1435" t="s">
        <v>1740</v>
      </c>
      <c r="Q1435">
        <v>47229174</v>
      </c>
    </row>
    <row r="1436" spans="16:17">
      <c r="P1436" t="s">
        <v>1741</v>
      </c>
      <c r="Q1436">
        <v>47229174</v>
      </c>
    </row>
    <row r="1437" spans="16:17">
      <c r="P1437" s="12" t="s">
        <v>650</v>
      </c>
      <c r="Q1437" s="12">
        <v>43816402</v>
      </c>
    </row>
    <row r="1438" spans="16:17">
      <c r="P1438" s="12" t="s">
        <v>2568</v>
      </c>
      <c r="Q1438" s="12">
        <v>43816402</v>
      </c>
    </row>
    <row r="1439" spans="16:17">
      <c r="P1439" s="12" t="s">
        <v>1742</v>
      </c>
      <c r="Q1439" s="12">
        <v>41204212</v>
      </c>
    </row>
    <row r="1440" spans="16:17">
      <c r="P1440" t="s">
        <v>2464</v>
      </c>
      <c r="Q1440" s="12">
        <v>12826</v>
      </c>
    </row>
    <row r="1441" spans="16:17">
      <c r="P1441" s="12" t="s">
        <v>652</v>
      </c>
      <c r="Q1441" s="12">
        <v>12826</v>
      </c>
    </row>
    <row r="1442" spans="16:17">
      <c r="P1442" s="12" t="s">
        <v>1743</v>
      </c>
      <c r="Q1442" s="12">
        <v>94243803</v>
      </c>
    </row>
    <row r="1443" spans="16:17">
      <c r="P1443" t="s">
        <v>1744</v>
      </c>
      <c r="Q1443" s="12">
        <v>18224482</v>
      </c>
    </row>
    <row r="1444" spans="16:17">
      <c r="P1444" s="12" t="s">
        <v>1745</v>
      </c>
      <c r="Q1444" s="12">
        <v>44339059</v>
      </c>
    </row>
    <row r="1445" spans="16:17">
      <c r="P1445" s="12" t="s">
        <v>1746</v>
      </c>
      <c r="Q1445" s="12">
        <v>41777987</v>
      </c>
    </row>
    <row r="1446" spans="16:17">
      <c r="P1446" s="12" t="s">
        <v>1747</v>
      </c>
      <c r="Q1446" s="12">
        <v>41777987</v>
      </c>
    </row>
    <row r="1447" spans="16:17">
      <c r="P1447" s="12" t="s">
        <v>1748</v>
      </c>
      <c r="Q1447" s="12">
        <v>41777987</v>
      </c>
    </row>
    <row r="1448" spans="16:17">
      <c r="P1448" s="12" t="s">
        <v>1749</v>
      </c>
      <c r="Q1448" s="12">
        <v>22080853</v>
      </c>
    </row>
    <row r="1449" spans="16:17">
      <c r="P1449" s="12" t="s">
        <v>653</v>
      </c>
      <c r="Q1449" s="12">
        <v>22080853</v>
      </c>
    </row>
    <row r="1450" spans="16:17">
      <c r="P1450" s="12" t="s">
        <v>1750</v>
      </c>
      <c r="Q1450" s="12">
        <v>43034720</v>
      </c>
    </row>
    <row r="1451" spans="16:17">
      <c r="P1451" s="12" t="s">
        <v>1751</v>
      </c>
      <c r="Q1451" s="12">
        <v>43034720</v>
      </c>
    </row>
    <row r="1452" spans="16:17">
      <c r="P1452" s="12" t="s">
        <v>1752</v>
      </c>
      <c r="Q1452" s="12">
        <v>43034720</v>
      </c>
    </row>
    <row r="1453" spans="16:17">
      <c r="P1453" s="12" t="s">
        <v>654</v>
      </c>
      <c r="Q1453" s="12">
        <v>43034720</v>
      </c>
    </row>
    <row r="1454" spans="16:17">
      <c r="P1454" s="12" t="s">
        <v>1753</v>
      </c>
      <c r="Q1454" s="12">
        <v>32009469</v>
      </c>
    </row>
    <row r="1455" spans="16:17">
      <c r="P1455" t="s">
        <v>1754</v>
      </c>
      <c r="Q1455" s="12">
        <v>35335213</v>
      </c>
    </row>
    <row r="1456" spans="16:17">
      <c r="P1456" t="s">
        <v>1755</v>
      </c>
      <c r="Q1456" s="12">
        <v>35335213</v>
      </c>
    </row>
    <row r="1457" spans="16:17">
      <c r="P1457" s="12" t="s">
        <v>1756</v>
      </c>
      <c r="Q1457" s="12">
        <v>46252382</v>
      </c>
    </row>
    <row r="1458" spans="16:17">
      <c r="P1458" t="s">
        <v>1757</v>
      </c>
      <c r="Q1458" s="12">
        <v>35335213</v>
      </c>
    </row>
    <row r="1459" spans="16:17">
      <c r="P1459" s="12" t="s">
        <v>1758</v>
      </c>
      <c r="Q1459" s="12">
        <v>46252382</v>
      </c>
    </row>
    <row r="1460" spans="16:17">
      <c r="P1460" s="12" t="s">
        <v>1759</v>
      </c>
      <c r="Q1460" s="12">
        <v>46252382</v>
      </c>
    </row>
    <row r="1461" spans="16:17">
      <c r="P1461" s="12" t="s">
        <v>656</v>
      </c>
      <c r="Q1461" s="12">
        <v>35335213</v>
      </c>
    </row>
    <row r="1462" spans="16:17">
      <c r="P1462" s="12" t="s">
        <v>1760</v>
      </c>
      <c r="Q1462" s="12">
        <v>12163</v>
      </c>
    </row>
    <row r="1463" spans="16:17">
      <c r="P1463" t="s">
        <v>1761</v>
      </c>
      <c r="Q1463" s="12">
        <v>35335213</v>
      </c>
    </row>
    <row r="1464" spans="16:17">
      <c r="P1464" s="12" t="s">
        <v>1762</v>
      </c>
      <c r="Q1464" s="12">
        <v>39208721</v>
      </c>
    </row>
    <row r="1465" spans="16:17">
      <c r="P1465" s="12" t="s">
        <v>658</v>
      </c>
      <c r="Q1465" s="12">
        <v>39208721</v>
      </c>
    </row>
    <row r="1466" spans="16:17">
      <c r="P1466" t="s">
        <v>1763</v>
      </c>
      <c r="Q1466" s="12">
        <v>44339059</v>
      </c>
    </row>
    <row r="1467" spans="16:17">
      <c r="P1467" s="12" t="s">
        <v>1764</v>
      </c>
      <c r="Q1467" s="12">
        <v>44339059</v>
      </c>
    </row>
    <row r="1468" spans="16:17">
      <c r="P1468" s="12" t="s">
        <v>1765</v>
      </c>
      <c r="Q1468" s="12">
        <v>44339059</v>
      </c>
    </row>
    <row r="1469" spans="16:17">
      <c r="P1469" t="s">
        <v>2465</v>
      </c>
      <c r="Q1469" s="12">
        <v>44339059</v>
      </c>
    </row>
    <row r="1470" spans="16:17">
      <c r="P1470" t="s">
        <v>2483</v>
      </c>
      <c r="Q1470">
        <v>29078556</v>
      </c>
    </row>
    <row r="1471" spans="16:17">
      <c r="P1471" t="s">
        <v>1766</v>
      </c>
      <c r="Q1471">
        <v>29078556</v>
      </c>
    </row>
    <row r="1472" spans="16:17">
      <c r="P1472" t="s">
        <v>1767</v>
      </c>
      <c r="Q1472">
        <v>29078556</v>
      </c>
    </row>
    <row r="1473" spans="16:17">
      <c r="P1473" s="12" t="s">
        <v>1768</v>
      </c>
      <c r="Q1473" s="12">
        <v>39742979</v>
      </c>
    </row>
    <row r="1474" spans="16:17">
      <c r="P1474" s="12" t="s">
        <v>1769</v>
      </c>
      <c r="Q1474" s="12">
        <v>39742979</v>
      </c>
    </row>
    <row r="1475" spans="16:17">
      <c r="P1475" s="12" t="s">
        <v>1770</v>
      </c>
      <c r="Q1475" s="12">
        <v>39742979</v>
      </c>
    </row>
    <row r="1476" spans="16:17">
      <c r="P1476" s="12" t="s">
        <v>1771</v>
      </c>
      <c r="Q1476" s="12">
        <v>39742979</v>
      </c>
    </row>
    <row r="1477" spans="16:17">
      <c r="P1477" s="12" t="s">
        <v>2569</v>
      </c>
      <c r="Q1477" s="12">
        <v>39742979</v>
      </c>
    </row>
    <row r="1478" spans="16:17">
      <c r="P1478" s="12" t="s">
        <v>1772</v>
      </c>
      <c r="Q1478" s="12">
        <v>39742979</v>
      </c>
    </row>
    <row r="1479" spans="16:17">
      <c r="P1479" s="12" t="s">
        <v>1773</v>
      </c>
      <c r="Q1479" s="12">
        <v>39742979</v>
      </c>
    </row>
    <row r="1480" spans="16:17">
      <c r="P1480" s="12" t="s">
        <v>1774</v>
      </c>
      <c r="Q1480" s="12">
        <v>42726749</v>
      </c>
    </row>
    <row r="1481" spans="16:17">
      <c r="P1481" s="12" t="s">
        <v>1775</v>
      </c>
      <c r="Q1481" s="12">
        <v>12478</v>
      </c>
    </row>
    <row r="1482" spans="16:17">
      <c r="P1482" s="12" t="s">
        <v>1776</v>
      </c>
      <c r="Q1482" s="12">
        <v>12478</v>
      </c>
    </row>
    <row r="1483" spans="16:17">
      <c r="P1483" s="12" t="s">
        <v>1777</v>
      </c>
      <c r="Q1483" s="12">
        <v>41128451</v>
      </c>
    </row>
    <row r="1484" spans="16:17">
      <c r="P1484" s="12" t="s">
        <v>1778</v>
      </c>
      <c r="Q1484" s="12">
        <v>41128451</v>
      </c>
    </row>
    <row r="1485" spans="16:17">
      <c r="P1485" s="12" t="s">
        <v>664</v>
      </c>
      <c r="Q1485" s="12">
        <v>41128451</v>
      </c>
    </row>
    <row r="1486" spans="16:17">
      <c r="P1486" s="12" t="s">
        <v>1779</v>
      </c>
      <c r="Q1486" s="12">
        <v>41128451</v>
      </c>
    </row>
    <row r="1487" spans="16:17">
      <c r="P1487" s="12" t="s">
        <v>1780</v>
      </c>
      <c r="Q1487" s="12">
        <v>12582</v>
      </c>
    </row>
    <row r="1488" spans="16:17">
      <c r="P1488" s="12" t="s">
        <v>1781</v>
      </c>
      <c r="Q1488" s="12">
        <v>31507276</v>
      </c>
    </row>
    <row r="1489" spans="16:17">
      <c r="P1489" s="12" t="s">
        <v>1782</v>
      </c>
      <c r="Q1489" s="12">
        <v>31507276</v>
      </c>
    </row>
    <row r="1490" spans="16:17">
      <c r="P1490" s="12" t="s">
        <v>1783</v>
      </c>
      <c r="Q1490" s="12">
        <v>44418926</v>
      </c>
    </row>
    <row r="1491" spans="16:17">
      <c r="P1491" s="12" t="s">
        <v>666</v>
      </c>
      <c r="Q1491" s="12">
        <v>44418926</v>
      </c>
    </row>
    <row r="1492" spans="16:17">
      <c r="P1492" s="12" t="s">
        <v>1784</v>
      </c>
      <c r="Q1492" s="12">
        <v>44939592</v>
      </c>
    </row>
    <row r="1493" spans="16:17">
      <c r="P1493" s="12" t="s">
        <v>668</v>
      </c>
      <c r="Q1493" s="12">
        <v>34418180</v>
      </c>
    </row>
    <row r="1494" spans="16:17">
      <c r="P1494" s="12" t="s">
        <v>2570</v>
      </c>
      <c r="Q1494" s="12">
        <v>34418180</v>
      </c>
    </row>
    <row r="1495" spans="16:17">
      <c r="P1495" s="12" t="s">
        <v>670</v>
      </c>
      <c r="Q1495" s="12">
        <v>13443</v>
      </c>
    </row>
    <row r="1496" spans="16:17">
      <c r="P1496" s="12" t="s">
        <v>1785</v>
      </c>
      <c r="Q1496" s="12">
        <v>41246563</v>
      </c>
    </row>
    <row r="1497" spans="16:17">
      <c r="P1497" s="12" t="s">
        <v>1786</v>
      </c>
      <c r="Q1497" s="12">
        <v>41246563</v>
      </c>
    </row>
    <row r="1498" spans="16:17">
      <c r="P1498" s="12" t="s">
        <v>2571</v>
      </c>
      <c r="Q1498" s="12">
        <v>41246563</v>
      </c>
    </row>
    <row r="1499" spans="16:17">
      <c r="P1499" s="12" t="s">
        <v>1787</v>
      </c>
      <c r="Q1499" s="12">
        <v>41246563</v>
      </c>
    </row>
    <row r="1500" spans="16:17">
      <c r="P1500" s="12" t="s">
        <v>672</v>
      </c>
      <c r="Q1500" s="12">
        <v>41246563</v>
      </c>
    </row>
    <row r="1501" spans="16:17">
      <c r="P1501" s="12" t="s">
        <v>673</v>
      </c>
      <c r="Q1501" s="12">
        <v>40131736</v>
      </c>
    </row>
    <row r="1502" spans="16:17">
      <c r="P1502" s="12" t="s">
        <v>1788</v>
      </c>
      <c r="Q1502" s="12">
        <v>40131736</v>
      </c>
    </row>
    <row r="1503" spans="16:17">
      <c r="P1503" s="12" t="s">
        <v>1789</v>
      </c>
      <c r="Q1503" s="12">
        <v>41623311</v>
      </c>
    </row>
    <row r="1504" spans="16:17">
      <c r="P1504" s="12" t="s">
        <v>1790</v>
      </c>
      <c r="Q1504" s="12">
        <v>41623311</v>
      </c>
    </row>
    <row r="1505" spans="16:17">
      <c r="P1505" s="12" t="s">
        <v>2572</v>
      </c>
      <c r="Q1505" s="12">
        <v>41623311</v>
      </c>
    </row>
    <row r="1506" spans="16:17">
      <c r="P1506" s="12" t="s">
        <v>675</v>
      </c>
      <c r="Q1506" s="12">
        <v>41623311</v>
      </c>
    </row>
    <row r="1507" spans="16:17">
      <c r="P1507" s="12" t="s">
        <v>1791</v>
      </c>
      <c r="Q1507" s="12">
        <v>32128269</v>
      </c>
    </row>
    <row r="1508" spans="16:17">
      <c r="P1508" s="12" t="s">
        <v>1792</v>
      </c>
      <c r="Q1508" s="12">
        <v>44483311</v>
      </c>
    </row>
    <row r="1509" spans="16:17">
      <c r="P1509" s="12" t="s">
        <v>677</v>
      </c>
      <c r="Q1509" s="12">
        <v>44483311</v>
      </c>
    </row>
    <row r="1510" spans="16:17">
      <c r="P1510" s="12" t="s">
        <v>1793</v>
      </c>
      <c r="Q1510" s="12">
        <v>44483311</v>
      </c>
    </row>
    <row r="1511" spans="16:17">
      <c r="P1511" s="12" t="s">
        <v>1794</v>
      </c>
      <c r="Q1511" s="12">
        <v>42564228</v>
      </c>
    </row>
    <row r="1512" spans="16:17">
      <c r="P1512" t="s">
        <v>1795</v>
      </c>
      <c r="Q1512">
        <v>39561148</v>
      </c>
    </row>
    <row r="1513" spans="16:17">
      <c r="P1513" t="s">
        <v>2451</v>
      </c>
      <c r="Q1513">
        <v>94485552</v>
      </c>
    </row>
    <row r="1514" spans="16:17">
      <c r="P1514" t="s">
        <v>1796</v>
      </c>
      <c r="Q1514">
        <v>42930937</v>
      </c>
    </row>
    <row r="1515" spans="16:17">
      <c r="P1515" t="s">
        <v>2452</v>
      </c>
      <c r="Q1515">
        <v>94485552</v>
      </c>
    </row>
    <row r="1516" spans="16:17">
      <c r="P1516" t="s">
        <v>2500</v>
      </c>
      <c r="Q1516">
        <v>94485552</v>
      </c>
    </row>
    <row r="1517" spans="16:17">
      <c r="P1517" t="s">
        <v>1797</v>
      </c>
      <c r="Q1517">
        <v>39561148</v>
      </c>
    </row>
    <row r="1518" spans="16:17">
      <c r="P1518" t="s">
        <v>1798</v>
      </c>
      <c r="Q1518">
        <v>39561148</v>
      </c>
    </row>
    <row r="1519" spans="16:17">
      <c r="P1519" t="s">
        <v>1799</v>
      </c>
      <c r="Q1519">
        <v>39561148</v>
      </c>
    </row>
    <row r="1520" spans="16:17">
      <c r="P1520" t="s">
        <v>1800</v>
      </c>
      <c r="Q1520">
        <v>42930937</v>
      </c>
    </row>
    <row r="1521" spans="16:17">
      <c r="P1521" t="s">
        <v>1801</v>
      </c>
      <c r="Q1521">
        <v>42930937</v>
      </c>
    </row>
    <row r="1522" spans="16:17">
      <c r="P1522" s="12" t="s">
        <v>679</v>
      </c>
      <c r="Q1522" s="12">
        <v>45750108</v>
      </c>
    </row>
    <row r="1523" spans="16:17">
      <c r="P1523" s="12" t="s">
        <v>2573</v>
      </c>
      <c r="Q1523" s="12">
        <v>45750108</v>
      </c>
    </row>
    <row r="1524" spans="16:17">
      <c r="P1524" s="12" t="s">
        <v>1802</v>
      </c>
      <c r="Q1524" s="12">
        <v>22913596</v>
      </c>
    </row>
    <row r="1525" spans="16:17">
      <c r="P1525" s="12" t="s">
        <v>1803</v>
      </c>
      <c r="Q1525" s="12">
        <v>45926911</v>
      </c>
    </row>
    <row r="1526" spans="16:17">
      <c r="P1526" s="12" t="s">
        <v>1804</v>
      </c>
      <c r="Q1526" s="12">
        <v>42412716</v>
      </c>
    </row>
    <row r="1527" spans="16:17">
      <c r="P1527" t="s">
        <v>1805</v>
      </c>
      <c r="Q1527" s="12">
        <v>37542097</v>
      </c>
    </row>
    <row r="1528" spans="16:17">
      <c r="P1528" s="12" t="s">
        <v>1806</v>
      </c>
      <c r="Q1528" s="12">
        <v>43302467</v>
      </c>
    </row>
    <row r="1529" spans="16:17">
      <c r="P1529" s="12" t="s">
        <v>1807</v>
      </c>
      <c r="Q1529" s="12">
        <v>43302467</v>
      </c>
    </row>
    <row r="1530" spans="16:17">
      <c r="P1530" t="s">
        <v>1808</v>
      </c>
      <c r="Q1530">
        <v>37542097</v>
      </c>
    </row>
    <row r="1531" spans="16:17">
      <c r="P1531" s="12" t="s">
        <v>681</v>
      </c>
      <c r="Q1531" s="12">
        <v>37542097</v>
      </c>
    </row>
    <row r="1532" spans="16:17">
      <c r="P1532" s="12" t="s">
        <v>1809</v>
      </c>
      <c r="Q1532" s="12">
        <v>43302467</v>
      </c>
    </row>
    <row r="1533" spans="16:17">
      <c r="P1533" s="12" t="s">
        <v>683</v>
      </c>
      <c r="Q1533" s="12">
        <v>43302467</v>
      </c>
    </row>
    <row r="1534" spans="16:17">
      <c r="P1534" s="12" t="s">
        <v>1810</v>
      </c>
      <c r="Q1534" s="12">
        <v>39813359</v>
      </c>
    </row>
    <row r="1535" spans="16:17">
      <c r="P1535" s="12" t="s">
        <v>1811</v>
      </c>
      <c r="Q1535" s="12">
        <v>37659535</v>
      </c>
    </row>
    <row r="1536" spans="16:17">
      <c r="P1536" s="12" t="s">
        <v>1812</v>
      </c>
      <c r="Q1536" s="12">
        <v>39813359</v>
      </c>
    </row>
    <row r="1537" spans="16:17">
      <c r="P1537" s="12" t="s">
        <v>1813</v>
      </c>
      <c r="Q1537" s="12">
        <v>12296</v>
      </c>
    </row>
    <row r="1538" spans="16:17">
      <c r="P1538" s="12" t="s">
        <v>685</v>
      </c>
      <c r="Q1538" s="12">
        <v>12296</v>
      </c>
    </row>
    <row r="1539" spans="16:17">
      <c r="P1539" s="12" t="s">
        <v>1814</v>
      </c>
      <c r="Q1539" s="12">
        <v>46713073</v>
      </c>
    </row>
    <row r="1540" spans="16:17">
      <c r="P1540" s="12" t="s">
        <v>1815</v>
      </c>
      <c r="Q1540" s="12">
        <v>42432153</v>
      </c>
    </row>
    <row r="1541" spans="16:17">
      <c r="P1541" s="12" t="s">
        <v>1816</v>
      </c>
      <c r="Q1541" s="12">
        <v>36400418</v>
      </c>
    </row>
    <row r="1542" spans="16:17">
      <c r="P1542" s="12" t="s">
        <v>686</v>
      </c>
      <c r="Q1542" s="12">
        <v>36400418</v>
      </c>
    </row>
    <row r="1543" spans="16:17">
      <c r="P1543" s="12" t="s">
        <v>688</v>
      </c>
      <c r="Q1543" s="12">
        <v>42432153</v>
      </c>
    </row>
    <row r="1544" spans="16:17">
      <c r="P1544" s="12" t="s">
        <v>1817</v>
      </c>
      <c r="Q1544" s="12">
        <v>36400418</v>
      </c>
    </row>
    <row r="1545" spans="16:17">
      <c r="P1545" s="12" t="s">
        <v>1818</v>
      </c>
      <c r="Q1545" s="12">
        <v>36400418</v>
      </c>
    </row>
    <row r="1546" spans="16:17">
      <c r="P1546" s="12" t="s">
        <v>1819</v>
      </c>
      <c r="Q1546" s="12">
        <v>45013195</v>
      </c>
    </row>
    <row r="1547" spans="16:17">
      <c r="P1547" s="12" t="s">
        <v>690</v>
      </c>
      <c r="Q1547" s="12">
        <v>45013195</v>
      </c>
    </row>
    <row r="1548" spans="16:17">
      <c r="P1548" s="12" t="s">
        <v>1820</v>
      </c>
      <c r="Q1548" s="12">
        <v>36846795</v>
      </c>
    </row>
    <row r="1549" spans="16:17">
      <c r="P1549" s="12" t="s">
        <v>691</v>
      </c>
      <c r="Q1549" s="12">
        <v>36846795</v>
      </c>
    </row>
    <row r="1550" spans="16:17">
      <c r="P1550" s="12" t="s">
        <v>1821</v>
      </c>
      <c r="Q1550" s="12">
        <v>12831</v>
      </c>
    </row>
    <row r="1551" spans="16:17">
      <c r="P1551" s="12" t="s">
        <v>693</v>
      </c>
      <c r="Q1551" s="12">
        <v>44364851</v>
      </c>
    </row>
    <row r="1552" spans="16:17">
      <c r="P1552" t="s">
        <v>1822</v>
      </c>
      <c r="Q1552">
        <v>32359059</v>
      </c>
    </row>
    <row r="1553" spans="16:17">
      <c r="P1553" t="s">
        <v>1823</v>
      </c>
      <c r="Q1553">
        <v>32359059</v>
      </c>
    </row>
    <row r="1554" spans="16:17">
      <c r="P1554" s="12" t="s">
        <v>1824</v>
      </c>
      <c r="Q1554" s="12">
        <v>30592</v>
      </c>
    </row>
    <row r="1555" spans="16:17">
      <c r="P1555" s="12" t="s">
        <v>1825</v>
      </c>
      <c r="Q1555" s="12">
        <v>43517502</v>
      </c>
    </row>
    <row r="1556" spans="16:17">
      <c r="P1556" s="12" t="s">
        <v>695</v>
      </c>
      <c r="Q1556" s="12">
        <v>43517502</v>
      </c>
    </row>
    <row r="1557" spans="16:17">
      <c r="P1557" s="12" t="s">
        <v>1826</v>
      </c>
      <c r="Q1557" s="12">
        <v>36762888</v>
      </c>
    </row>
    <row r="1558" spans="16:17">
      <c r="P1558" t="s">
        <v>1827</v>
      </c>
      <c r="Q1558" s="12">
        <v>37897431</v>
      </c>
    </row>
    <row r="1559" spans="16:17">
      <c r="P1559" t="s">
        <v>1828</v>
      </c>
      <c r="Q1559">
        <v>36992993</v>
      </c>
    </row>
    <row r="1560" spans="16:17">
      <c r="P1560" t="s">
        <v>1829</v>
      </c>
      <c r="Q1560">
        <v>36992993</v>
      </c>
    </row>
    <row r="1561" spans="16:17">
      <c r="P1561" s="12" t="s">
        <v>696</v>
      </c>
      <c r="Q1561" s="12">
        <v>37897431</v>
      </c>
    </row>
    <row r="1562" spans="16:17">
      <c r="P1562" s="12" t="s">
        <v>2574</v>
      </c>
      <c r="Q1562" s="12">
        <v>37897431</v>
      </c>
    </row>
    <row r="1563" spans="16:17">
      <c r="P1563" t="s">
        <v>1830</v>
      </c>
      <c r="Q1563">
        <v>36992993</v>
      </c>
    </row>
    <row r="1564" spans="16:17">
      <c r="P1564" t="s">
        <v>1831</v>
      </c>
      <c r="Q1564">
        <v>36992993</v>
      </c>
    </row>
    <row r="1565" spans="16:17">
      <c r="P1565" s="12" t="s">
        <v>697</v>
      </c>
      <c r="Q1565" s="12">
        <v>29435017</v>
      </c>
    </row>
    <row r="1566" spans="16:17">
      <c r="P1566" s="12" t="s">
        <v>1832</v>
      </c>
      <c r="Q1566" s="12">
        <v>38701976</v>
      </c>
    </row>
    <row r="1567" spans="16:17">
      <c r="P1567" s="12" t="s">
        <v>2575</v>
      </c>
      <c r="Q1567" s="12">
        <v>38701976</v>
      </c>
    </row>
    <row r="1568" spans="16:17">
      <c r="P1568" s="12" t="s">
        <v>1833</v>
      </c>
      <c r="Q1568" s="12">
        <v>38701976</v>
      </c>
    </row>
    <row r="1569" spans="16:17">
      <c r="P1569" s="12" t="s">
        <v>699</v>
      </c>
      <c r="Q1569" s="12">
        <v>38701976</v>
      </c>
    </row>
    <row r="1570" spans="16:17">
      <c r="P1570" s="12" t="s">
        <v>1834</v>
      </c>
      <c r="Q1570" s="12">
        <v>38701976</v>
      </c>
    </row>
    <row r="1571" spans="16:17">
      <c r="P1571" s="12" t="s">
        <v>1835</v>
      </c>
      <c r="Q1571" s="12">
        <v>12899</v>
      </c>
    </row>
    <row r="1572" spans="16:17">
      <c r="P1572" s="12" t="s">
        <v>701</v>
      </c>
      <c r="Q1572" s="12">
        <v>12899</v>
      </c>
    </row>
    <row r="1573" spans="16:17">
      <c r="P1573" t="s">
        <v>1836</v>
      </c>
      <c r="Q1573">
        <v>43032360</v>
      </c>
    </row>
    <row r="1574" spans="16:17">
      <c r="P1574" s="12" t="s">
        <v>703</v>
      </c>
      <c r="Q1574" s="12">
        <v>38177033</v>
      </c>
    </row>
    <row r="1575" spans="16:17">
      <c r="P1575" s="12" t="s">
        <v>1837</v>
      </c>
      <c r="Q1575" s="12">
        <v>43779589</v>
      </c>
    </row>
    <row r="1576" spans="16:17">
      <c r="P1576" t="s">
        <v>1838</v>
      </c>
      <c r="Q1576">
        <v>43779589</v>
      </c>
    </row>
    <row r="1577" spans="16:17">
      <c r="P1577" t="s">
        <v>1839</v>
      </c>
      <c r="Q1577" s="12">
        <v>43779589</v>
      </c>
    </row>
    <row r="1578" spans="16:17">
      <c r="P1578" s="12" t="s">
        <v>2576</v>
      </c>
      <c r="Q1578" s="12">
        <v>33714135</v>
      </c>
    </row>
    <row r="1579" spans="16:17">
      <c r="P1579" s="12" t="s">
        <v>1840</v>
      </c>
      <c r="Q1579" s="12">
        <v>33714135</v>
      </c>
    </row>
    <row r="1580" spans="16:17">
      <c r="P1580" s="12" t="s">
        <v>1841</v>
      </c>
      <c r="Q1580" s="12">
        <v>33106</v>
      </c>
    </row>
    <row r="1581" spans="16:17">
      <c r="P1581" s="12" t="s">
        <v>1842</v>
      </c>
      <c r="Q1581" s="12">
        <v>33106</v>
      </c>
    </row>
    <row r="1582" spans="16:17">
      <c r="P1582" t="s">
        <v>1843</v>
      </c>
      <c r="Q1582" s="12">
        <v>43779589</v>
      </c>
    </row>
    <row r="1583" spans="16:17">
      <c r="P1583" s="12" t="s">
        <v>2577</v>
      </c>
      <c r="Q1583" s="12">
        <v>43779589</v>
      </c>
    </row>
    <row r="1584" spans="16:17">
      <c r="P1584" t="s">
        <v>1844</v>
      </c>
      <c r="Q1584" s="12">
        <v>43779589</v>
      </c>
    </row>
    <row r="1585" spans="16:17">
      <c r="P1585" s="12" t="s">
        <v>1845</v>
      </c>
      <c r="Q1585" s="12">
        <v>33714135</v>
      </c>
    </row>
    <row r="1586" spans="16:17">
      <c r="P1586" s="12" t="s">
        <v>1846</v>
      </c>
      <c r="Q1586" s="12">
        <v>33714135</v>
      </c>
    </row>
    <row r="1587" spans="16:17">
      <c r="P1587" s="12" t="s">
        <v>705</v>
      </c>
      <c r="Q1587" s="12">
        <v>33714135</v>
      </c>
    </row>
    <row r="1588" spans="16:17">
      <c r="P1588" s="12" t="s">
        <v>1847</v>
      </c>
      <c r="Q1588" s="12">
        <v>33714135</v>
      </c>
    </row>
    <row r="1589" spans="16:17">
      <c r="P1589" s="12" t="s">
        <v>707</v>
      </c>
      <c r="Q1589" s="12">
        <v>33605</v>
      </c>
    </row>
    <row r="1590" spans="16:17">
      <c r="P1590" s="12" t="s">
        <v>708</v>
      </c>
      <c r="Q1590" s="12">
        <v>33106</v>
      </c>
    </row>
    <row r="1591" spans="16:17">
      <c r="P1591" s="12" t="s">
        <v>1848</v>
      </c>
      <c r="Q1591" s="12">
        <v>33106</v>
      </c>
    </row>
    <row r="1592" spans="16:17">
      <c r="P1592" t="s">
        <v>1849</v>
      </c>
      <c r="Q1592" s="12">
        <v>33106</v>
      </c>
    </row>
    <row r="1593" spans="16:17">
      <c r="P1593" t="s">
        <v>1850</v>
      </c>
      <c r="Q1593" s="12">
        <v>33106</v>
      </c>
    </row>
    <row r="1594" spans="16:17">
      <c r="P1594" s="12" t="s">
        <v>1851</v>
      </c>
      <c r="Q1594" s="12">
        <v>43779589</v>
      </c>
    </row>
    <row r="1595" spans="16:17">
      <c r="P1595" s="12" t="s">
        <v>710</v>
      </c>
      <c r="Q1595" s="12">
        <v>12302</v>
      </c>
    </row>
    <row r="1596" spans="16:17">
      <c r="P1596" s="12" t="s">
        <v>1852</v>
      </c>
      <c r="Q1596" s="12">
        <v>12302</v>
      </c>
    </row>
    <row r="1597" spans="16:17">
      <c r="P1597" s="12" t="s">
        <v>1853</v>
      </c>
      <c r="Q1597" s="12">
        <v>43322399</v>
      </c>
    </row>
    <row r="1598" spans="16:17">
      <c r="P1598" s="12" t="s">
        <v>1854</v>
      </c>
      <c r="Q1598" s="12">
        <v>33785658</v>
      </c>
    </row>
    <row r="1599" spans="16:17">
      <c r="P1599" s="12" t="s">
        <v>1855</v>
      </c>
      <c r="Q1599" s="12">
        <v>10437</v>
      </c>
    </row>
    <row r="1600" spans="16:17">
      <c r="P1600" s="12" t="s">
        <v>1856</v>
      </c>
      <c r="Q1600" s="12">
        <v>40021840</v>
      </c>
    </row>
    <row r="1601" spans="16:17">
      <c r="P1601" s="12" t="s">
        <v>1857</v>
      </c>
      <c r="Q1601" s="12">
        <v>40021840</v>
      </c>
    </row>
    <row r="1602" spans="16:17">
      <c r="P1602" s="12" t="s">
        <v>1858</v>
      </c>
      <c r="Q1602" s="12">
        <v>40021840</v>
      </c>
    </row>
    <row r="1603" spans="16:17">
      <c r="P1603" s="12" t="s">
        <v>1859</v>
      </c>
      <c r="Q1603" s="12">
        <v>40021840</v>
      </c>
    </row>
    <row r="1604" spans="16:17">
      <c r="P1604" s="12" t="s">
        <v>714</v>
      </c>
      <c r="Q1604" s="12">
        <v>12894</v>
      </c>
    </row>
    <row r="1605" spans="16:17">
      <c r="P1605" s="12" t="s">
        <v>1860</v>
      </c>
      <c r="Q1605" s="12">
        <v>22497007</v>
      </c>
    </row>
    <row r="1606" spans="16:17">
      <c r="P1606" t="s">
        <v>1861</v>
      </c>
      <c r="Q1606" s="12">
        <v>35499890</v>
      </c>
    </row>
    <row r="1607" spans="16:17">
      <c r="P1607" t="s">
        <v>1862</v>
      </c>
      <c r="Q1607">
        <v>35499890</v>
      </c>
    </row>
    <row r="1608" spans="16:17">
      <c r="P1608" s="12" t="s">
        <v>2578</v>
      </c>
      <c r="Q1608" s="12">
        <v>13802</v>
      </c>
    </row>
    <row r="1609" spans="16:17">
      <c r="P1609" s="12" t="s">
        <v>715</v>
      </c>
      <c r="Q1609" s="12">
        <v>13802</v>
      </c>
    </row>
    <row r="1610" spans="16:17">
      <c r="P1610" t="s">
        <v>1863</v>
      </c>
      <c r="Q1610" s="12">
        <v>47128781</v>
      </c>
    </row>
    <row r="1611" spans="16:17">
      <c r="P1611" s="12" t="s">
        <v>1864</v>
      </c>
      <c r="Q1611" s="12">
        <v>38066226</v>
      </c>
    </row>
    <row r="1612" spans="16:17">
      <c r="P1612" s="12" t="s">
        <v>1865</v>
      </c>
      <c r="Q1612" s="12">
        <v>47128781</v>
      </c>
    </row>
    <row r="1613" spans="16:17">
      <c r="P1613" s="12" t="s">
        <v>1866</v>
      </c>
      <c r="Q1613" s="12">
        <v>38066226</v>
      </c>
    </row>
    <row r="1614" spans="16:17">
      <c r="P1614" s="12" t="s">
        <v>1867</v>
      </c>
      <c r="Q1614" s="12">
        <v>47128781</v>
      </c>
    </row>
    <row r="1615" spans="16:17">
      <c r="P1615" t="s">
        <v>1868</v>
      </c>
      <c r="Q1615">
        <v>47128781</v>
      </c>
    </row>
    <row r="1616" spans="16:17">
      <c r="P1616" s="12" t="s">
        <v>1869</v>
      </c>
      <c r="Q1616" s="12">
        <v>35163372</v>
      </c>
    </row>
    <row r="1617" spans="16:17">
      <c r="P1617" s="12" t="s">
        <v>2579</v>
      </c>
      <c r="Q1617" s="12">
        <v>35163372</v>
      </c>
    </row>
    <row r="1618" spans="16:17">
      <c r="P1618" t="s">
        <v>1870</v>
      </c>
      <c r="Q1618">
        <v>35163372</v>
      </c>
    </row>
    <row r="1619" spans="16:17">
      <c r="P1619" s="12" t="s">
        <v>1871</v>
      </c>
      <c r="Q1619" s="12">
        <v>35163372</v>
      </c>
    </row>
    <row r="1620" spans="16:17">
      <c r="P1620" s="12" t="s">
        <v>1872</v>
      </c>
      <c r="Q1620" s="12">
        <v>35163372</v>
      </c>
    </row>
    <row r="1621" spans="16:17">
      <c r="P1621" s="12" t="s">
        <v>1873</v>
      </c>
      <c r="Q1621" s="12">
        <v>37197970</v>
      </c>
    </row>
    <row r="1622" spans="16:17">
      <c r="P1622" s="12" t="s">
        <v>716</v>
      </c>
      <c r="Q1622" s="12">
        <v>37197970</v>
      </c>
    </row>
    <row r="1623" spans="16:17">
      <c r="P1623" t="s">
        <v>1874</v>
      </c>
      <c r="Q1623">
        <v>43445489</v>
      </c>
    </row>
    <row r="1624" spans="16:17">
      <c r="P1624" t="s">
        <v>1875</v>
      </c>
      <c r="Q1624">
        <v>43445489</v>
      </c>
    </row>
    <row r="1625" spans="16:17">
      <c r="P1625" s="12" t="s">
        <v>1876</v>
      </c>
      <c r="Q1625" s="12">
        <v>28460124</v>
      </c>
    </row>
    <row r="1626" spans="16:17">
      <c r="P1626" s="12" t="s">
        <v>1877</v>
      </c>
      <c r="Q1626" s="12">
        <v>30237443</v>
      </c>
    </row>
    <row r="1627" spans="16:17">
      <c r="P1627" s="12" t="s">
        <v>1878</v>
      </c>
      <c r="Q1627" s="12">
        <v>31821827</v>
      </c>
    </row>
    <row r="1628" spans="16:17">
      <c r="P1628" s="12" t="s">
        <v>1879</v>
      </c>
      <c r="Q1628" s="12">
        <v>35979500</v>
      </c>
    </row>
    <row r="1629" spans="16:17">
      <c r="P1629" s="12" t="s">
        <v>1880</v>
      </c>
      <c r="Q1629" s="12">
        <v>47161746</v>
      </c>
    </row>
    <row r="1630" spans="16:17">
      <c r="P1630" s="12" t="s">
        <v>2580</v>
      </c>
      <c r="Q1630" s="12">
        <v>47161746</v>
      </c>
    </row>
    <row r="1631" spans="16:17">
      <c r="P1631" s="12" t="s">
        <v>1881</v>
      </c>
      <c r="Q1631" s="12">
        <v>35979500</v>
      </c>
    </row>
    <row r="1632" spans="16:17">
      <c r="P1632" s="12" t="s">
        <v>1882</v>
      </c>
      <c r="Q1632" s="12">
        <v>35979500</v>
      </c>
    </row>
    <row r="1633" spans="16:17">
      <c r="P1633" t="s">
        <v>1883</v>
      </c>
      <c r="Q1633">
        <v>35979500</v>
      </c>
    </row>
    <row r="1634" spans="16:17">
      <c r="P1634" t="s">
        <v>1884</v>
      </c>
      <c r="Q1634">
        <v>35979500</v>
      </c>
    </row>
    <row r="1635" spans="16:17">
      <c r="P1635" s="12" t="s">
        <v>1885</v>
      </c>
      <c r="Q1635" s="12">
        <v>44091588</v>
      </c>
    </row>
    <row r="1636" spans="16:17">
      <c r="P1636" s="12" t="s">
        <v>718</v>
      </c>
      <c r="Q1636" s="12">
        <v>44091588</v>
      </c>
    </row>
    <row r="1637" spans="16:17">
      <c r="P1637" s="12" t="s">
        <v>2581</v>
      </c>
      <c r="Q1637" s="12">
        <v>44091588</v>
      </c>
    </row>
    <row r="1638" spans="16:17">
      <c r="P1638" s="12" t="s">
        <v>1886</v>
      </c>
      <c r="Q1638" s="12">
        <v>43659233</v>
      </c>
    </row>
    <row r="1639" spans="16:17">
      <c r="P1639" s="12" t="s">
        <v>1887</v>
      </c>
      <c r="Q1639" s="12">
        <v>43659233</v>
      </c>
    </row>
    <row r="1640" spans="16:17">
      <c r="P1640" s="12" t="s">
        <v>1888</v>
      </c>
      <c r="Q1640" s="12">
        <v>43659233</v>
      </c>
    </row>
    <row r="1641" spans="16:17">
      <c r="P1641" s="12" t="s">
        <v>1889</v>
      </c>
      <c r="Q1641" s="12">
        <v>43659233</v>
      </c>
    </row>
    <row r="1642" spans="16:17">
      <c r="P1642" s="12" t="s">
        <v>720</v>
      </c>
      <c r="Q1642" s="12">
        <v>43659233</v>
      </c>
    </row>
    <row r="1643" spans="16:17">
      <c r="P1643" s="12" t="s">
        <v>1890</v>
      </c>
      <c r="Q1643" s="12">
        <v>41667467</v>
      </c>
    </row>
    <row r="1644" spans="16:17">
      <c r="P1644" s="12" t="s">
        <v>722</v>
      </c>
      <c r="Q1644" s="12">
        <v>41667467</v>
      </c>
    </row>
    <row r="1645" spans="16:17">
      <c r="P1645" t="s">
        <v>2466</v>
      </c>
      <c r="Q1645" s="12">
        <v>12141</v>
      </c>
    </row>
    <row r="1646" spans="16:17">
      <c r="P1646" s="12" t="s">
        <v>724</v>
      </c>
      <c r="Q1646" s="12">
        <v>12141</v>
      </c>
    </row>
    <row r="1647" spans="16:17">
      <c r="P1647" s="12" t="s">
        <v>1891</v>
      </c>
      <c r="Q1647" s="12">
        <v>34862819</v>
      </c>
    </row>
    <row r="1648" spans="16:17">
      <c r="P1648" s="12" t="s">
        <v>726</v>
      </c>
      <c r="Q1648" s="12">
        <v>33861105</v>
      </c>
    </row>
    <row r="1649" spans="16:17">
      <c r="P1649" s="12" t="s">
        <v>1892</v>
      </c>
      <c r="Q1649" s="12">
        <v>37097744</v>
      </c>
    </row>
    <row r="1650" spans="16:17">
      <c r="P1650" s="12" t="s">
        <v>727</v>
      </c>
      <c r="Q1650" s="12">
        <v>40799857</v>
      </c>
    </row>
    <row r="1651" spans="16:17">
      <c r="P1651" s="12" t="s">
        <v>1893</v>
      </c>
      <c r="Q1651" s="12">
        <v>34862819</v>
      </c>
    </row>
    <row r="1652" spans="16:17">
      <c r="P1652" s="12" t="s">
        <v>2582</v>
      </c>
      <c r="Q1652" s="12">
        <v>34862819</v>
      </c>
    </row>
    <row r="1653" spans="16:17">
      <c r="P1653" s="12" t="s">
        <v>729</v>
      </c>
      <c r="Q1653" s="12">
        <v>34862819</v>
      </c>
    </row>
    <row r="1654" spans="16:17">
      <c r="P1654" s="12" t="s">
        <v>1894</v>
      </c>
      <c r="Q1654" s="12">
        <v>34862819</v>
      </c>
    </row>
    <row r="1655" spans="16:17">
      <c r="P1655" s="12" t="s">
        <v>1895</v>
      </c>
      <c r="Q1655" s="12">
        <v>52413549</v>
      </c>
    </row>
    <row r="1656" spans="16:17">
      <c r="P1656" s="12" t="s">
        <v>2583</v>
      </c>
      <c r="Q1656" s="12">
        <v>52413549</v>
      </c>
    </row>
    <row r="1657" spans="16:17">
      <c r="P1657" s="12" t="s">
        <v>730</v>
      </c>
      <c r="Q1657" s="12">
        <v>28596818</v>
      </c>
    </row>
    <row r="1658" spans="16:17">
      <c r="P1658" s="12" t="s">
        <v>1896</v>
      </c>
      <c r="Q1658" s="12">
        <v>28596818</v>
      </c>
    </row>
    <row r="1659" spans="16:17">
      <c r="P1659" s="12" t="s">
        <v>1897</v>
      </c>
      <c r="Q1659" s="12">
        <v>36779160</v>
      </c>
    </row>
    <row r="1660" spans="16:17">
      <c r="P1660" s="12" t="s">
        <v>732</v>
      </c>
      <c r="Q1660" s="12">
        <v>36779160</v>
      </c>
    </row>
    <row r="1661" spans="16:17">
      <c r="P1661" t="s">
        <v>1898</v>
      </c>
      <c r="Q1661">
        <v>46936229</v>
      </c>
    </row>
    <row r="1662" spans="16:17">
      <c r="P1662" t="s">
        <v>1899</v>
      </c>
      <c r="Q1662">
        <v>46936229</v>
      </c>
    </row>
    <row r="1663" spans="16:17">
      <c r="P1663" t="s">
        <v>1900</v>
      </c>
      <c r="Q1663">
        <v>13521</v>
      </c>
    </row>
    <row r="1664" spans="16:17">
      <c r="P1664" s="12" t="s">
        <v>1901</v>
      </c>
      <c r="Q1664" s="12">
        <v>42283393</v>
      </c>
    </row>
    <row r="1665" spans="16:17">
      <c r="P1665" s="12" t="s">
        <v>1902</v>
      </c>
      <c r="Q1665" s="12">
        <v>45322650</v>
      </c>
    </row>
    <row r="1666" spans="16:17">
      <c r="P1666" s="12" t="s">
        <v>1903</v>
      </c>
      <c r="Q1666" s="12">
        <v>45322650</v>
      </c>
    </row>
    <row r="1667" spans="16:17">
      <c r="P1667" t="s">
        <v>1904</v>
      </c>
      <c r="Q1667">
        <v>47700706</v>
      </c>
    </row>
    <row r="1668" spans="16:17">
      <c r="P1668" s="12" t="s">
        <v>1905</v>
      </c>
      <c r="Q1668" s="12">
        <v>44868083</v>
      </c>
    </row>
    <row r="1669" spans="16:17">
      <c r="P1669" t="s">
        <v>1906</v>
      </c>
      <c r="Q1669">
        <v>46936229</v>
      </c>
    </row>
    <row r="1670" spans="16:17">
      <c r="P1670" t="s">
        <v>1907</v>
      </c>
      <c r="Q1670">
        <v>46936229</v>
      </c>
    </row>
    <row r="1671" spans="16:17">
      <c r="P1671" t="s">
        <v>1908</v>
      </c>
      <c r="Q1671">
        <v>46936229</v>
      </c>
    </row>
    <row r="1672" spans="16:17">
      <c r="P1672" t="s">
        <v>1909</v>
      </c>
      <c r="Q1672">
        <v>46936229</v>
      </c>
    </row>
    <row r="1673" spans="16:17">
      <c r="P1673" s="12" t="s">
        <v>1910</v>
      </c>
      <c r="Q1673" s="12">
        <v>41162557</v>
      </c>
    </row>
    <row r="1674" spans="16:17">
      <c r="P1674" s="12" t="s">
        <v>734</v>
      </c>
      <c r="Q1674" s="12">
        <v>41162557</v>
      </c>
    </row>
    <row r="1675" spans="16:17">
      <c r="P1675" s="12" t="s">
        <v>1911</v>
      </c>
      <c r="Q1675" s="12">
        <v>96099521</v>
      </c>
    </row>
    <row r="1676" spans="16:17">
      <c r="P1676" s="12" t="s">
        <v>736</v>
      </c>
      <c r="Q1676" s="12">
        <v>13521</v>
      </c>
    </row>
    <row r="1677" spans="16:17">
      <c r="P1677" s="12" t="s">
        <v>1912</v>
      </c>
      <c r="Q1677" s="12">
        <v>13521</v>
      </c>
    </row>
    <row r="1678" spans="16:17">
      <c r="P1678" s="12" t="s">
        <v>1913</v>
      </c>
      <c r="Q1678" s="12">
        <v>13521</v>
      </c>
    </row>
    <row r="1679" spans="16:17">
      <c r="P1679" s="12" t="s">
        <v>738</v>
      </c>
      <c r="Q1679" s="12">
        <v>42283393</v>
      </c>
    </row>
    <row r="1680" spans="16:17">
      <c r="P1680" s="12" t="s">
        <v>1914</v>
      </c>
      <c r="Q1680" s="12">
        <v>45322650</v>
      </c>
    </row>
    <row r="1681" spans="16:17">
      <c r="P1681" s="12" t="s">
        <v>2584</v>
      </c>
      <c r="Q1681" s="12">
        <v>45322650</v>
      </c>
    </row>
    <row r="1682" spans="16:17">
      <c r="P1682" s="12" t="s">
        <v>739</v>
      </c>
      <c r="Q1682" s="12">
        <v>45322650</v>
      </c>
    </row>
    <row r="1683" spans="16:17">
      <c r="P1683" t="s">
        <v>1915</v>
      </c>
      <c r="Q1683">
        <v>47700706</v>
      </c>
    </row>
    <row r="1684" spans="16:17">
      <c r="P1684" t="s">
        <v>1916</v>
      </c>
      <c r="Q1684">
        <v>47700706</v>
      </c>
    </row>
    <row r="1685" spans="16:17">
      <c r="P1685" s="12" t="s">
        <v>1917</v>
      </c>
      <c r="Q1685" s="12">
        <v>39469134</v>
      </c>
    </row>
    <row r="1686" spans="16:17">
      <c r="P1686" t="s">
        <v>1918</v>
      </c>
      <c r="Q1686" s="12">
        <v>44868083</v>
      </c>
    </row>
    <row r="1687" spans="16:17">
      <c r="P1687" s="12" t="s">
        <v>740</v>
      </c>
      <c r="Q1687" s="12">
        <v>44868083</v>
      </c>
    </row>
    <row r="1688" spans="16:17">
      <c r="P1688" s="12" t="s">
        <v>1919</v>
      </c>
      <c r="Q1688" s="12">
        <v>44868083</v>
      </c>
    </row>
    <row r="1689" spans="16:17">
      <c r="P1689" s="12" t="s">
        <v>1920</v>
      </c>
      <c r="Q1689" s="12">
        <v>44868083</v>
      </c>
    </row>
    <row r="1690" spans="16:17">
      <c r="P1690" t="s">
        <v>2467</v>
      </c>
      <c r="Q1690" s="12">
        <v>13521</v>
      </c>
    </row>
    <row r="1691" spans="16:17">
      <c r="P1691" t="s">
        <v>1921</v>
      </c>
      <c r="Q1691" s="12">
        <v>44868083</v>
      </c>
    </row>
    <row r="1692" spans="16:17">
      <c r="P1692" t="s">
        <v>1922</v>
      </c>
      <c r="Q1692" s="12">
        <v>46124914</v>
      </c>
    </row>
    <row r="1693" spans="16:17">
      <c r="P1693" t="s">
        <v>1923</v>
      </c>
      <c r="Q1693" s="12">
        <v>46124914</v>
      </c>
    </row>
    <row r="1694" spans="16:17">
      <c r="P1694" t="s">
        <v>1924</v>
      </c>
      <c r="Q1694" s="12">
        <v>46124914</v>
      </c>
    </row>
    <row r="1695" spans="16:17">
      <c r="P1695" t="s">
        <v>1925</v>
      </c>
      <c r="Q1695" s="12">
        <v>46124914</v>
      </c>
    </row>
    <row r="1696" spans="16:17">
      <c r="P1696" s="12" t="s">
        <v>1926</v>
      </c>
      <c r="Q1696" s="12">
        <v>46124914</v>
      </c>
    </row>
    <row r="1697" spans="16:17">
      <c r="P1697" s="12" t="s">
        <v>2585</v>
      </c>
      <c r="Q1697" s="12">
        <v>46124914</v>
      </c>
    </row>
    <row r="1698" spans="16:17">
      <c r="P1698" t="s">
        <v>1927</v>
      </c>
      <c r="Q1698" s="12">
        <v>46124914</v>
      </c>
    </row>
    <row r="1699" spans="16:17">
      <c r="P1699" s="12" t="s">
        <v>1928</v>
      </c>
      <c r="Q1699" s="12">
        <v>40015015</v>
      </c>
    </row>
    <row r="1700" spans="16:17">
      <c r="P1700" t="s">
        <v>1929</v>
      </c>
      <c r="Q1700" s="12">
        <v>46124914</v>
      </c>
    </row>
    <row r="1701" spans="16:17">
      <c r="P1701" t="s">
        <v>1930</v>
      </c>
      <c r="Q1701" s="12">
        <v>46124914</v>
      </c>
    </row>
    <row r="1702" spans="16:17">
      <c r="P1702" s="12" t="s">
        <v>1931</v>
      </c>
      <c r="Q1702" s="12">
        <v>42470373</v>
      </c>
    </row>
    <row r="1703" spans="16:17">
      <c r="P1703" s="12" t="s">
        <v>1932</v>
      </c>
      <c r="Q1703" s="12">
        <v>42470373</v>
      </c>
    </row>
    <row r="1704" spans="16:17">
      <c r="P1704" s="12" t="s">
        <v>1933</v>
      </c>
      <c r="Q1704" s="12">
        <v>42470373</v>
      </c>
    </row>
    <row r="1705" spans="16:17">
      <c r="P1705" s="12" t="s">
        <v>1934</v>
      </c>
      <c r="Q1705" s="12">
        <v>21795854</v>
      </c>
    </row>
    <row r="1706" spans="16:17">
      <c r="P1706" s="12" t="s">
        <v>1935</v>
      </c>
      <c r="Q1706" s="12">
        <v>39505830</v>
      </c>
    </row>
    <row r="1707" spans="16:17">
      <c r="P1707" s="12" t="s">
        <v>742</v>
      </c>
      <c r="Q1707" s="12">
        <v>39505830</v>
      </c>
    </row>
    <row r="1708" spans="16:17">
      <c r="P1708" s="12" t="s">
        <v>1936</v>
      </c>
      <c r="Q1708" s="12">
        <v>42689887</v>
      </c>
    </row>
    <row r="1709" spans="16:17">
      <c r="P1709" s="12" t="s">
        <v>744</v>
      </c>
      <c r="Q1709" s="12">
        <v>42689887</v>
      </c>
    </row>
    <row r="1710" spans="16:17">
      <c r="P1710" s="12" t="s">
        <v>1937</v>
      </c>
      <c r="Q1710" s="12">
        <v>37608210</v>
      </c>
    </row>
    <row r="1711" spans="16:17">
      <c r="P1711" s="12" t="s">
        <v>1938</v>
      </c>
      <c r="Q1711" s="12">
        <v>37608210</v>
      </c>
    </row>
    <row r="1712" spans="16:17">
      <c r="P1712" s="12" t="s">
        <v>1939</v>
      </c>
      <c r="Q1712" s="12">
        <v>37608210</v>
      </c>
    </row>
    <row r="1713" spans="16:17">
      <c r="P1713" s="12" t="s">
        <v>1940</v>
      </c>
      <c r="Q1713" s="12">
        <v>32258</v>
      </c>
    </row>
    <row r="1714" spans="16:17">
      <c r="P1714" s="12" t="s">
        <v>2586</v>
      </c>
      <c r="Q1714" s="12">
        <v>32258</v>
      </c>
    </row>
    <row r="1715" spans="16:17">
      <c r="P1715" s="12" t="s">
        <v>746</v>
      </c>
      <c r="Q1715" s="12">
        <v>32258</v>
      </c>
    </row>
    <row r="1716" spans="16:17">
      <c r="P1716" s="12" t="s">
        <v>1941</v>
      </c>
      <c r="Q1716" s="12">
        <v>40833512</v>
      </c>
    </row>
    <row r="1717" spans="16:17">
      <c r="P1717" s="12" t="s">
        <v>1942</v>
      </c>
      <c r="Q1717" s="12">
        <v>45070180</v>
      </c>
    </row>
    <row r="1718" spans="16:17">
      <c r="P1718" s="12" t="s">
        <v>1943</v>
      </c>
      <c r="Q1718" s="12">
        <v>45070180</v>
      </c>
    </row>
    <row r="1719" spans="16:17">
      <c r="P1719" s="12" t="s">
        <v>1944</v>
      </c>
      <c r="Q1719" s="12">
        <v>45070180</v>
      </c>
    </row>
    <row r="1720" spans="16:17">
      <c r="P1720" s="12" t="s">
        <v>748</v>
      </c>
      <c r="Q1720" s="12">
        <v>45070180</v>
      </c>
    </row>
    <row r="1721" spans="16:17">
      <c r="P1721" s="12" t="s">
        <v>1945</v>
      </c>
      <c r="Q1721" s="12">
        <v>45070180</v>
      </c>
    </row>
    <row r="1722" spans="16:17">
      <c r="P1722" s="12" t="s">
        <v>1946</v>
      </c>
      <c r="Q1722" s="12">
        <v>43404637</v>
      </c>
    </row>
    <row r="1723" spans="16:17">
      <c r="P1723" s="12" t="s">
        <v>1947</v>
      </c>
      <c r="Q1723" s="12">
        <v>43404637</v>
      </c>
    </row>
    <row r="1724" spans="16:17">
      <c r="P1724" s="12" t="s">
        <v>1948</v>
      </c>
      <c r="Q1724" s="12">
        <v>37406085</v>
      </c>
    </row>
    <row r="1725" spans="16:17">
      <c r="P1725" s="12" t="s">
        <v>2587</v>
      </c>
      <c r="Q1725" s="12">
        <v>37406085</v>
      </c>
    </row>
    <row r="1726" spans="16:17">
      <c r="P1726" s="12" t="s">
        <v>1949</v>
      </c>
      <c r="Q1726" s="12">
        <v>37406085</v>
      </c>
    </row>
    <row r="1727" spans="16:17">
      <c r="P1727" s="12" t="s">
        <v>750</v>
      </c>
      <c r="Q1727" s="12">
        <v>37406085</v>
      </c>
    </row>
    <row r="1728" spans="16:17">
      <c r="P1728" t="s">
        <v>1950</v>
      </c>
      <c r="Q1728" s="12">
        <v>95552922</v>
      </c>
    </row>
    <row r="1729" spans="16:17">
      <c r="P1729" t="s">
        <v>1951</v>
      </c>
      <c r="Q1729" s="12">
        <v>95552922</v>
      </c>
    </row>
    <row r="1730" spans="16:17">
      <c r="P1730" s="12" t="s">
        <v>2588</v>
      </c>
      <c r="Q1730" s="12">
        <v>95552922</v>
      </c>
    </row>
    <row r="1731" spans="16:17">
      <c r="P1731" s="12" t="s">
        <v>1952</v>
      </c>
      <c r="Q1731" s="12">
        <v>95552922</v>
      </c>
    </row>
    <row r="1732" spans="16:17">
      <c r="P1732" s="12" t="s">
        <v>1953</v>
      </c>
      <c r="Q1732" s="12">
        <v>95552922</v>
      </c>
    </row>
    <row r="1733" spans="16:17">
      <c r="P1733" s="12" t="s">
        <v>2589</v>
      </c>
      <c r="Q1733" s="12">
        <v>95552922</v>
      </c>
    </row>
    <row r="1734" spans="16:17">
      <c r="P1734" s="12" t="s">
        <v>1954</v>
      </c>
      <c r="Q1734" s="12">
        <v>45926267</v>
      </c>
    </row>
    <row r="1735" spans="16:17">
      <c r="P1735" s="12" t="s">
        <v>1955</v>
      </c>
      <c r="Q1735" s="12">
        <v>40304870</v>
      </c>
    </row>
    <row r="1736" spans="16:17">
      <c r="P1736" s="12" t="s">
        <v>2590</v>
      </c>
      <c r="Q1736" s="12">
        <v>11569</v>
      </c>
    </row>
    <row r="1737" spans="16:17">
      <c r="P1737" s="12" t="s">
        <v>752</v>
      </c>
      <c r="Q1737" s="12">
        <v>11569</v>
      </c>
    </row>
    <row r="1738" spans="16:17">
      <c r="P1738" t="s">
        <v>1956</v>
      </c>
      <c r="Q1738">
        <v>11569</v>
      </c>
    </row>
    <row r="1739" spans="16:17">
      <c r="P1739" s="12" t="s">
        <v>1957</v>
      </c>
      <c r="Q1739" s="12">
        <v>46647706</v>
      </c>
    </row>
    <row r="1740" spans="16:17">
      <c r="P1740" s="12" t="s">
        <v>1958</v>
      </c>
      <c r="Q1740" s="12">
        <v>46647706</v>
      </c>
    </row>
    <row r="1741" spans="16:17">
      <c r="P1741" s="12" t="s">
        <v>1959</v>
      </c>
      <c r="Q1741" s="12">
        <v>46647706</v>
      </c>
    </row>
    <row r="1742" spans="16:17">
      <c r="P1742" t="s">
        <v>1960</v>
      </c>
      <c r="Q1742">
        <v>22833741</v>
      </c>
    </row>
    <row r="1743" spans="16:17">
      <c r="P1743" t="s">
        <v>1961</v>
      </c>
      <c r="Q1743">
        <v>22833741</v>
      </c>
    </row>
    <row r="1744" spans="16:17">
      <c r="P1744" t="s">
        <v>1962</v>
      </c>
      <c r="Q1744">
        <v>22833741</v>
      </c>
    </row>
    <row r="1745" spans="16:17">
      <c r="P1745" t="s">
        <v>1963</v>
      </c>
      <c r="Q1745">
        <v>45478900</v>
      </c>
    </row>
    <row r="1746" spans="16:17">
      <c r="P1746" s="12" t="s">
        <v>1964</v>
      </c>
      <c r="Q1746" s="12">
        <v>38863901</v>
      </c>
    </row>
    <row r="1747" spans="16:17">
      <c r="P1747" s="12" t="s">
        <v>1965</v>
      </c>
      <c r="Q1747" s="12">
        <v>38863901</v>
      </c>
    </row>
    <row r="1748" spans="16:17">
      <c r="P1748" s="12" t="s">
        <v>1966</v>
      </c>
      <c r="Q1748" s="12">
        <v>38863901</v>
      </c>
    </row>
    <row r="1749" spans="16:17">
      <c r="P1749" s="12" t="s">
        <v>1967</v>
      </c>
      <c r="Q1749" s="12">
        <v>38863901</v>
      </c>
    </row>
    <row r="1750" spans="16:17">
      <c r="P1750" s="12" t="s">
        <v>1968</v>
      </c>
      <c r="Q1750" s="12">
        <v>30642469</v>
      </c>
    </row>
    <row r="1751" spans="16:17">
      <c r="P1751" t="s">
        <v>1969</v>
      </c>
      <c r="Q1751">
        <v>45478900</v>
      </c>
    </row>
    <row r="1752" spans="16:17">
      <c r="P1752" t="s">
        <v>1970</v>
      </c>
      <c r="Q1752">
        <v>45478900</v>
      </c>
    </row>
    <row r="1753" spans="16:17">
      <c r="P1753" t="s">
        <v>1971</v>
      </c>
      <c r="Q1753">
        <v>45478900</v>
      </c>
    </row>
    <row r="1754" spans="16:17">
      <c r="P1754" s="12" t="s">
        <v>1972</v>
      </c>
      <c r="Q1754" s="12">
        <v>30642469</v>
      </c>
    </row>
    <row r="1755" spans="16:17">
      <c r="P1755" s="12" t="s">
        <v>1973</v>
      </c>
      <c r="Q1755" s="12">
        <v>30642469</v>
      </c>
    </row>
    <row r="1756" spans="16:17">
      <c r="P1756" s="12" t="s">
        <v>756</v>
      </c>
      <c r="Q1756" s="12">
        <v>30642469</v>
      </c>
    </row>
    <row r="1757" spans="16:17">
      <c r="P1757" s="12" t="s">
        <v>758</v>
      </c>
      <c r="Q1757" s="12">
        <v>39745023</v>
      </c>
    </row>
    <row r="1758" spans="16:17">
      <c r="P1758" s="12" t="s">
        <v>1974</v>
      </c>
      <c r="Q1758" s="12">
        <v>41075667</v>
      </c>
    </row>
    <row r="1759" spans="16:17">
      <c r="P1759" s="12" t="s">
        <v>760</v>
      </c>
      <c r="Q1759" s="12">
        <v>70702</v>
      </c>
    </row>
    <row r="1760" spans="16:17">
      <c r="P1760" s="12" t="s">
        <v>1975</v>
      </c>
      <c r="Q1760" s="12">
        <v>38994077</v>
      </c>
    </row>
    <row r="1761" spans="16:17">
      <c r="P1761" s="12" t="s">
        <v>761</v>
      </c>
      <c r="Q1761" s="12">
        <v>38994077</v>
      </c>
    </row>
    <row r="1762" spans="16:17">
      <c r="P1762" s="12" t="s">
        <v>1976</v>
      </c>
      <c r="Q1762" s="12">
        <v>38994077</v>
      </c>
    </row>
    <row r="1763" spans="16:17">
      <c r="P1763" s="12" t="s">
        <v>1977</v>
      </c>
      <c r="Q1763" s="12">
        <v>11614</v>
      </c>
    </row>
    <row r="1764" spans="16:17">
      <c r="P1764" s="12" t="s">
        <v>1978</v>
      </c>
      <c r="Q1764" s="52">
        <v>11614</v>
      </c>
    </row>
    <row r="1765" spans="16:17">
      <c r="P1765" s="12" t="s">
        <v>763</v>
      </c>
      <c r="Q1765" s="12">
        <v>11614</v>
      </c>
    </row>
    <row r="1766" spans="16:17">
      <c r="P1766" t="s">
        <v>1979</v>
      </c>
      <c r="Q1766" s="12">
        <v>11614</v>
      </c>
    </row>
    <row r="1767" spans="16:17">
      <c r="P1767" s="12" t="s">
        <v>1980</v>
      </c>
      <c r="Q1767" s="12">
        <v>35338409</v>
      </c>
    </row>
    <row r="1768" spans="16:17">
      <c r="P1768" s="12" t="s">
        <v>2591</v>
      </c>
      <c r="Q1768" s="12">
        <v>35338409</v>
      </c>
    </row>
    <row r="1769" spans="16:17">
      <c r="P1769" s="12" t="s">
        <v>765</v>
      </c>
      <c r="Q1769" s="12">
        <v>35338409</v>
      </c>
    </row>
    <row r="1770" spans="16:17">
      <c r="P1770" t="s">
        <v>1981</v>
      </c>
      <c r="Q1770" s="12">
        <v>46586272</v>
      </c>
    </row>
    <row r="1771" spans="16:17">
      <c r="P1771" s="12" t="s">
        <v>1982</v>
      </c>
      <c r="Q1771" s="12">
        <v>46586272</v>
      </c>
    </row>
    <row r="1772" spans="16:17">
      <c r="P1772" s="12" t="s">
        <v>1983</v>
      </c>
      <c r="Q1772">
        <v>47571699</v>
      </c>
    </row>
    <row r="1773" spans="16:17">
      <c r="P1773" t="s">
        <v>1984</v>
      </c>
      <c r="Q1773">
        <v>47571699</v>
      </c>
    </row>
    <row r="1774" spans="16:17">
      <c r="P1774" t="s">
        <v>1985</v>
      </c>
      <c r="Q1774">
        <v>36561378</v>
      </c>
    </row>
    <row r="1775" spans="16:17">
      <c r="P1775" s="12" t="s">
        <v>1986</v>
      </c>
      <c r="Q1775" s="12">
        <v>94759336</v>
      </c>
    </row>
    <row r="1776" spans="16:17">
      <c r="P1776" t="s">
        <v>1987</v>
      </c>
      <c r="Q1776">
        <v>47257254</v>
      </c>
    </row>
    <row r="1777" spans="16:17">
      <c r="P1777" t="s">
        <v>1988</v>
      </c>
      <c r="Q1777">
        <v>47257254</v>
      </c>
    </row>
    <row r="1778" spans="16:17">
      <c r="P1778" s="12" t="s">
        <v>1989</v>
      </c>
      <c r="Q1778" s="12">
        <v>42251899</v>
      </c>
    </row>
    <row r="1779" spans="16:17">
      <c r="P1779" s="12" t="s">
        <v>767</v>
      </c>
      <c r="Q1779" s="12">
        <v>42251899</v>
      </c>
    </row>
    <row r="1780" spans="16:17">
      <c r="P1780" s="12" t="s">
        <v>1990</v>
      </c>
      <c r="Q1780" s="12">
        <v>44051245</v>
      </c>
    </row>
    <row r="1781" spans="16:17">
      <c r="P1781" s="12" t="s">
        <v>1991</v>
      </c>
      <c r="Q1781" s="12">
        <v>17213</v>
      </c>
    </row>
    <row r="1782" spans="16:17">
      <c r="P1782" s="12" t="s">
        <v>1992</v>
      </c>
      <c r="Q1782" s="98">
        <v>39656195</v>
      </c>
    </row>
    <row r="1783" spans="16:17">
      <c r="P1783" s="12" t="s">
        <v>769</v>
      </c>
      <c r="Q1783" s="12">
        <v>39656195</v>
      </c>
    </row>
    <row r="1784" spans="16:17">
      <c r="P1784" s="12" t="s">
        <v>1993</v>
      </c>
      <c r="Q1784" s="98">
        <v>34059155</v>
      </c>
    </row>
    <row r="1785" spans="16:17">
      <c r="P1785" s="12" t="s">
        <v>770</v>
      </c>
      <c r="Q1785" s="12">
        <v>34059155</v>
      </c>
    </row>
    <row r="1786" spans="16:17">
      <c r="P1786" s="12" t="s">
        <v>1994</v>
      </c>
      <c r="Q1786" s="12">
        <v>34059155</v>
      </c>
    </row>
    <row r="1787" spans="16:17">
      <c r="P1787" s="12" t="s">
        <v>1995</v>
      </c>
      <c r="Q1787" s="12">
        <v>39587047</v>
      </c>
    </row>
    <row r="1788" spans="16:17">
      <c r="P1788" s="12" t="s">
        <v>1996</v>
      </c>
      <c r="Q1788" s="12">
        <v>44051245</v>
      </c>
    </row>
    <row r="1789" spans="16:17">
      <c r="P1789" s="12" t="s">
        <v>772</v>
      </c>
      <c r="Q1789" s="12">
        <v>44051245</v>
      </c>
    </row>
    <row r="1790" spans="16:17">
      <c r="P1790" s="12" t="s">
        <v>774</v>
      </c>
      <c r="Q1790" s="12">
        <v>31751</v>
      </c>
    </row>
    <row r="1791" spans="16:17">
      <c r="P1791" t="s">
        <v>1997</v>
      </c>
      <c r="Q1791" s="12">
        <v>31751</v>
      </c>
    </row>
    <row r="1792" spans="16:17">
      <c r="P1792" t="s">
        <v>1998</v>
      </c>
      <c r="Q1792" s="12">
        <v>40381683</v>
      </c>
    </row>
    <row r="1793" spans="16:17">
      <c r="P1793" s="12" t="s">
        <v>2592</v>
      </c>
      <c r="Q1793" s="12">
        <v>40381683</v>
      </c>
    </row>
    <row r="1794" spans="16:17">
      <c r="P1794" s="12" t="s">
        <v>1999</v>
      </c>
      <c r="Q1794" s="12">
        <v>36422471</v>
      </c>
    </row>
    <row r="1795" spans="16:17">
      <c r="P1795" s="12" t="s">
        <v>2000</v>
      </c>
      <c r="Q1795" s="12">
        <v>36422471</v>
      </c>
    </row>
    <row r="1796" spans="16:17">
      <c r="P1796" s="12" t="s">
        <v>777</v>
      </c>
      <c r="Q1796" s="12">
        <v>40381683</v>
      </c>
    </row>
    <row r="1797" spans="16:17">
      <c r="P1797" t="s">
        <v>2001</v>
      </c>
      <c r="Q1797" s="12">
        <v>40381683</v>
      </c>
    </row>
    <row r="1798" spans="16:17">
      <c r="P1798" s="12" t="s">
        <v>779</v>
      </c>
      <c r="Q1798" s="12">
        <v>41546490</v>
      </c>
    </row>
    <row r="1799" spans="16:17">
      <c r="P1799" s="12" t="s">
        <v>2002</v>
      </c>
      <c r="Q1799" s="51">
        <v>38026420</v>
      </c>
    </row>
    <row r="1800" spans="16:17">
      <c r="P1800" s="12" t="s">
        <v>2003</v>
      </c>
      <c r="Q1800" s="51">
        <v>38026420</v>
      </c>
    </row>
    <row r="1801" spans="16:17">
      <c r="P1801" s="12" t="s">
        <v>2004</v>
      </c>
      <c r="Q1801" s="51">
        <v>38026420</v>
      </c>
    </row>
    <row r="1802" spans="16:17">
      <c r="P1802" s="12" t="s">
        <v>2593</v>
      </c>
      <c r="Q1802" s="12">
        <v>12342</v>
      </c>
    </row>
    <row r="1803" spans="16:17">
      <c r="P1803" s="12" t="s">
        <v>781</v>
      </c>
      <c r="Q1803" s="12">
        <v>12342</v>
      </c>
    </row>
    <row r="1804" spans="16:17">
      <c r="P1804" s="12" t="s">
        <v>2005</v>
      </c>
      <c r="Q1804" s="12">
        <v>12342</v>
      </c>
    </row>
    <row r="1805" spans="16:17">
      <c r="P1805" s="12" t="s">
        <v>2006</v>
      </c>
      <c r="Q1805" s="12">
        <v>42099771</v>
      </c>
    </row>
    <row r="1806" spans="16:17">
      <c r="P1806" s="12" t="s">
        <v>783</v>
      </c>
      <c r="Q1806" s="12">
        <v>43819657</v>
      </c>
    </row>
    <row r="1807" spans="16:17">
      <c r="P1807" s="12" t="s">
        <v>2007</v>
      </c>
      <c r="Q1807" s="12">
        <v>12501</v>
      </c>
    </row>
    <row r="1808" spans="16:17">
      <c r="P1808" s="12" t="s">
        <v>2594</v>
      </c>
      <c r="Q1808" s="12">
        <v>12501</v>
      </c>
    </row>
    <row r="1809" spans="16:17">
      <c r="P1809" s="12" t="s">
        <v>2008</v>
      </c>
      <c r="Q1809" s="12">
        <v>40868950</v>
      </c>
    </row>
    <row r="1810" spans="16:17">
      <c r="P1810" s="12" t="s">
        <v>2009</v>
      </c>
      <c r="Q1810" s="12">
        <v>12501</v>
      </c>
    </row>
    <row r="1811" spans="16:17">
      <c r="P1811" s="12" t="s">
        <v>785</v>
      </c>
      <c r="Q1811" s="12">
        <v>40868950</v>
      </c>
    </row>
    <row r="1812" spans="16:17">
      <c r="P1812" s="12" t="s">
        <v>2010</v>
      </c>
      <c r="Q1812" s="12">
        <v>40868950</v>
      </c>
    </row>
    <row r="1813" spans="16:17">
      <c r="P1813" s="12" t="s">
        <v>2595</v>
      </c>
      <c r="Q1813" s="12">
        <v>40868950</v>
      </c>
    </row>
    <row r="1814" spans="16:17">
      <c r="P1814" s="12" t="s">
        <v>2011</v>
      </c>
      <c r="Q1814" s="12">
        <v>12501</v>
      </c>
    </row>
    <row r="1815" spans="16:17">
      <c r="P1815" s="12" t="s">
        <v>2596</v>
      </c>
      <c r="Q1815" s="12">
        <v>12501</v>
      </c>
    </row>
    <row r="1816" spans="16:17">
      <c r="P1816" s="12" t="s">
        <v>2012</v>
      </c>
      <c r="Q1816" s="12">
        <v>12501</v>
      </c>
    </row>
    <row r="1817" spans="16:17">
      <c r="P1817" t="s">
        <v>2013</v>
      </c>
      <c r="Q1817">
        <v>44101107</v>
      </c>
    </row>
    <row r="1818" spans="16:17">
      <c r="P1818" t="s">
        <v>2014</v>
      </c>
      <c r="Q1818">
        <v>44101107</v>
      </c>
    </row>
    <row r="1819" spans="16:17">
      <c r="P1819" t="s">
        <v>2015</v>
      </c>
      <c r="Q1819">
        <v>44101107</v>
      </c>
    </row>
    <row r="1820" spans="16:17">
      <c r="P1820" t="s">
        <v>2016</v>
      </c>
      <c r="Q1820">
        <v>44101107</v>
      </c>
    </row>
    <row r="1821" spans="16:17">
      <c r="P1821" t="s">
        <v>2017</v>
      </c>
      <c r="Q1821">
        <v>44101107</v>
      </c>
    </row>
    <row r="1822" spans="16:17">
      <c r="P1822" s="12" t="s">
        <v>2018</v>
      </c>
      <c r="Q1822" s="12">
        <v>39185267</v>
      </c>
    </row>
    <row r="1823" spans="16:17">
      <c r="P1823" t="s">
        <v>2019</v>
      </c>
      <c r="Q1823">
        <v>34566476</v>
      </c>
    </row>
    <row r="1824" spans="16:17">
      <c r="P1824" t="s">
        <v>2020</v>
      </c>
      <c r="Q1824">
        <v>34566476</v>
      </c>
    </row>
    <row r="1825" spans="16:17">
      <c r="P1825" t="s">
        <v>2021</v>
      </c>
      <c r="Q1825">
        <v>34566476</v>
      </c>
    </row>
    <row r="1826" spans="16:17">
      <c r="P1826" t="s">
        <v>2022</v>
      </c>
      <c r="Q1826">
        <v>34566476</v>
      </c>
    </row>
    <row r="1827" spans="16:17">
      <c r="P1827" s="12" t="s">
        <v>2023</v>
      </c>
      <c r="Q1827" s="12">
        <v>30049793</v>
      </c>
    </row>
    <row r="1828" spans="16:17">
      <c r="P1828" s="12" t="s">
        <v>2024</v>
      </c>
      <c r="Q1828" s="12">
        <v>30049793</v>
      </c>
    </row>
    <row r="1829" spans="16:17">
      <c r="P1829" s="12" t="s">
        <v>2025</v>
      </c>
      <c r="Q1829" s="12">
        <v>42119402</v>
      </c>
    </row>
    <row r="1830" spans="16:17">
      <c r="P1830" t="s">
        <v>2026</v>
      </c>
      <c r="Q1830">
        <v>36845661</v>
      </c>
    </row>
    <row r="1831" spans="16:17">
      <c r="P1831" s="12" t="s">
        <v>2027</v>
      </c>
      <c r="Q1831" s="12">
        <v>38176861</v>
      </c>
    </row>
    <row r="1832" spans="16:17">
      <c r="P1832" s="12" t="s">
        <v>2028</v>
      </c>
      <c r="Q1832" s="12">
        <v>32874</v>
      </c>
    </row>
    <row r="1833" spans="16:17">
      <c r="P1833" s="12" t="s">
        <v>2029</v>
      </c>
      <c r="Q1833" s="12">
        <v>32874</v>
      </c>
    </row>
    <row r="1834" spans="16:17">
      <c r="P1834" s="12" t="s">
        <v>2597</v>
      </c>
      <c r="Q1834" s="12">
        <v>32874</v>
      </c>
    </row>
    <row r="1835" spans="16:17">
      <c r="P1835" s="12" t="s">
        <v>787</v>
      </c>
      <c r="Q1835" s="12">
        <v>32874</v>
      </c>
    </row>
    <row r="1836" spans="16:17">
      <c r="P1836" t="s">
        <v>2030</v>
      </c>
      <c r="Q1836" s="12">
        <v>32874</v>
      </c>
    </row>
    <row r="1837" spans="16:17">
      <c r="P1837" s="12" t="s">
        <v>2031</v>
      </c>
      <c r="Q1837" s="12">
        <v>32874</v>
      </c>
    </row>
    <row r="1838" spans="16:17">
      <c r="P1838" s="12" t="s">
        <v>2032</v>
      </c>
      <c r="Q1838" s="12">
        <v>45756657</v>
      </c>
    </row>
    <row r="1839" spans="16:17">
      <c r="P1839" s="12" t="s">
        <v>2033</v>
      </c>
      <c r="Q1839" s="12">
        <v>45401340</v>
      </c>
    </row>
    <row r="1840" spans="16:17">
      <c r="P1840" s="12" t="s">
        <v>2598</v>
      </c>
      <c r="Q1840" s="12">
        <v>45401340</v>
      </c>
    </row>
    <row r="1841" spans="16:17">
      <c r="P1841" s="12" t="s">
        <v>789</v>
      </c>
      <c r="Q1841" s="12">
        <v>45401340</v>
      </c>
    </row>
    <row r="1842" spans="16:17">
      <c r="P1842" s="12" t="s">
        <v>2034</v>
      </c>
      <c r="Q1842" s="12">
        <v>12841</v>
      </c>
    </row>
    <row r="1843" spans="16:17">
      <c r="P1843" s="12" t="s">
        <v>2035</v>
      </c>
      <c r="Q1843" s="12">
        <v>12841</v>
      </c>
    </row>
    <row r="1844" spans="16:17">
      <c r="P1844" s="12" t="s">
        <v>2036</v>
      </c>
      <c r="Q1844" s="12">
        <v>27382983</v>
      </c>
    </row>
    <row r="1845" spans="16:17">
      <c r="P1845" s="12" t="s">
        <v>791</v>
      </c>
      <c r="Q1845" s="12">
        <v>27382983</v>
      </c>
    </row>
    <row r="1846" spans="16:17">
      <c r="P1846" s="12" t="s">
        <v>2037</v>
      </c>
      <c r="Q1846" s="12">
        <v>27382983</v>
      </c>
    </row>
    <row r="1847" spans="16:17">
      <c r="P1847" s="12" t="s">
        <v>2038</v>
      </c>
      <c r="Q1847" s="12">
        <v>27382983</v>
      </c>
    </row>
    <row r="1848" spans="16:17">
      <c r="P1848" s="12" t="s">
        <v>2039</v>
      </c>
      <c r="Q1848" s="12">
        <v>29521714</v>
      </c>
    </row>
    <row r="1849" spans="16:17">
      <c r="P1849" s="12" t="s">
        <v>792</v>
      </c>
      <c r="Q1849" s="12">
        <v>29521714</v>
      </c>
    </row>
    <row r="1850" spans="16:17">
      <c r="P1850" s="12" t="s">
        <v>794</v>
      </c>
      <c r="Q1850" s="12">
        <v>40936856</v>
      </c>
    </row>
    <row r="1851" spans="16:17">
      <c r="P1851" s="12" t="s">
        <v>796</v>
      </c>
      <c r="Q1851" s="12">
        <v>12841</v>
      </c>
    </row>
    <row r="1852" spans="16:17">
      <c r="P1852" t="s">
        <v>2040</v>
      </c>
      <c r="Q1852" s="12">
        <v>12841</v>
      </c>
    </row>
    <row r="1853" spans="16:17">
      <c r="P1853" s="12" t="s">
        <v>2041</v>
      </c>
      <c r="Q1853" s="12">
        <v>29521714</v>
      </c>
    </row>
    <row r="1854" spans="16:17">
      <c r="P1854" s="12" t="s">
        <v>2042</v>
      </c>
      <c r="Q1854" s="12">
        <v>43082224</v>
      </c>
    </row>
    <row r="1855" spans="16:17">
      <c r="P1855" s="12" t="s">
        <v>2043</v>
      </c>
      <c r="Q1855" s="12">
        <v>43082224</v>
      </c>
    </row>
    <row r="1856" spans="16:17">
      <c r="P1856" s="12" t="s">
        <v>2044</v>
      </c>
      <c r="Q1856" s="12">
        <v>43082224</v>
      </c>
    </row>
    <row r="1857" spans="16:17">
      <c r="P1857" s="12" t="s">
        <v>798</v>
      </c>
      <c r="Q1857" s="12">
        <v>43912501</v>
      </c>
    </row>
    <row r="1858" spans="16:17">
      <c r="P1858" s="12" t="s">
        <v>2045</v>
      </c>
      <c r="Q1858" s="12">
        <v>43912501</v>
      </c>
    </row>
    <row r="1859" spans="16:17">
      <c r="P1859" s="12" t="s">
        <v>2046</v>
      </c>
      <c r="Q1859" s="12">
        <v>43912501</v>
      </c>
    </row>
    <row r="1860" spans="16:17">
      <c r="P1860" t="s">
        <v>2047</v>
      </c>
      <c r="Q1860" s="96">
        <v>34566476</v>
      </c>
    </row>
    <row r="1861" spans="16:17">
      <c r="P1861" s="12" t="s">
        <v>2048</v>
      </c>
      <c r="Q1861" s="12">
        <v>17672274</v>
      </c>
    </row>
    <row r="1862" spans="16:17">
      <c r="P1862" s="12" t="s">
        <v>800</v>
      </c>
      <c r="Q1862" s="12">
        <v>17672274</v>
      </c>
    </row>
    <row r="1863" spans="16:17">
      <c r="P1863" s="12" t="s">
        <v>2049</v>
      </c>
      <c r="Q1863" s="12">
        <v>17672274</v>
      </c>
    </row>
    <row r="1864" spans="16:17">
      <c r="P1864" t="s">
        <v>2050</v>
      </c>
      <c r="Q1864" s="12">
        <v>34471</v>
      </c>
    </row>
    <row r="1865" spans="16:17">
      <c r="P1865" t="s">
        <v>2468</v>
      </c>
      <c r="Q1865">
        <v>43318554</v>
      </c>
    </row>
    <row r="1866" spans="16:17">
      <c r="P1866" t="s">
        <v>2051</v>
      </c>
      <c r="Q1866">
        <v>43318554</v>
      </c>
    </row>
    <row r="1867" spans="16:17">
      <c r="P1867" s="12" t="s">
        <v>2052</v>
      </c>
      <c r="Q1867" s="12">
        <v>34471</v>
      </c>
    </row>
    <row r="1868" spans="16:17">
      <c r="P1868" s="12" t="s">
        <v>2053</v>
      </c>
      <c r="Q1868" s="12">
        <v>38498586</v>
      </c>
    </row>
    <row r="1869" spans="16:17">
      <c r="P1869" t="s">
        <v>2054</v>
      </c>
      <c r="Q1869" s="12">
        <v>38498586</v>
      </c>
    </row>
    <row r="1870" spans="16:17">
      <c r="P1870" s="12" t="s">
        <v>2055</v>
      </c>
      <c r="Q1870" s="12">
        <v>38498586</v>
      </c>
    </row>
    <row r="1871" spans="16:17">
      <c r="P1871" t="s">
        <v>2056</v>
      </c>
      <c r="Q1871">
        <v>43318554</v>
      </c>
    </row>
    <row r="1872" spans="16:17">
      <c r="P1872" t="s">
        <v>2057</v>
      </c>
      <c r="Q1872">
        <v>43318554</v>
      </c>
    </row>
    <row r="1873" spans="16:17">
      <c r="P1873" t="s">
        <v>2058</v>
      </c>
      <c r="Q1873">
        <v>43318554</v>
      </c>
    </row>
    <row r="1874" spans="16:17">
      <c r="P1874" t="s">
        <v>2059</v>
      </c>
      <c r="Q1874">
        <v>43318554</v>
      </c>
    </row>
    <row r="1875" spans="16:17">
      <c r="P1875" s="12" t="s">
        <v>2060</v>
      </c>
      <c r="Q1875" s="12">
        <v>34471</v>
      </c>
    </row>
    <row r="1876" spans="16:17">
      <c r="P1876" s="12" t="s">
        <v>801</v>
      </c>
      <c r="Q1876" s="12">
        <v>34471</v>
      </c>
    </row>
    <row r="1877" spans="16:17">
      <c r="P1877" s="12" t="s">
        <v>2061</v>
      </c>
      <c r="Q1877" s="12">
        <v>38498586</v>
      </c>
    </row>
    <row r="1878" spans="16:17">
      <c r="P1878" s="12" t="s">
        <v>803</v>
      </c>
      <c r="Q1878" s="12">
        <v>38498586</v>
      </c>
    </row>
    <row r="1879" spans="16:17">
      <c r="P1879" s="12" t="s">
        <v>2062</v>
      </c>
      <c r="Q1879" s="12">
        <v>38498586</v>
      </c>
    </row>
    <row r="1880" spans="16:17">
      <c r="P1880" s="12" t="s">
        <v>2063</v>
      </c>
      <c r="Q1880" s="12">
        <v>41706256</v>
      </c>
    </row>
    <row r="1881" spans="16:17">
      <c r="P1881" s="12" t="s">
        <v>2064</v>
      </c>
      <c r="Q1881" s="12">
        <v>41706256</v>
      </c>
    </row>
    <row r="1882" spans="16:17">
      <c r="P1882" t="s">
        <v>2065</v>
      </c>
      <c r="Q1882" s="12">
        <v>41706256</v>
      </c>
    </row>
    <row r="1883" spans="16:17">
      <c r="P1883" s="12" t="s">
        <v>2066</v>
      </c>
      <c r="Q1883" s="12">
        <v>47343705</v>
      </c>
    </row>
    <row r="1884" spans="16:17">
      <c r="P1884" t="s">
        <v>2067</v>
      </c>
      <c r="Q1884" s="12">
        <v>47343705</v>
      </c>
    </row>
    <row r="1885" spans="16:17">
      <c r="P1885" s="12" t="s">
        <v>2068</v>
      </c>
      <c r="Q1885" s="12">
        <v>12331</v>
      </c>
    </row>
    <row r="1886" spans="16:17">
      <c r="P1886" s="12" t="s">
        <v>2069</v>
      </c>
      <c r="Q1886" s="12">
        <v>44544554</v>
      </c>
    </row>
    <row r="1887" spans="16:17">
      <c r="P1887" t="s">
        <v>2070</v>
      </c>
      <c r="Q1887" s="12">
        <v>44544554</v>
      </c>
    </row>
    <row r="1888" spans="16:17">
      <c r="P1888" t="s">
        <v>2071</v>
      </c>
      <c r="Q1888">
        <v>30053111</v>
      </c>
    </row>
    <row r="1889" spans="16:17">
      <c r="P1889" s="12" t="s">
        <v>2599</v>
      </c>
      <c r="Q1889" s="12">
        <v>18028620</v>
      </c>
    </row>
    <row r="1890" spans="16:17">
      <c r="P1890" s="12" t="s">
        <v>2072</v>
      </c>
      <c r="Q1890" s="12">
        <v>41162965</v>
      </c>
    </row>
    <row r="1891" spans="16:17">
      <c r="P1891" s="12" t="s">
        <v>2073</v>
      </c>
      <c r="Q1891" s="12">
        <v>41162965</v>
      </c>
    </row>
    <row r="1892" spans="16:17">
      <c r="P1892" s="12" t="s">
        <v>2074</v>
      </c>
      <c r="Q1892" s="12">
        <v>42655553</v>
      </c>
    </row>
    <row r="1893" spans="16:17">
      <c r="P1893" t="s">
        <v>2075</v>
      </c>
      <c r="Q1893" s="12">
        <v>34409</v>
      </c>
    </row>
    <row r="1894" spans="16:17">
      <c r="P1894" s="12" t="s">
        <v>804</v>
      </c>
      <c r="Q1894" s="12">
        <v>34409</v>
      </c>
    </row>
    <row r="1895" spans="16:17">
      <c r="P1895" s="12" t="s">
        <v>2076</v>
      </c>
      <c r="Q1895" s="12">
        <v>34409</v>
      </c>
    </row>
    <row r="1896" spans="16:17">
      <c r="P1896" s="12" t="s">
        <v>2077</v>
      </c>
      <c r="Q1896" s="12">
        <v>33073087</v>
      </c>
    </row>
    <row r="1897" spans="16:17">
      <c r="P1897" s="12" t="s">
        <v>2078</v>
      </c>
      <c r="Q1897" s="12">
        <v>33073087</v>
      </c>
    </row>
    <row r="1898" spans="16:17">
      <c r="P1898" s="12" t="s">
        <v>2079</v>
      </c>
      <c r="Q1898" s="12">
        <v>12903</v>
      </c>
    </row>
    <row r="1899" spans="16:17">
      <c r="P1899" s="12" t="s">
        <v>2080</v>
      </c>
      <c r="Q1899" s="12">
        <v>33794081</v>
      </c>
    </row>
    <row r="1900" spans="16:17">
      <c r="P1900" t="s">
        <v>2455</v>
      </c>
      <c r="Q1900">
        <v>41704091</v>
      </c>
    </row>
    <row r="1901" spans="16:17">
      <c r="P1901" s="97" t="s">
        <v>2456</v>
      </c>
      <c r="Q1901">
        <v>41704091</v>
      </c>
    </row>
    <row r="1902" spans="16:17">
      <c r="P1902" s="12" t="s">
        <v>195</v>
      </c>
      <c r="Q1902" s="12" t="s">
        <v>5</v>
      </c>
    </row>
    <row r="1903" spans="16:17">
      <c r="P1903" s="12" t="s">
        <v>2081</v>
      </c>
      <c r="Q1903" s="12" t="s">
        <v>514</v>
      </c>
    </row>
    <row r="1904" spans="16:17">
      <c r="P1904" t="s">
        <v>2082</v>
      </c>
      <c r="Q1904">
        <v>30053111</v>
      </c>
    </row>
    <row r="1905" spans="16:17">
      <c r="P1905" t="s">
        <v>2083</v>
      </c>
      <c r="Q1905">
        <v>30053111</v>
      </c>
    </row>
    <row r="1906" spans="16:17">
      <c r="P1906" s="12" t="s">
        <v>2084</v>
      </c>
      <c r="Q1906" s="12">
        <v>18028620</v>
      </c>
    </row>
    <row r="1907" spans="16:17">
      <c r="P1907" s="12" t="s">
        <v>2085</v>
      </c>
      <c r="Q1907" s="12">
        <v>41162965</v>
      </c>
    </row>
    <row r="1908" spans="16:17">
      <c r="P1908" s="12" t="s">
        <v>2600</v>
      </c>
      <c r="Q1908" s="12">
        <v>41162965</v>
      </c>
    </row>
    <row r="1909" spans="16:17">
      <c r="P1909" s="12" t="s">
        <v>805</v>
      </c>
      <c r="Q1909" s="12">
        <v>41162965</v>
      </c>
    </row>
    <row r="1910" spans="16:17">
      <c r="P1910" s="12" t="s">
        <v>2086</v>
      </c>
      <c r="Q1910" s="12">
        <v>41162965</v>
      </c>
    </row>
    <row r="1911" spans="16:17">
      <c r="P1911" s="12" t="s">
        <v>807</v>
      </c>
      <c r="Q1911" s="12">
        <v>42655553</v>
      </c>
    </row>
    <row r="1912" spans="16:17">
      <c r="P1912" t="s">
        <v>2087</v>
      </c>
      <c r="Q1912" s="12">
        <v>42655553</v>
      </c>
    </row>
    <row r="1913" spans="16:17">
      <c r="P1913" t="s">
        <v>2453</v>
      </c>
      <c r="Q1913">
        <v>47689313</v>
      </c>
    </row>
    <row r="1914" spans="16:17">
      <c r="P1914" t="s">
        <v>2501</v>
      </c>
      <c r="Q1914">
        <v>47689313</v>
      </c>
    </row>
    <row r="1915" spans="16:17">
      <c r="P1915" s="12" t="s">
        <v>2088</v>
      </c>
      <c r="Q1915" s="12">
        <v>36845727</v>
      </c>
    </row>
    <row r="1916" spans="16:17">
      <c r="P1916" s="12" t="s">
        <v>2089</v>
      </c>
      <c r="Q1916" s="12">
        <v>43423581</v>
      </c>
    </row>
    <row r="1917" spans="16:17">
      <c r="P1917" s="12" t="s">
        <v>2090</v>
      </c>
      <c r="Q1917" s="12">
        <v>43423581</v>
      </c>
    </row>
    <row r="1918" spans="16:17">
      <c r="P1918" s="12" t="s">
        <v>2601</v>
      </c>
      <c r="Q1918" s="12">
        <v>43423581</v>
      </c>
    </row>
    <row r="1919" spans="16:17">
      <c r="P1919" s="12" t="s">
        <v>2091</v>
      </c>
      <c r="Q1919" s="12">
        <v>36845727</v>
      </c>
    </row>
    <row r="1920" spans="16:17">
      <c r="P1920" s="12" t="s">
        <v>2092</v>
      </c>
      <c r="Q1920" s="12">
        <v>36845727</v>
      </c>
    </row>
    <row r="1921" spans="16:17">
      <c r="P1921" t="s">
        <v>2093</v>
      </c>
      <c r="Q1921">
        <v>39344532</v>
      </c>
    </row>
    <row r="1922" spans="16:17">
      <c r="P1922" s="12" t="s">
        <v>2094</v>
      </c>
      <c r="Q1922" s="12">
        <v>40097155</v>
      </c>
    </row>
    <row r="1923" spans="16:17">
      <c r="P1923" s="12" t="s">
        <v>2602</v>
      </c>
      <c r="Q1923" s="12">
        <v>40097155</v>
      </c>
    </row>
    <row r="1924" spans="16:17">
      <c r="P1924" t="s">
        <v>2469</v>
      </c>
      <c r="Q1924" s="12">
        <v>42661512</v>
      </c>
    </row>
    <row r="1925" spans="16:17">
      <c r="P1925" t="s">
        <v>2095</v>
      </c>
      <c r="Q1925">
        <v>21764781</v>
      </c>
    </row>
    <row r="1926" spans="16:17">
      <c r="P1926" s="12" t="s">
        <v>2096</v>
      </c>
      <c r="Q1926" s="12">
        <v>36845727</v>
      </c>
    </row>
    <row r="1927" spans="16:17">
      <c r="P1927" s="12" t="s">
        <v>2603</v>
      </c>
      <c r="Q1927" s="12">
        <v>36845727</v>
      </c>
    </row>
    <row r="1928" spans="16:17">
      <c r="P1928" s="12" t="s">
        <v>809</v>
      </c>
      <c r="Q1928" s="12">
        <v>43423581</v>
      </c>
    </row>
    <row r="1929" spans="16:17">
      <c r="P1929" s="12" t="s">
        <v>2097</v>
      </c>
      <c r="Q1929" s="12">
        <v>36845727</v>
      </c>
    </row>
    <row r="1930" spans="16:17">
      <c r="P1930" s="12" t="s">
        <v>811</v>
      </c>
      <c r="Q1930" s="12">
        <v>36845727</v>
      </c>
    </row>
    <row r="1931" spans="16:17">
      <c r="P1931" s="12" t="s">
        <v>2604</v>
      </c>
      <c r="Q1931" s="12">
        <v>36845727</v>
      </c>
    </row>
    <row r="1932" spans="16:17">
      <c r="P1932" t="s">
        <v>2098</v>
      </c>
      <c r="Q1932">
        <v>39344532</v>
      </c>
    </row>
    <row r="1933" spans="16:17">
      <c r="P1933" s="12" t="s">
        <v>2099</v>
      </c>
      <c r="Q1933" s="12">
        <v>40097155</v>
      </c>
    </row>
    <row r="1934" spans="16:17">
      <c r="P1934" t="s">
        <v>2100</v>
      </c>
      <c r="Q1934" s="12">
        <v>40097155</v>
      </c>
    </row>
    <row r="1935" spans="16:17">
      <c r="P1935" t="s">
        <v>2101</v>
      </c>
      <c r="Q1935">
        <v>21764781</v>
      </c>
    </row>
    <row r="1936" spans="16:17">
      <c r="P1936" t="s">
        <v>2102</v>
      </c>
      <c r="Q1936">
        <v>21764781</v>
      </c>
    </row>
    <row r="1937" spans="16:17">
      <c r="P1937" s="12" t="s">
        <v>2103</v>
      </c>
      <c r="Q1937" s="12">
        <v>13807</v>
      </c>
    </row>
    <row r="1938" spans="16:17">
      <c r="P1938" s="12" t="s">
        <v>812</v>
      </c>
      <c r="Q1938" s="12">
        <v>13807</v>
      </c>
    </row>
    <row r="1939" spans="16:17">
      <c r="P1939" s="12" t="s">
        <v>2104</v>
      </c>
      <c r="Q1939" s="12">
        <v>41460104</v>
      </c>
    </row>
    <row r="1940" spans="16:17">
      <c r="P1940" s="12" t="s">
        <v>2105</v>
      </c>
      <c r="Q1940" s="12">
        <v>39223033</v>
      </c>
    </row>
    <row r="1941" spans="16:17">
      <c r="P1941" s="12" t="s">
        <v>814</v>
      </c>
      <c r="Q1941" s="12">
        <v>39223033</v>
      </c>
    </row>
    <row r="1942" spans="16:17">
      <c r="P1942" s="12" t="s">
        <v>2106</v>
      </c>
      <c r="Q1942" s="12">
        <v>41455032</v>
      </c>
    </row>
    <row r="1943" spans="16:17">
      <c r="P1943" t="s">
        <v>2107</v>
      </c>
      <c r="Q1943">
        <v>43106633</v>
      </c>
    </row>
    <row r="1944" spans="16:17">
      <c r="P1944" t="s">
        <v>2108</v>
      </c>
      <c r="Q1944">
        <v>43106633</v>
      </c>
    </row>
    <row r="1945" spans="16:17">
      <c r="P1945" t="s">
        <v>2109</v>
      </c>
      <c r="Q1945">
        <v>43106633</v>
      </c>
    </row>
    <row r="1946" spans="16:17">
      <c r="P1946" t="s">
        <v>2110</v>
      </c>
      <c r="Q1946">
        <v>43106633</v>
      </c>
    </row>
    <row r="1947" spans="16:17">
      <c r="P1947" t="s">
        <v>2111</v>
      </c>
      <c r="Q1947">
        <v>43106633</v>
      </c>
    </row>
    <row r="1948" spans="16:17">
      <c r="P1948" s="12" t="s">
        <v>2112</v>
      </c>
      <c r="Q1948" s="12">
        <v>29277193</v>
      </c>
    </row>
    <row r="1949" spans="16:17">
      <c r="P1949" s="12" t="s">
        <v>2113</v>
      </c>
      <c r="Q1949" s="12">
        <v>43080505</v>
      </c>
    </row>
    <row r="1950" spans="16:17">
      <c r="P1950" s="12" t="s">
        <v>2114</v>
      </c>
      <c r="Q1950" s="12">
        <v>30353085</v>
      </c>
    </row>
    <row r="1951" spans="16:17">
      <c r="P1951" s="12" t="s">
        <v>2115</v>
      </c>
      <c r="Q1951" s="12">
        <v>45430298</v>
      </c>
    </row>
    <row r="1952" spans="16:17">
      <c r="P1952" s="12" t="s">
        <v>2116</v>
      </c>
      <c r="Q1952" s="12">
        <v>46421021</v>
      </c>
    </row>
    <row r="1953" spans="16:17">
      <c r="P1953" s="12" t="s">
        <v>2117</v>
      </c>
      <c r="Q1953" s="12">
        <v>46421021</v>
      </c>
    </row>
    <row r="1954" spans="16:17">
      <c r="P1954" s="12" t="s">
        <v>816</v>
      </c>
      <c r="Q1954" s="12">
        <v>29277193</v>
      </c>
    </row>
    <row r="1955" spans="16:17">
      <c r="P1955" s="12" t="s">
        <v>817</v>
      </c>
      <c r="Q1955" s="12">
        <v>41435566</v>
      </c>
    </row>
    <row r="1956" spans="16:17">
      <c r="P1956" s="12" t="s">
        <v>2118</v>
      </c>
      <c r="Q1956" s="12">
        <v>41435566</v>
      </c>
    </row>
    <row r="1957" spans="16:17">
      <c r="P1957" s="12" t="s">
        <v>2119</v>
      </c>
      <c r="Q1957" s="12">
        <v>36498353</v>
      </c>
    </row>
    <row r="1958" spans="16:17">
      <c r="P1958" s="12" t="s">
        <v>819</v>
      </c>
      <c r="Q1958" s="12">
        <v>36498353</v>
      </c>
    </row>
    <row r="1959" spans="16:17">
      <c r="P1959" s="12" t="s">
        <v>2120</v>
      </c>
      <c r="Q1959" s="12">
        <v>43080505</v>
      </c>
    </row>
    <row r="1960" spans="16:17">
      <c r="P1960" s="12" t="s">
        <v>821</v>
      </c>
      <c r="Q1960" s="12">
        <v>30353085</v>
      </c>
    </row>
    <row r="1961" spans="16:17">
      <c r="P1961" s="12" t="s">
        <v>2605</v>
      </c>
      <c r="Q1961" s="12">
        <v>30353085</v>
      </c>
    </row>
    <row r="1962" spans="16:17">
      <c r="P1962" s="12" t="s">
        <v>2121</v>
      </c>
      <c r="Q1962" s="12">
        <v>30353085</v>
      </c>
    </row>
    <row r="1963" spans="16:17">
      <c r="P1963" s="12" t="s">
        <v>2122</v>
      </c>
      <c r="Q1963" s="12">
        <v>39416059</v>
      </c>
    </row>
    <row r="1964" spans="16:17">
      <c r="P1964" t="s">
        <v>2123</v>
      </c>
      <c r="Q1964" s="12">
        <v>39416059</v>
      </c>
    </row>
    <row r="1965" spans="16:17">
      <c r="P1965" s="12" t="s">
        <v>2124</v>
      </c>
      <c r="Q1965" s="12">
        <v>39416059</v>
      </c>
    </row>
    <row r="1966" spans="16:17">
      <c r="P1966" t="s">
        <v>2125</v>
      </c>
      <c r="Q1966">
        <v>39416059</v>
      </c>
    </row>
    <row r="1967" spans="16:17">
      <c r="P1967" t="s">
        <v>2126</v>
      </c>
      <c r="Q1967">
        <v>39416059</v>
      </c>
    </row>
    <row r="1968" spans="16:17">
      <c r="P1968" s="12" t="s">
        <v>823</v>
      </c>
      <c r="Q1968" s="12">
        <v>45430298</v>
      </c>
    </row>
    <row r="1969" spans="16:17">
      <c r="P1969" s="12" t="s">
        <v>2127</v>
      </c>
      <c r="Q1969" s="12">
        <v>45430298</v>
      </c>
    </row>
    <row r="1970" spans="16:17">
      <c r="P1970" s="12" t="s">
        <v>825</v>
      </c>
      <c r="Q1970" s="12">
        <v>12468</v>
      </c>
    </row>
    <row r="1971" spans="16:17">
      <c r="P1971" s="12" t="s">
        <v>827</v>
      </c>
      <c r="Q1971" s="12">
        <v>43080505</v>
      </c>
    </row>
    <row r="1972" spans="16:17">
      <c r="P1972" s="12" t="s">
        <v>2128</v>
      </c>
      <c r="Q1972" s="12">
        <v>43080505</v>
      </c>
    </row>
    <row r="1973" spans="16:17">
      <c r="P1973" s="12" t="s">
        <v>2129</v>
      </c>
      <c r="Q1973" s="12">
        <v>46421021</v>
      </c>
    </row>
    <row r="1974" spans="16:17">
      <c r="P1974" s="12" t="s">
        <v>2130</v>
      </c>
      <c r="Q1974" s="12">
        <v>46421021</v>
      </c>
    </row>
    <row r="1975" spans="16:17">
      <c r="P1975" t="s">
        <v>2131</v>
      </c>
      <c r="Q1975" s="12">
        <v>45926480</v>
      </c>
    </row>
    <row r="1976" spans="16:17">
      <c r="P1976" s="12" t="s">
        <v>2132</v>
      </c>
      <c r="Q1976" s="12">
        <v>13778</v>
      </c>
    </row>
    <row r="1977" spans="16:17">
      <c r="P1977" s="12" t="s">
        <v>2133</v>
      </c>
      <c r="Q1977" s="12">
        <v>13778</v>
      </c>
    </row>
    <row r="1978" spans="16:17">
      <c r="P1978" s="12" t="s">
        <v>2134</v>
      </c>
      <c r="Q1978" s="12">
        <v>45926480</v>
      </c>
    </row>
    <row r="1979" spans="16:17">
      <c r="P1979" s="12" t="s">
        <v>2135</v>
      </c>
      <c r="Q1979" s="12">
        <v>10661</v>
      </c>
    </row>
    <row r="1980" spans="16:17">
      <c r="P1980" s="12" t="s">
        <v>2136</v>
      </c>
      <c r="Q1980" s="12">
        <v>38637494</v>
      </c>
    </row>
    <row r="1981" spans="16:17">
      <c r="P1981" s="12" t="s">
        <v>2137</v>
      </c>
      <c r="Q1981" s="12">
        <v>43147897</v>
      </c>
    </row>
    <row r="1982" spans="16:17">
      <c r="P1982" s="12" t="s">
        <v>2138</v>
      </c>
      <c r="Q1982" s="12">
        <v>43147897</v>
      </c>
    </row>
    <row r="1983" spans="16:17">
      <c r="P1983" s="12" t="s">
        <v>2139</v>
      </c>
      <c r="Q1983" s="12">
        <v>17107167</v>
      </c>
    </row>
    <row r="1984" spans="16:17">
      <c r="P1984" s="12" t="s">
        <v>2140</v>
      </c>
      <c r="Q1984" s="12">
        <v>12333</v>
      </c>
    </row>
    <row r="1985" spans="16:17">
      <c r="P1985" s="12" t="s">
        <v>2141</v>
      </c>
      <c r="Q1985" s="12">
        <v>40540883</v>
      </c>
    </row>
    <row r="1986" spans="16:17">
      <c r="P1986" s="12" t="s">
        <v>829</v>
      </c>
      <c r="Q1986" s="12">
        <v>40540883</v>
      </c>
    </row>
    <row r="1987" spans="16:17">
      <c r="P1987" s="12" t="s">
        <v>2142</v>
      </c>
      <c r="Q1987" s="12">
        <v>40540883</v>
      </c>
    </row>
    <row r="1988" spans="16:17">
      <c r="P1988" s="12" t="s">
        <v>2143</v>
      </c>
      <c r="Q1988" s="12">
        <v>30356825</v>
      </c>
    </row>
    <row r="1989" spans="16:17">
      <c r="P1989" s="12" t="s">
        <v>2144</v>
      </c>
      <c r="Q1989" s="12">
        <v>37256965</v>
      </c>
    </row>
    <row r="1990" spans="16:17">
      <c r="P1990" s="12" t="s">
        <v>2145</v>
      </c>
      <c r="Q1990" s="12">
        <v>13551</v>
      </c>
    </row>
    <row r="1991" spans="16:17">
      <c r="P1991" s="12" t="s">
        <v>831</v>
      </c>
      <c r="Q1991" s="12">
        <v>13551</v>
      </c>
    </row>
    <row r="1992" spans="16:17">
      <c r="P1992" s="12" t="s">
        <v>2146</v>
      </c>
      <c r="Q1992" s="12">
        <v>13551</v>
      </c>
    </row>
    <row r="1993" spans="16:17">
      <c r="P1993" t="s">
        <v>2147</v>
      </c>
      <c r="Q1993" s="12">
        <v>12905</v>
      </c>
    </row>
    <row r="1994" spans="16:17">
      <c r="P1994" s="12" t="s">
        <v>2148</v>
      </c>
      <c r="Q1994" s="12">
        <v>12905</v>
      </c>
    </row>
    <row r="1995" spans="16:17">
      <c r="P1995" t="s">
        <v>2149</v>
      </c>
      <c r="Q1995" s="12">
        <v>12905</v>
      </c>
    </row>
    <row r="1996" spans="16:17">
      <c r="P1996" s="12" t="s">
        <v>833</v>
      </c>
      <c r="Q1996" s="12">
        <v>12905</v>
      </c>
    </row>
    <row r="1997" spans="16:17">
      <c r="P1997" s="12" t="s">
        <v>2150</v>
      </c>
      <c r="Q1997" s="12">
        <v>12905</v>
      </c>
    </row>
    <row r="1998" spans="16:17">
      <c r="P1998" s="12" t="s">
        <v>2151</v>
      </c>
      <c r="Q1998" s="50">
        <v>42297260</v>
      </c>
    </row>
    <row r="1999" spans="16:17">
      <c r="P1999" s="12" t="s">
        <v>834</v>
      </c>
      <c r="Q1999" s="12">
        <v>42297260</v>
      </c>
    </row>
    <row r="2000" spans="16:17">
      <c r="P2000" s="12" t="s">
        <v>2152</v>
      </c>
      <c r="Q2000" s="12">
        <v>77257</v>
      </c>
    </row>
    <row r="2001" spans="16:17">
      <c r="P2001" s="12" t="s">
        <v>836</v>
      </c>
      <c r="Q2001" s="12">
        <v>11807</v>
      </c>
    </row>
    <row r="2002" spans="16:17">
      <c r="P2002" t="s">
        <v>2153</v>
      </c>
      <c r="Q2002" s="12">
        <v>44965623</v>
      </c>
    </row>
    <row r="2003" spans="16:17">
      <c r="P2003" s="12" t="s">
        <v>2154</v>
      </c>
      <c r="Q2003" s="12">
        <v>44965623</v>
      </c>
    </row>
    <row r="2004" spans="16:17">
      <c r="P2004" s="12" t="s">
        <v>838</v>
      </c>
      <c r="Q2004" s="12">
        <v>44965623</v>
      </c>
    </row>
    <row r="2005" spans="16:17">
      <c r="P2005" t="s">
        <v>2155</v>
      </c>
      <c r="Q2005" s="12">
        <v>44965623</v>
      </c>
    </row>
    <row r="2006" spans="16:17">
      <c r="P2006" t="s">
        <v>2156</v>
      </c>
      <c r="Q2006" s="12">
        <v>44965623</v>
      </c>
    </row>
    <row r="2007" spans="16:17">
      <c r="P2007" s="12" t="s">
        <v>840</v>
      </c>
      <c r="Q2007" s="12">
        <v>36598399</v>
      </c>
    </row>
    <row r="2008" spans="16:17">
      <c r="P2008" t="s">
        <v>2157</v>
      </c>
      <c r="Q2008" s="12">
        <v>44965623</v>
      </c>
    </row>
    <row r="2009" spans="16:17">
      <c r="P2009" s="12" t="s">
        <v>2158</v>
      </c>
      <c r="Q2009" s="12">
        <v>35803493</v>
      </c>
    </row>
    <row r="2010" spans="16:17">
      <c r="P2010" s="12" t="s">
        <v>2159</v>
      </c>
      <c r="Q2010" s="12">
        <v>36483668</v>
      </c>
    </row>
    <row r="2011" spans="16:17">
      <c r="P2011" s="12" t="s">
        <v>2160</v>
      </c>
      <c r="Q2011" s="12">
        <v>36483668</v>
      </c>
    </row>
    <row r="2012" spans="16:17">
      <c r="P2012" t="s">
        <v>2161</v>
      </c>
      <c r="Q2012">
        <v>36483668</v>
      </c>
    </row>
    <row r="2013" spans="16:17">
      <c r="P2013" s="12" t="s">
        <v>2162</v>
      </c>
      <c r="Q2013" s="12">
        <v>40797725</v>
      </c>
    </row>
    <row r="2014" spans="16:17">
      <c r="P2014" s="12" t="s">
        <v>2163</v>
      </c>
      <c r="Q2014" s="12">
        <v>36483668</v>
      </c>
    </row>
    <row r="2015" spans="16:17">
      <c r="P2015" s="12" t="s">
        <v>842</v>
      </c>
      <c r="Q2015" s="12">
        <v>36483668</v>
      </c>
    </row>
    <row r="2016" spans="16:17">
      <c r="P2016" s="12" t="s">
        <v>2164</v>
      </c>
      <c r="Q2016" s="12">
        <v>46994265</v>
      </c>
    </row>
    <row r="2017" spans="16:17">
      <c r="P2017" s="12" t="s">
        <v>2165</v>
      </c>
      <c r="Q2017" s="12">
        <v>40745396</v>
      </c>
    </row>
    <row r="2018" spans="16:17">
      <c r="P2018" s="12" t="s">
        <v>2166</v>
      </c>
      <c r="Q2018" s="12">
        <v>38678888</v>
      </c>
    </row>
    <row r="2019" spans="16:17">
      <c r="P2019" s="12" t="s">
        <v>2167</v>
      </c>
      <c r="Q2019" s="12">
        <v>35402090</v>
      </c>
    </row>
    <row r="2020" spans="16:17">
      <c r="P2020" s="12" t="s">
        <v>2168</v>
      </c>
      <c r="Q2020" s="12">
        <v>46994265</v>
      </c>
    </row>
    <row r="2021" spans="16:17">
      <c r="P2021" t="s">
        <v>2169</v>
      </c>
      <c r="Q2021" s="12">
        <v>46994265</v>
      </c>
    </row>
    <row r="2022" spans="16:17">
      <c r="P2022" s="12" t="s">
        <v>2170</v>
      </c>
      <c r="Q2022" s="12">
        <v>40745396</v>
      </c>
    </row>
    <row r="2023" spans="16:17">
      <c r="P2023" s="12" t="s">
        <v>844</v>
      </c>
      <c r="Q2023" s="12">
        <v>40745396</v>
      </c>
    </row>
    <row r="2024" spans="16:17">
      <c r="P2024" s="12" t="s">
        <v>2171</v>
      </c>
      <c r="Q2024" s="12">
        <v>42535612</v>
      </c>
    </row>
    <row r="2025" spans="16:17">
      <c r="P2025" s="12" t="s">
        <v>2172</v>
      </c>
      <c r="Q2025" s="12">
        <v>44559741</v>
      </c>
    </row>
    <row r="2026" spans="16:17">
      <c r="P2026" s="12" t="s">
        <v>846</v>
      </c>
      <c r="Q2026" s="12">
        <v>44559741</v>
      </c>
    </row>
    <row r="2027" spans="16:17">
      <c r="P2027" s="12" t="s">
        <v>2173</v>
      </c>
      <c r="Q2027" s="12">
        <v>44559741</v>
      </c>
    </row>
    <row r="2028" spans="16:17">
      <c r="P2028" s="12" t="s">
        <v>2174</v>
      </c>
      <c r="Q2028" s="12">
        <v>12906</v>
      </c>
    </row>
    <row r="2029" spans="16:17">
      <c r="P2029" s="12" t="s">
        <v>2175</v>
      </c>
      <c r="Q2029" s="12">
        <v>34210219</v>
      </c>
    </row>
    <row r="2030" spans="16:17">
      <c r="P2030" t="s">
        <v>2176</v>
      </c>
      <c r="Q2030">
        <v>27928430</v>
      </c>
    </row>
    <row r="2031" spans="16:17">
      <c r="P2031" t="s">
        <v>2177</v>
      </c>
      <c r="Q2031">
        <v>27928430</v>
      </c>
    </row>
    <row r="2032" spans="16:17">
      <c r="P2032" t="s">
        <v>2178</v>
      </c>
      <c r="Q2032">
        <v>27928430</v>
      </c>
    </row>
    <row r="2033" spans="16:17">
      <c r="P2033" t="s">
        <v>2179</v>
      </c>
      <c r="Q2033">
        <v>27928430</v>
      </c>
    </row>
    <row r="2034" spans="16:17">
      <c r="P2034" s="12" t="s">
        <v>2180</v>
      </c>
      <c r="Q2034" s="12">
        <v>40946769</v>
      </c>
    </row>
    <row r="2035" spans="16:17">
      <c r="P2035" s="12" t="s">
        <v>848</v>
      </c>
      <c r="Q2035" s="12">
        <v>40946769</v>
      </c>
    </row>
    <row r="2036" spans="16:17">
      <c r="P2036" t="s">
        <v>2181</v>
      </c>
      <c r="Q2036">
        <v>4259083</v>
      </c>
    </row>
    <row r="2037" spans="16:17">
      <c r="P2037" t="s">
        <v>2182</v>
      </c>
      <c r="Q2037">
        <v>4259083</v>
      </c>
    </row>
    <row r="2038" spans="16:17">
      <c r="P2038" s="12" t="s">
        <v>2183</v>
      </c>
      <c r="Q2038" s="12">
        <v>35087820</v>
      </c>
    </row>
    <row r="2039" spans="16:17">
      <c r="P2039" t="s">
        <v>2184</v>
      </c>
      <c r="Q2039" s="12">
        <v>38465928</v>
      </c>
    </row>
    <row r="2040" spans="16:17">
      <c r="P2040" s="12" t="s">
        <v>2185</v>
      </c>
      <c r="Q2040" s="12">
        <v>38465928</v>
      </c>
    </row>
    <row r="2041" spans="16:17">
      <c r="P2041" s="12" t="s">
        <v>850</v>
      </c>
      <c r="Q2041" s="12">
        <v>38465928</v>
      </c>
    </row>
    <row r="2042" spans="16:17">
      <c r="P2042" t="s">
        <v>2186</v>
      </c>
      <c r="Q2042" s="12">
        <v>38465928</v>
      </c>
    </row>
    <row r="2043" spans="16:17">
      <c r="P2043" t="s">
        <v>2187</v>
      </c>
      <c r="Q2043" s="12">
        <v>38465928</v>
      </c>
    </row>
    <row r="2044" spans="16:17">
      <c r="P2044" s="12" t="s">
        <v>2188</v>
      </c>
      <c r="Q2044" s="12">
        <v>12915</v>
      </c>
    </row>
    <row r="2045" spans="16:17">
      <c r="P2045" s="12" t="s">
        <v>2189</v>
      </c>
      <c r="Q2045" s="12">
        <v>22310347</v>
      </c>
    </row>
    <row r="2046" spans="16:17">
      <c r="P2046" t="s">
        <v>2190</v>
      </c>
      <c r="Q2046">
        <v>22310347</v>
      </c>
    </row>
    <row r="2047" spans="16:17">
      <c r="P2047" t="s">
        <v>2191</v>
      </c>
      <c r="Q2047">
        <v>22310347</v>
      </c>
    </row>
    <row r="2048" spans="16:17">
      <c r="P2048" s="12" t="s">
        <v>2192</v>
      </c>
      <c r="Q2048" s="12">
        <v>12529</v>
      </c>
    </row>
    <row r="2049" spans="16:17">
      <c r="P2049" s="12" t="s">
        <v>852</v>
      </c>
      <c r="Q2049" s="12">
        <v>12529</v>
      </c>
    </row>
    <row r="2050" spans="16:17">
      <c r="P2050" s="12" t="s">
        <v>2193</v>
      </c>
      <c r="Q2050" s="12">
        <v>11677</v>
      </c>
    </row>
    <row r="2051" spans="16:17">
      <c r="P2051" s="12" t="s">
        <v>2194</v>
      </c>
      <c r="Q2051" s="12">
        <v>36829506</v>
      </c>
    </row>
    <row r="2052" spans="16:17">
      <c r="P2052" s="12" t="s">
        <v>854</v>
      </c>
      <c r="Q2052" s="12">
        <v>11677</v>
      </c>
    </row>
    <row r="2053" spans="16:17">
      <c r="P2053" s="12" t="s">
        <v>2195</v>
      </c>
      <c r="Q2053" s="12">
        <v>13578</v>
      </c>
    </row>
    <row r="2054" spans="16:17">
      <c r="P2054" s="12" t="s">
        <v>2196</v>
      </c>
      <c r="Q2054" s="12">
        <v>35040565</v>
      </c>
    </row>
    <row r="2055" spans="16:17">
      <c r="P2055" s="12" t="s">
        <v>856</v>
      </c>
      <c r="Q2055" s="12">
        <v>35040565</v>
      </c>
    </row>
    <row r="2056" spans="16:17">
      <c r="P2056" t="s">
        <v>2197</v>
      </c>
      <c r="Q2056" s="12">
        <v>35040565</v>
      </c>
    </row>
    <row r="2057" spans="16:17">
      <c r="P2057" s="12" t="s">
        <v>858</v>
      </c>
      <c r="Q2057" s="12">
        <v>12351</v>
      </c>
    </row>
    <row r="2058" spans="16:17">
      <c r="P2058" s="12" t="s">
        <v>2198</v>
      </c>
      <c r="Q2058" s="12">
        <v>42012953</v>
      </c>
    </row>
    <row r="2059" spans="16:17">
      <c r="P2059" s="12" t="s">
        <v>2199</v>
      </c>
      <c r="Q2059" s="12">
        <v>36598399</v>
      </c>
    </row>
    <row r="2060" spans="16:17">
      <c r="P2060" t="s">
        <v>2484</v>
      </c>
      <c r="Q2060">
        <v>37786037</v>
      </c>
    </row>
    <row r="2061" spans="16:17">
      <c r="P2061" t="s">
        <v>2200</v>
      </c>
      <c r="Q2061">
        <v>37786037</v>
      </c>
    </row>
    <row r="2062" spans="16:17">
      <c r="P2062" t="s">
        <v>2502</v>
      </c>
      <c r="Q2062">
        <v>37786037</v>
      </c>
    </row>
    <row r="2063" spans="16:17">
      <c r="P2063" s="12" t="s">
        <v>2201</v>
      </c>
      <c r="Q2063" s="12">
        <v>46642915</v>
      </c>
    </row>
    <row r="2064" spans="16:17">
      <c r="P2064" s="12" t="s">
        <v>2202</v>
      </c>
      <c r="Q2064" s="12">
        <v>36319307</v>
      </c>
    </row>
    <row r="2065" spans="16:17">
      <c r="P2065" s="12" t="s">
        <v>2203</v>
      </c>
      <c r="Q2065" s="12">
        <v>46642915</v>
      </c>
    </row>
    <row r="2066" spans="16:17">
      <c r="P2066" s="12" t="s">
        <v>860</v>
      </c>
      <c r="Q2066" s="12">
        <v>36319307</v>
      </c>
    </row>
    <row r="2067" spans="16:17">
      <c r="P2067" s="12" t="s">
        <v>2204</v>
      </c>
      <c r="Q2067" s="12">
        <v>36319307</v>
      </c>
    </row>
    <row r="2068" spans="16:17">
      <c r="P2068" t="s">
        <v>2205</v>
      </c>
      <c r="Q2068">
        <v>25980677</v>
      </c>
    </row>
    <row r="2069" spans="16:17">
      <c r="P2069" s="12" t="s">
        <v>2206</v>
      </c>
      <c r="Q2069" s="12">
        <v>37998845</v>
      </c>
    </row>
    <row r="2070" spans="16:17">
      <c r="P2070" s="12" t="s">
        <v>2207</v>
      </c>
      <c r="Q2070" s="12">
        <v>37998845</v>
      </c>
    </row>
    <row r="2071" spans="16:17">
      <c r="P2071" s="12" t="s">
        <v>2208</v>
      </c>
      <c r="Q2071" s="12">
        <v>37998845</v>
      </c>
    </row>
    <row r="2072" spans="16:17">
      <c r="P2072" s="12" t="s">
        <v>861</v>
      </c>
      <c r="Q2072" s="12">
        <v>37998845</v>
      </c>
    </row>
    <row r="2073" spans="16:17">
      <c r="P2073" t="s">
        <v>2209</v>
      </c>
      <c r="Q2073" s="12">
        <v>42374194</v>
      </c>
    </row>
    <row r="2074" spans="16:17">
      <c r="P2074" t="s">
        <v>2210</v>
      </c>
      <c r="Q2074" s="12">
        <v>42374194</v>
      </c>
    </row>
    <row r="2075" spans="16:17">
      <c r="P2075" s="12" t="s">
        <v>2211</v>
      </c>
      <c r="Q2075" s="12">
        <v>42374194</v>
      </c>
    </row>
    <row r="2076" spans="16:17">
      <c r="P2076" s="12" t="s">
        <v>863</v>
      </c>
      <c r="Q2076" s="12">
        <v>42374194</v>
      </c>
    </row>
    <row r="2077" spans="16:17">
      <c r="P2077" t="s">
        <v>2212</v>
      </c>
      <c r="Q2077">
        <v>37536984</v>
      </c>
    </row>
    <row r="2078" spans="16:17">
      <c r="P2078" t="s">
        <v>2213</v>
      </c>
      <c r="Q2078">
        <v>37536984</v>
      </c>
    </row>
    <row r="2079" spans="16:17">
      <c r="P2079" s="12" t="s">
        <v>2214</v>
      </c>
      <c r="Q2079" s="12">
        <v>33972</v>
      </c>
    </row>
    <row r="2080" spans="16:17">
      <c r="P2080" t="s">
        <v>2215</v>
      </c>
      <c r="Q2080" s="12">
        <v>33972</v>
      </c>
    </row>
    <row r="2081" spans="16:17">
      <c r="P2081" s="12" t="s">
        <v>2216</v>
      </c>
      <c r="Q2081" s="12">
        <v>32678991</v>
      </c>
    </row>
    <row r="2082" spans="16:17">
      <c r="P2082" s="12" t="s">
        <v>2217</v>
      </c>
      <c r="Q2082" s="12">
        <v>32678991</v>
      </c>
    </row>
    <row r="2083" spans="16:17">
      <c r="P2083" s="12" t="s">
        <v>864</v>
      </c>
      <c r="Q2083" s="12">
        <v>32678991</v>
      </c>
    </row>
    <row r="2084" spans="16:17">
      <c r="P2084" s="12" t="s">
        <v>2218</v>
      </c>
      <c r="Q2084" s="12">
        <v>39271693</v>
      </c>
    </row>
    <row r="2085" spans="16:17">
      <c r="P2085" s="12" t="s">
        <v>866</v>
      </c>
      <c r="Q2085" s="12">
        <v>39271693</v>
      </c>
    </row>
    <row r="2086" spans="16:17">
      <c r="P2086" s="12" t="s">
        <v>2219</v>
      </c>
      <c r="Q2086" s="12">
        <v>39271693</v>
      </c>
    </row>
    <row r="2087" spans="16:17">
      <c r="P2087" s="12" t="s">
        <v>2220</v>
      </c>
      <c r="Q2087" s="12">
        <v>32623</v>
      </c>
    </row>
    <row r="2088" spans="16:17">
      <c r="P2088" t="s">
        <v>2221</v>
      </c>
      <c r="Q2088">
        <v>38862287</v>
      </c>
    </row>
    <row r="2089" spans="16:17">
      <c r="P2089" s="12" t="s">
        <v>2222</v>
      </c>
      <c r="Q2089" s="12">
        <v>18877428</v>
      </c>
    </row>
    <row r="2090" spans="16:17">
      <c r="P2090" s="12" t="s">
        <v>2223</v>
      </c>
      <c r="Q2090" s="12">
        <v>12909</v>
      </c>
    </row>
    <row r="2091" spans="16:17">
      <c r="P2091" s="12" t="s">
        <v>2224</v>
      </c>
      <c r="Q2091" s="12">
        <v>12909</v>
      </c>
    </row>
    <row r="2092" spans="16:17">
      <c r="P2092" t="s">
        <v>2225</v>
      </c>
      <c r="Q2092">
        <v>38862287</v>
      </c>
    </row>
    <row r="2093" spans="16:17">
      <c r="P2093" t="s">
        <v>2226</v>
      </c>
      <c r="Q2093">
        <v>38862287</v>
      </c>
    </row>
    <row r="2094" spans="16:17">
      <c r="P2094" t="s">
        <v>2227</v>
      </c>
      <c r="Q2094">
        <v>38862287</v>
      </c>
    </row>
    <row r="2095" spans="16:17">
      <c r="P2095" t="s">
        <v>2228</v>
      </c>
      <c r="Q2095">
        <v>38862287</v>
      </c>
    </row>
    <row r="2096" spans="16:17">
      <c r="P2096" s="12" t="s">
        <v>868</v>
      </c>
      <c r="Q2096" s="12">
        <v>18877428</v>
      </c>
    </row>
    <row r="2097" spans="16:17">
      <c r="P2097" s="12" t="s">
        <v>869</v>
      </c>
      <c r="Q2097" s="12">
        <v>12909</v>
      </c>
    </row>
    <row r="2098" spans="16:17">
      <c r="P2098" s="12" t="s">
        <v>2229</v>
      </c>
      <c r="Q2098" s="12">
        <v>12909</v>
      </c>
    </row>
    <row r="2099" spans="16:17">
      <c r="P2099" s="12" t="s">
        <v>2230</v>
      </c>
      <c r="Q2099" s="12">
        <v>12909</v>
      </c>
    </row>
    <row r="2100" spans="16:17">
      <c r="P2100" s="12" t="s">
        <v>2231</v>
      </c>
      <c r="Q2100" s="12">
        <v>12886</v>
      </c>
    </row>
    <row r="2101" spans="16:17">
      <c r="P2101" s="12" t="s">
        <v>2232</v>
      </c>
      <c r="Q2101" s="12">
        <v>44318354</v>
      </c>
    </row>
    <row r="2102" spans="16:17">
      <c r="P2102" s="12" t="s">
        <v>2233</v>
      </c>
      <c r="Q2102" s="12">
        <v>41437710</v>
      </c>
    </row>
    <row r="2103" spans="16:17">
      <c r="P2103" s="12" t="s">
        <v>870</v>
      </c>
      <c r="Q2103" s="12">
        <v>41437710</v>
      </c>
    </row>
    <row r="2104" spans="16:17">
      <c r="P2104" s="12" t="s">
        <v>2234</v>
      </c>
      <c r="Q2104" s="12">
        <v>39208627</v>
      </c>
    </row>
    <row r="2105" spans="16:17">
      <c r="P2105" s="12" t="s">
        <v>872</v>
      </c>
      <c r="Q2105" s="12">
        <v>12882</v>
      </c>
    </row>
    <row r="2106" spans="16:17">
      <c r="P2106" t="s">
        <v>2235</v>
      </c>
      <c r="Q2106" s="12">
        <v>12882</v>
      </c>
    </row>
    <row r="2107" spans="16:17">
      <c r="P2107" t="s">
        <v>2236</v>
      </c>
      <c r="Q2107">
        <v>37341342</v>
      </c>
    </row>
    <row r="2108" spans="16:17">
      <c r="P2108" s="12" t="s">
        <v>2237</v>
      </c>
      <c r="Q2108" s="12">
        <v>29382472</v>
      </c>
    </row>
    <row r="2109" spans="16:17">
      <c r="P2109" t="s">
        <v>2238</v>
      </c>
      <c r="Q2109">
        <v>37341342</v>
      </c>
    </row>
    <row r="2110" spans="16:17">
      <c r="P2110" t="s">
        <v>2239</v>
      </c>
      <c r="Q2110">
        <v>37341342</v>
      </c>
    </row>
    <row r="2111" spans="16:17">
      <c r="P2111" s="12" t="s">
        <v>2240</v>
      </c>
      <c r="Q2111" s="12">
        <v>29382472</v>
      </c>
    </row>
    <row r="2112" spans="16:17">
      <c r="P2112" s="12" t="s">
        <v>2241</v>
      </c>
      <c r="Q2112" s="12">
        <v>29382472</v>
      </c>
    </row>
    <row r="2113" spans="16:17">
      <c r="P2113" t="s">
        <v>2242</v>
      </c>
      <c r="Q2113" s="12">
        <v>29382472</v>
      </c>
    </row>
    <row r="2114" spans="16:17">
      <c r="P2114" t="s">
        <v>2243</v>
      </c>
      <c r="Q2114" s="12">
        <v>29382472</v>
      </c>
    </row>
    <row r="2115" spans="16:17">
      <c r="P2115" t="s">
        <v>2244</v>
      </c>
      <c r="Q2115" s="12">
        <v>36895794</v>
      </c>
    </row>
    <row r="2116" spans="16:17">
      <c r="P2116" s="12" t="s">
        <v>2245</v>
      </c>
      <c r="Q2116" s="12">
        <v>36895794</v>
      </c>
    </row>
    <row r="2117" spans="16:17">
      <c r="P2117" s="12" t="s">
        <v>874</v>
      </c>
      <c r="Q2117" s="12">
        <v>39874176</v>
      </c>
    </row>
    <row r="2118" spans="16:17">
      <c r="P2118" t="s">
        <v>2246</v>
      </c>
      <c r="Q2118" s="12">
        <v>38167064</v>
      </c>
    </row>
    <row r="2119" spans="16:17">
      <c r="P2119" t="s">
        <v>2247</v>
      </c>
      <c r="Q2119">
        <v>45012070</v>
      </c>
    </row>
    <row r="2120" spans="16:17">
      <c r="P2120" s="12" t="s">
        <v>2248</v>
      </c>
      <c r="Q2120" s="12">
        <v>45012070</v>
      </c>
    </row>
    <row r="2121" spans="16:17">
      <c r="P2121" s="12" t="s">
        <v>876</v>
      </c>
      <c r="Q2121" s="12">
        <v>45012070</v>
      </c>
    </row>
    <row r="2122" spans="16:17">
      <c r="P2122" s="12" t="s">
        <v>2249</v>
      </c>
      <c r="Q2122" s="12">
        <v>45012070</v>
      </c>
    </row>
    <row r="2123" spans="16:17">
      <c r="P2123" s="12" t="s">
        <v>2250</v>
      </c>
      <c r="Q2123" s="12">
        <v>41571700</v>
      </c>
    </row>
    <row r="2124" spans="16:17">
      <c r="P2124" s="12" t="s">
        <v>877</v>
      </c>
      <c r="Q2124" s="12">
        <v>12483</v>
      </c>
    </row>
    <row r="2125" spans="16:17">
      <c r="P2125" s="12" t="s">
        <v>2251</v>
      </c>
      <c r="Q2125" s="12">
        <v>34409</v>
      </c>
    </row>
    <row r="2126" spans="16:17">
      <c r="P2126" t="s">
        <v>2252</v>
      </c>
      <c r="Q2126" s="12">
        <v>34409</v>
      </c>
    </row>
    <row r="2127" spans="16:17">
      <c r="P2127" s="12" t="s">
        <v>2253</v>
      </c>
      <c r="Q2127" s="12">
        <v>34409</v>
      </c>
    </row>
    <row r="2128" spans="16:17">
      <c r="P2128" s="12" t="s">
        <v>2254</v>
      </c>
      <c r="Q2128" s="12">
        <v>31813888</v>
      </c>
    </row>
    <row r="2129" spans="16:17">
      <c r="P2129" s="12" t="s">
        <v>879</v>
      </c>
      <c r="Q2129" s="12">
        <v>41548408</v>
      </c>
    </row>
    <row r="2130" spans="16:17">
      <c r="P2130" s="12" t="s">
        <v>2606</v>
      </c>
      <c r="Q2130" s="12">
        <v>41548408</v>
      </c>
    </row>
    <row r="2131" spans="16:17">
      <c r="P2131" s="12" t="s">
        <v>2607</v>
      </c>
      <c r="Q2131" s="12">
        <v>29635735</v>
      </c>
    </row>
    <row r="2132" spans="16:17">
      <c r="P2132" s="12" t="s">
        <v>880</v>
      </c>
      <c r="Q2132" s="12">
        <v>29635735</v>
      </c>
    </row>
    <row r="2133" spans="16:17">
      <c r="P2133" s="12" t="s">
        <v>2255</v>
      </c>
      <c r="Q2133" s="12">
        <v>44698457</v>
      </c>
    </row>
    <row r="2134" spans="16:17">
      <c r="P2134" t="s">
        <v>2470</v>
      </c>
      <c r="Q2134" s="12">
        <v>45286302</v>
      </c>
    </row>
    <row r="2135" spans="16:17">
      <c r="P2135" s="12" t="s">
        <v>882</v>
      </c>
      <c r="Q2135" s="12">
        <v>45286302</v>
      </c>
    </row>
    <row r="2136" spans="16:17">
      <c r="P2136" s="12" t="s">
        <v>2256</v>
      </c>
      <c r="Q2136" s="12">
        <v>39035680</v>
      </c>
    </row>
    <row r="2137" spans="16:17">
      <c r="P2137" s="12" t="s">
        <v>2257</v>
      </c>
      <c r="Q2137" s="12">
        <v>95728568</v>
      </c>
    </row>
    <row r="2138" spans="16:17">
      <c r="P2138" s="12" t="s">
        <v>2258</v>
      </c>
      <c r="Q2138" s="12">
        <v>95728568</v>
      </c>
    </row>
    <row r="2139" spans="16:17">
      <c r="P2139" s="12" t="s">
        <v>2608</v>
      </c>
      <c r="Q2139" s="12">
        <v>95728568</v>
      </c>
    </row>
    <row r="2140" spans="16:17">
      <c r="P2140" s="12" t="s">
        <v>884</v>
      </c>
      <c r="Q2140" s="12">
        <v>95728568</v>
      </c>
    </row>
    <row r="2141" spans="16:17">
      <c r="P2141" s="12" t="s">
        <v>2259</v>
      </c>
      <c r="Q2141" s="12">
        <v>95728568</v>
      </c>
    </row>
    <row r="2142" spans="16:17">
      <c r="P2142" s="12" t="s">
        <v>2260</v>
      </c>
      <c r="Q2142" s="12">
        <v>12896</v>
      </c>
    </row>
    <row r="2143" spans="16:17">
      <c r="P2143" s="12" t="s">
        <v>886</v>
      </c>
      <c r="Q2143" s="12">
        <v>12896</v>
      </c>
    </row>
    <row r="2144" spans="16:17">
      <c r="P2144" s="12" t="s">
        <v>2261</v>
      </c>
      <c r="Q2144" s="12">
        <v>39641986</v>
      </c>
    </row>
    <row r="2145" spans="16:17">
      <c r="P2145" s="12" t="s">
        <v>887</v>
      </c>
      <c r="Q2145" s="12">
        <v>39641986</v>
      </c>
    </row>
    <row r="2146" spans="16:17">
      <c r="P2146" s="12" t="s">
        <v>2262</v>
      </c>
      <c r="Q2146" s="12">
        <v>12624</v>
      </c>
    </row>
    <row r="2147" spans="16:17">
      <c r="P2147" s="12" t="s">
        <v>2263</v>
      </c>
      <c r="Q2147" s="12">
        <v>33850293</v>
      </c>
    </row>
    <row r="2148" spans="16:17">
      <c r="P2148" s="12" t="s">
        <v>2264</v>
      </c>
      <c r="Q2148" s="12">
        <v>45926785</v>
      </c>
    </row>
    <row r="2149" spans="16:17">
      <c r="P2149" s="12" t="s">
        <v>889</v>
      </c>
      <c r="Q2149" s="12">
        <v>42364427</v>
      </c>
    </row>
    <row r="2150" spans="16:17">
      <c r="P2150" s="12" t="s">
        <v>2265</v>
      </c>
      <c r="Q2150" s="12">
        <v>42364427</v>
      </c>
    </row>
    <row r="2151" spans="16:17">
      <c r="P2151" s="12" t="s">
        <v>2266</v>
      </c>
      <c r="Q2151" s="12">
        <v>46438246</v>
      </c>
    </row>
    <row r="2152" spans="16:17">
      <c r="P2152" t="s">
        <v>2267</v>
      </c>
      <c r="Q2152">
        <v>29157382</v>
      </c>
    </row>
    <row r="2153" spans="16:17">
      <c r="P2153" t="s">
        <v>2268</v>
      </c>
      <c r="Q2153">
        <v>29157382</v>
      </c>
    </row>
    <row r="2154" spans="16:17">
      <c r="P2154" t="s">
        <v>2269</v>
      </c>
      <c r="Q2154" s="12">
        <v>46438246</v>
      </c>
    </row>
    <row r="2155" spans="16:17">
      <c r="P2155" s="12" t="s">
        <v>2270</v>
      </c>
      <c r="Q2155" s="12">
        <v>46438246</v>
      </c>
    </row>
    <row r="2156" spans="16:17">
      <c r="P2156" s="12" t="s">
        <v>2271</v>
      </c>
      <c r="Q2156" s="12">
        <v>46438246</v>
      </c>
    </row>
    <row r="2157" spans="16:17">
      <c r="P2157" s="12" t="s">
        <v>2272</v>
      </c>
      <c r="Q2157" s="12">
        <v>46438246</v>
      </c>
    </row>
    <row r="2158" spans="16:17">
      <c r="P2158" s="12" t="s">
        <v>2273</v>
      </c>
      <c r="Q2158" s="12">
        <v>40734360</v>
      </c>
    </row>
    <row r="2159" spans="16:17">
      <c r="P2159" s="12" t="s">
        <v>2274</v>
      </c>
      <c r="Q2159" s="12">
        <v>40734360</v>
      </c>
    </row>
    <row r="2160" spans="16:17">
      <c r="P2160" s="12" t="s">
        <v>2275</v>
      </c>
      <c r="Q2160" s="12">
        <v>92392136</v>
      </c>
    </row>
    <row r="2161" spans="16:17">
      <c r="P2161" s="12" t="s">
        <v>891</v>
      </c>
      <c r="Q2161" s="12">
        <v>41898391</v>
      </c>
    </row>
    <row r="2162" spans="16:17">
      <c r="P2162" s="12" t="s">
        <v>2276</v>
      </c>
      <c r="Q2162" s="12">
        <v>41898391</v>
      </c>
    </row>
    <row r="2163" spans="16:17">
      <c r="P2163" s="12" t="s">
        <v>2277</v>
      </c>
      <c r="Q2163" s="12">
        <v>12854</v>
      </c>
    </row>
    <row r="2164" spans="16:17">
      <c r="P2164" s="12" t="s">
        <v>2278</v>
      </c>
      <c r="Q2164" s="12">
        <v>39406154</v>
      </c>
    </row>
    <row r="2165" spans="16:17">
      <c r="P2165" s="12" t="s">
        <v>892</v>
      </c>
      <c r="Q2165" s="12">
        <v>39406154</v>
      </c>
    </row>
    <row r="2166" spans="16:17">
      <c r="P2166" s="12" t="s">
        <v>2279</v>
      </c>
      <c r="Q2166" s="12">
        <v>39406154</v>
      </c>
    </row>
    <row r="2167" spans="16:17">
      <c r="P2167" s="12" t="s">
        <v>2280</v>
      </c>
      <c r="Q2167" s="12">
        <v>39406154</v>
      </c>
    </row>
    <row r="2168" spans="16:17">
      <c r="P2168" s="12" t="s">
        <v>2281</v>
      </c>
      <c r="Q2168" s="12">
        <v>36763540</v>
      </c>
    </row>
    <row r="2169" spans="16:17">
      <c r="P2169" s="12" t="s">
        <v>894</v>
      </c>
      <c r="Q2169" s="12">
        <v>36763540</v>
      </c>
    </row>
    <row r="2170" spans="16:17">
      <c r="P2170" s="12" t="s">
        <v>2609</v>
      </c>
      <c r="Q2170" s="12">
        <v>36763540</v>
      </c>
    </row>
    <row r="2171" spans="16:17">
      <c r="P2171" s="12" t="s">
        <v>2282</v>
      </c>
      <c r="Q2171" s="12">
        <v>36763540</v>
      </c>
    </row>
    <row r="2172" spans="16:17">
      <c r="P2172" s="12" t="s">
        <v>2283</v>
      </c>
      <c r="Q2172" s="12">
        <v>45924948</v>
      </c>
    </row>
    <row r="2173" spans="16:17">
      <c r="P2173" t="s">
        <v>2284</v>
      </c>
      <c r="Q2173" s="12">
        <v>96200093</v>
      </c>
    </row>
    <row r="2174" spans="16:17">
      <c r="P2174" s="12" t="s">
        <v>2285</v>
      </c>
      <c r="Q2174" s="12">
        <v>96200093</v>
      </c>
    </row>
    <row r="2175" spans="16:17">
      <c r="P2175" t="s">
        <v>2286</v>
      </c>
      <c r="Q2175" s="12">
        <v>96200093</v>
      </c>
    </row>
    <row r="2176" spans="16:17">
      <c r="P2176" s="12" t="s">
        <v>2287</v>
      </c>
      <c r="Q2176" s="12">
        <v>96200093</v>
      </c>
    </row>
    <row r="2177" spans="16:17">
      <c r="P2177" t="s">
        <v>2288</v>
      </c>
      <c r="Q2177" s="12">
        <v>96200093</v>
      </c>
    </row>
    <row r="2178" spans="16:17">
      <c r="P2178" s="12" t="s">
        <v>2289</v>
      </c>
      <c r="Q2178" s="12">
        <v>43987705</v>
      </c>
    </row>
    <row r="2179" spans="16:17">
      <c r="P2179" s="12" t="s">
        <v>2290</v>
      </c>
      <c r="Q2179" s="12">
        <v>21498562</v>
      </c>
    </row>
    <row r="2180" spans="16:17">
      <c r="P2180" s="12" t="s">
        <v>2291</v>
      </c>
      <c r="Q2180" s="12">
        <v>28612204</v>
      </c>
    </row>
    <row r="2181" spans="16:17">
      <c r="P2181" t="s">
        <v>2292</v>
      </c>
      <c r="Q2181">
        <v>47202075</v>
      </c>
    </row>
    <row r="2182" spans="16:17">
      <c r="P2182" t="s">
        <v>2293</v>
      </c>
      <c r="Q2182">
        <v>46421021</v>
      </c>
    </row>
    <row r="2183" spans="16:17">
      <c r="P2183" s="12" t="s">
        <v>2294</v>
      </c>
      <c r="Q2183" s="12">
        <v>12149</v>
      </c>
    </row>
    <row r="2184" spans="16:17">
      <c r="P2184" t="s">
        <v>2295</v>
      </c>
      <c r="Q2184">
        <v>40127613</v>
      </c>
    </row>
    <row r="2185" spans="16:17">
      <c r="P2185" t="s">
        <v>2503</v>
      </c>
      <c r="Q2185">
        <v>40127613</v>
      </c>
    </row>
    <row r="2186" spans="16:17">
      <c r="P2186" s="12" t="s">
        <v>2296</v>
      </c>
      <c r="Q2186" s="12">
        <v>30211897</v>
      </c>
    </row>
    <row r="2187" spans="16:17">
      <c r="P2187" s="12" t="s">
        <v>896</v>
      </c>
      <c r="Q2187" s="12">
        <v>41837088</v>
      </c>
    </row>
    <row r="2188" spans="16:17">
      <c r="P2188" s="12" t="s">
        <v>2297</v>
      </c>
      <c r="Q2188" s="12">
        <v>30825</v>
      </c>
    </row>
    <row r="2189" spans="16:17">
      <c r="P2189" s="12" t="s">
        <v>2298</v>
      </c>
      <c r="Q2189" s="12">
        <v>12667</v>
      </c>
    </row>
    <row r="2190" spans="16:17">
      <c r="P2190" s="12" t="s">
        <v>898</v>
      </c>
      <c r="Q2190" s="12">
        <v>12667</v>
      </c>
    </row>
    <row r="2191" spans="16:17">
      <c r="P2191" s="12" t="s">
        <v>2299</v>
      </c>
      <c r="Q2191" s="12">
        <v>12910</v>
      </c>
    </row>
    <row r="2192" spans="16:17">
      <c r="P2192" s="12" t="s">
        <v>2300</v>
      </c>
      <c r="Q2192" s="12">
        <v>12856</v>
      </c>
    </row>
    <row r="2193" spans="16:17">
      <c r="P2193" s="12" t="s">
        <v>899</v>
      </c>
      <c r="Q2193" s="12">
        <v>12856</v>
      </c>
    </row>
    <row r="2194" spans="16:17">
      <c r="P2194" s="12" t="s">
        <v>901</v>
      </c>
      <c r="Q2194" s="12">
        <v>13499</v>
      </c>
    </row>
    <row r="2195" spans="16:17">
      <c r="P2195" s="12" t="s">
        <v>2301</v>
      </c>
      <c r="Q2195" s="12">
        <v>13499</v>
      </c>
    </row>
    <row r="2196" spans="16:17">
      <c r="P2196" s="12" t="s">
        <v>2302</v>
      </c>
      <c r="Q2196" s="12">
        <v>37009508</v>
      </c>
    </row>
    <row r="2197" spans="16:17">
      <c r="P2197" t="s">
        <v>2303</v>
      </c>
      <c r="Q2197">
        <v>39761723</v>
      </c>
    </row>
    <row r="2198" spans="16:17">
      <c r="P2198" t="s">
        <v>2304</v>
      </c>
      <c r="Q2198">
        <v>39761723</v>
      </c>
    </row>
    <row r="2199" spans="16:17">
      <c r="P2199" s="12" t="s">
        <v>2305</v>
      </c>
      <c r="Q2199" s="12">
        <v>47113903</v>
      </c>
    </row>
    <row r="2200" spans="16:17">
      <c r="P2200" s="12" t="s">
        <v>2306</v>
      </c>
      <c r="Q2200" s="12">
        <v>47113903</v>
      </c>
    </row>
    <row r="2201" spans="16:17">
      <c r="P2201" t="s">
        <v>2307</v>
      </c>
      <c r="Q2201">
        <v>46703748</v>
      </c>
    </row>
    <row r="2202" spans="16:17">
      <c r="P2202" t="s">
        <v>2308</v>
      </c>
      <c r="Q2202">
        <v>46703748</v>
      </c>
    </row>
    <row r="2203" spans="16:17">
      <c r="P2203" t="s">
        <v>2309</v>
      </c>
      <c r="Q2203">
        <v>46703748</v>
      </c>
    </row>
    <row r="2204" spans="16:17">
      <c r="P2204" t="s">
        <v>2310</v>
      </c>
      <c r="Q2204">
        <v>46703748</v>
      </c>
    </row>
    <row r="2205" spans="16:17">
      <c r="P2205" s="12" t="s">
        <v>2311</v>
      </c>
      <c r="Q2205" s="12">
        <v>95840662</v>
      </c>
    </row>
    <row r="2206" spans="16:17">
      <c r="P2206" t="s">
        <v>2312</v>
      </c>
      <c r="Q2206" s="12">
        <v>38404516</v>
      </c>
    </row>
    <row r="2207" spans="16:17">
      <c r="P2207" s="12" t="s">
        <v>2313</v>
      </c>
      <c r="Q2207" s="12">
        <v>38404516</v>
      </c>
    </row>
    <row r="2208" spans="16:17">
      <c r="P2208" t="s">
        <v>2314</v>
      </c>
      <c r="Q2208" s="12">
        <v>38404516</v>
      </c>
    </row>
    <row r="2209" spans="16:17">
      <c r="P2209" s="12" t="s">
        <v>2315</v>
      </c>
      <c r="Q2209" s="12">
        <v>38404516</v>
      </c>
    </row>
    <row r="2210" spans="16:17">
      <c r="P2210" t="s">
        <v>2316</v>
      </c>
      <c r="Q2210" s="12">
        <v>38404516</v>
      </c>
    </row>
    <row r="2211" spans="16:17">
      <c r="P2211" s="12" t="s">
        <v>2317</v>
      </c>
      <c r="Q2211" s="12">
        <v>43721131</v>
      </c>
    </row>
    <row r="2212" spans="16:17">
      <c r="P2212" s="12" t="s">
        <v>905</v>
      </c>
      <c r="Q2212" s="12">
        <v>43721131</v>
      </c>
    </row>
    <row r="2213" spans="16:17">
      <c r="P2213" s="12" t="s">
        <v>2318</v>
      </c>
      <c r="Q2213" s="12">
        <v>38404516</v>
      </c>
    </row>
    <row r="2214" spans="16:17">
      <c r="P2214" s="12" t="s">
        <v>2319</v>
      </c>
      <c r="Q2214" s="12">
        <v>13456</v>
      </c>
    </row>
    <row r="2215" spans="16:17">
      <c r="P2215" t="s">
        <v>2320</v>
      </c>
      <c r="Q2215" s="12">
        <v>31821827</v>
      </c>
    </row>
    <row r="2216" spans="16:17">
      <c r="P2216" t="s">
        <v>2321</v>
      </c>
      <c r="Q2216" s="12">
        <v>31821827</v>
      </c>
    </row>
    <row r="2217" spans="16:17">
      <c r="P2217" s="12" t="s">
        <v>2322</v>
      </c>
      <c r="Q2217" s="12">
        <v>31821827</v>
      </c>
    </row>
    <row r="2218" spans="16:17">
      <c r="P2218" t="s">
        <v>2323</v>
      </c>
      <c r="Q2218" s="12">
        <v>31821827</v>
      </c>
    </row>
    <row r="2219" spans="16:17">
      <c r="P2219" s="12" t="s">
        <v>2324</v>
      </c>
      <c r="Q2219" s="12">
        <v>31821827</v>
      </c>
    </row>
    <row r="2220" spans="16:17">
      <c r="P2220" s="12" t="s">
        <v>907</v>
      </c>
      <c r="Q2220" s="12">
        <v>31821827</v>
      </c>
    </row>
    <row r="2221" spans="16:17">
      <c r="P2221" s="12" t="s">
        <v>2325</v>
      </c>
      <c r="Q2221" s="12">
        <v>40130611</v>
      </c>
    </row>
    <row r="2222" spans="16:17">
      <c r="P2222" s="12" t="s">
        <v>2326</v>
      </c>
      <c r="Q2222" s="12">
        <v>38674710</v>
      </c>
    </row>
    <row r="2223" spans="16:17">
      <c r="P2223" s="12" t="s">
        <v>909</v>
      </c>
      <c r="Q2223" s="12">
        <v>40397132</v>
      </c>
    </row>
    <row r="2224" spans="16:17">
      <c r="P2224" s="12" t="s">
        <v>910</v>
      </c>
      <c r="Q2224" s="12">
        <v>42246662</v>
      </c>
    </row>
    <row r="2225" spans="16:17">
      <c r="P2225" s="12" t="s">
        <v>2327</v>
      </c>
      <c r="Q2225" s="12">
        <v>42246662</v>
      </c>
    </row>
    <row r="2226" spans="16:17">
      <c r="P2226" s="12" t="s">
        <v>2328</v>
      </c>
      <c r="Q2226" s="12">
        <v>11683</v>
      </c>
    </row>
    <row r="2227" spans="16:17">
      <c r="P2227" s="12" t="s">
        <v>2329</v>
      </c>
      <c r="Q2227" s="12">
        <v>11683</v>
      </c>
    </row>
    <row r="2228" spans="16:17">
      <c r="P2228" s="12" t="s">
        <v>912</v>
      </c>
      <c r="Q2228" s="12">
        <v>11683</v>
      </c>
    </row>
    <row r="2229" spans="16:17">
      <c r="P2229" s="12" t="s">
        <v>2330</v>
      </c>
      <c r="Q2229" s="12">
        <v>30463210</v>
      </c>
    </row>
    <row r="2230" spans="16:17">
      <c r="P2230" t="s">
        <v>2331</v>
      </c>
      <c r="Q2230">
        <v>46749945</v>
      </c>
    </row>
    <row r="2231" spans="16:17">
      <c r="P2231" t="s">
        <v>2332</v>
      </c>
      <c r="Q2231">
        <v>46749945</v>
      </c>
    </row>
    <row r="2232" spans="16:17">
      <c r="P2232" t="s">
        <v>2333</v>
      </c>
      <c r="Q2232">
        <v>46749945</v>
      </c>
    </row>
    <row r="2233" spans="16:17">
      <c r="P2233" t="s">
        <v>2334</v>
      </c>
      <c r="Q2233">
        <v>46749945</v>
      </c>
    </row>
    <row r="2234" spans="16:17">
      <c r="P2234" s="12" t="s">
        <v>2335</v>
      </c>
      <c r="Q2234" s="12">
        <v>45416022</v>
      </c>
    </row>
    <row r="2235" spans="16:17">
      <c r="P2235" s="12" t="s">
        <v>2336</v>
      </c>
      <c r="Q2235" s="12">
        <v>13570</v>
      </c>
    </row>
    <row r="2236" spans="16:17">
      <c r="P2236" s="12" t="s">
        <v>914</v>
      </c>
      <c r="Q2236" s="12">
        <v>13570</v>
      </c>
    </row>
    <row r="2237" spans="16:17">
      <c r="P2237" s="12" t="s">
        <v>2337</v>
      </c>
      <c r="Q2237" s="12">
        <v>13570</v>
      </c>
    </row>
    <row r="2238" spans="16:17">
      <c r="P2238" t="s">
        <v>2338</v>
      </c>
      <c r="Q2238">
        <v>35761085</v>
      </c>
    </row>
    <row r="2239" spans="16:17">
      <c r="P2239" t="s">
        <v>2339</v>
      </c>
      <c r="Q2239">
        <v>35761085</v>
      </c>
    </row>
    <row r="2240" spans="16:17">
      <c r="P2240" s="12" t="s">
        <v>2340</v>
      </c>
      <c r="Q2240" s="12">
        <v>31651283</v>
      </c>
    </row>
    <row r="2241" spans="16:17">
      <c r="P2241" s="12" t="s">
        <v>916</v>
      </c>
      <c r="Q2241" s="12">
        <v>31651283</v>
      </c>
    </row>
    <row r="2242" spans="16:17">
      <c r="P2242" t="s">
        <v>2485</v>
      </c>
      <c r="Q2242" s="12">
        <v>45356816</v>
      </c>
    </row>
    <row r="2243" spans="16:17">
      <c r="P2243" s="12" t="s">
        <v>2341</v>
      </c>
      <c r="Q2243" s="12">
        <v>20606477</v>
      </c>
    </row>
    <row r="2244" spans="16:17">
      <c r="P2244" t="s">
        <v>2342</v>
      </c>
      <c r="Q2244">
        <v>45623522</v>
      </c>
    </row>
    <row r="2245" spans="16:17">
      <c r="P2245" t="s">
        <v>2343</v>
      </c>
      <c r="Q2245">
        <v>45623522</v>
      </c>
    </row>
    <row r="2246" spans="16:17">
      <c r="P2246" t="s">
        <v>2344</v>
      </c>
      <c r="Q2246">
        <v>45623522</v>
      </c>
    </row>
    <row r="2247" spans="16:17">
      <c r="P2247" s="12" t="s">
        <v>2345</v>
      </c>
      <c r="Q2247" s="12">
        <v>43781680</v>
      </c>
    </row>
    <row r="2248" spans="16:17">
      <c r="P2248" s="12" t="s">
        <v>918</v>
      </c>
      <c r="Q2248" s="12">
        <v>43781680</v>
      </c>
    </row>
    <row r="2249" spans="16:17">
      <c r="P2249" s="12" t="s">
        <v>2346</v>
      </c>
      <c r="Q2249" s="12">
        <v>43781680</v>
      </c>
    </row>
    <row r="2250" spans="16:17">
      <c r="P2250" s="12" t="s">
        <v>2347</v>
      </c>
      <c r="Q2250" s="12">
        <v>45924948</v>
      </c>
    </row>
    <row r="2251" spans="16:17">
      <c r="P2251" s="12" t="s">
        <v>2610</v>
      </c>
      <c r="Q2251" s="12">
        <v>35419741</v>
      </c>
    </row>
    <row r="2252" spans="16:17">
      <c r="P2252" s="12" t="s">
        <v>2348</v>
      </c>
      <c r="Q2252" s="12">
        <v>35419741</v>
      </c>
    </row>
    <row r="2253" spans="16:17">
      <c r="P2253" s="12" t="s">
        <v>2349</v>
      </c>
      <c r="Q2253" s="12">
        <v>35419741</v>
      </c>
    </row>
    <row r="2254" spans="16:17">
      <c r="P2254" s="12" t="s">
        <v>2350</v>
      </c>
      <c r="Q2254" s="12" t="s">
        <v>514</v>
      </c>
    </row>
    <row r="2255" spans="16:17">
      <c r="P2255" s="12" t="s">
        <v>920</v>
      </c>
      <c r="Q2255" s="12">
        <v>42368343</v>
      </c>
    </row>
    <row r="2256" spans="16:17">
      <c r="P2256" s="12" t="s">
        <v>2351</v>
      </c>
      <c r="Q2256" s="12">
        <v>41469251</v>
      </c>
    </row>
    <row r="2257" spans="16:17">
      <c r="P2257" s="12" t="s">
        <v>2352</v>
      </c>
      <c r="Q2257" s="12">
        <v>41028531</v>
      </c>
    </row>
    <row r="2258" spans="16:17">
      <c r="P2258" s="12" t="s">
        <v>2353</v>
      </c>
      <c r="Q2258" s="12">
        <v>41137015</v>
      </c>
    </row>
    <row r="2259" spans="16:17">
      <c r="P2259" s="12" t="s">
        <v>2354</v>
      </c>
      <c r="Q2259" s="12">
        <v>41137015</v>
      </c>
    </row>
    <row r="2260" spans="16:17">
      <c r="P2260" s="12" t="s">
        <v>922</v>
      </c>
      <c r="Q2260" s="12">
        <v>41137015</v>
      </c>
    </row>
    <row r="2261" spans="16:17">
      <c r="P2261" t="s">
        <v>2355</v>
      </c>
      <c r="Q2261">
        <v>45324330</v>
      </c>
    </row>
    <row r="2262" spans="16:17">
      <c r="P2262" t="s">
        <v>2356</v>
      </c>
      <c r="Q2262">
        <v>45324330</v>
      </c>
    </row>
    <row r="2263" spans="16:17">
      <c r="P2263" s="12" t="s">
        <v>2357</v>
      </c>
      <c r="Q2263" s="12">
        <v>44491444</v>
      </c>
    </row>
    <row r="2264" spans="16:17">
      <c r="P2264" s="12" t="s">
        <v>2358</v>
      </c>
      <c r="Q2264" s="12">
        <v>44491444</v>
      </c>
    </row>
    <row r="2265" spans="16:17">
      <c r="P2265" s="12" t="s">
        <v>2611</v>
      </c>
      <c r="Q2265" s="12">
        <v>44491444</v>
      </c>
    </row>
    <row r="2266" spans="16:17">
      <c r="P2266" s="12" t="s">
        <v>924</v>
      </c>
      <c r="Q2266" s="12">
        <v>44491444</v>
      </c>
    </row>
    <row r="2267" spans="16:17">
      <c r="P2267" t="s">
        <v>2359</v>
      </c>
      <c r="Q2267">
        <v>43032360</v>
      </c>
    </row>
    <row r="2268" spans="16:17">
      <c r="P2268" t="s">
        <v>2360</v>
      </c>
      <c r="Q2268">
        <v>43032360</v>
      </c>
    </row>
    <row r="2269" spans="16:17">
      <c r="P2269" t="s">
        <v>2361</v>
      </c>
      <c r="Q2269">
        <v>43032360</v>
      </c>
    </row>
    <row r="2270" spans="16:17">
      <c r="P2270" t="s">
        <v>2362</v>
      </c>
      <c r="Q2270">
        <v>43032360</v>
      </c>
    </row>
    <row r="2271" spans="16:17">
      <c r="P2271" t="s">
        <v>2363</v>
      </c>
      <c r="Q2271">
        <v>43032360</v>
      </c>
    </row>
    <row r="2272" spans="16:17">
      <c r="P2272" s="12" t="s">
        <v>2364</v>
      </c>
      <c r="Q2272" s="12">
        <v>45924948</v>
      </c>
    </row>
    <row r="2273" spans="16:17">
      <c r="P2273" s="12" t="s">
        <v>2365</v>
      </c>
      <c r="Q2273" s="12">
        <v>45924948</v>
      </c>
    </row>
    <row r="2274" spans="16:17">
      <c r="P2274" s="12" t="s">
        <v>2366</v>
      </c>
      <c r="Q2274" s="12">
        <v>45924948</v>
      </c>
    </row>
    <row r="2275" spans="16:17">
      <c r="P2275" s="12" t="s">
        <v>2367</v>
      </c>
      <c r="Q2275" s="12">
        <v>37989460</v>
      </c>
    </row>
    <row r="2276" spans="16:17">
      <c r="P2276" s="12" t="s">
        <v>925</v>
      </c>
      <c r="Q2276" s="12">
        <v>37989460</v>
      </c>
    </row>
    <row r="2277" spans="16:17">
      <c r="P2277" s="12" t="s">
        <v>2368</v>
      </c>
      <c r="Q2277" s="12">
        <v>88337</v>
      </c>
    </row>
    <row r="2278" spans="16:17">
      <c r="P2278" s="12" t="s">
        <v>926</v>
      </c>
      <c r="Q2278" s="12">
        <v>88337</v>
      </c>
    </row>
    <row r="2279" spans="16:17">
      <c r="P2279" t="s">
        <v>2471</v>
      </c>
      <c r="Q2279" s="12">
        <v>46089146</v>
      </c>
    </row>
    <row r="2280" spans="16:17">
      <c r="P2280" t="s">
        <v>2472</v>
      </c>
      <c r="Q2280" s="12">
        <v>40835168</v>
      </c>
    </row>
    <row r="2281" spans="16:17">
      <c r="P2281" s="12" t="s">
        <v>928</v>
      </c>
      <c r="Q2281" s="12">
        <v>46089146</v>
      </c>
    </row>
    <row r="2282" spans="16:17">
      <c r="P2282" s="12" t="s">
        <v>930</v>
      </c>
      <c r="Q2282" s="12">
        <v>40835168</v>
      </c>
    </row>
    <row r="2283" spans="16:17">
      <c r="P2283" t="s">
        <v>2369</v>
      </c>
      <c r="Q2283">
        <v>38319746</v>
      </c>
    </row>
    <row r="2284" spans="16:17">
      <c r="P2284" t="s">
        <v>2370</v>
      </c>
      <c r="Q2284">
        <v>38319746</v>
      </c>
    </row>
    <row r="2285" spans="16:17">
      <c r="P2285" s="12" t="s">
        <v>2371</v>
      </c>
      <c r="Q2285" s="12">
        <v>42193349</v>
      </c>
    </row>
    <row r="2286" spans="16:17">
      <c r="P2286" s="12" t="s">
        <v>2372</v>
      </c>
      <c r="Q2286" s="12">
        <v>42193349</v>
      </c>
    </row>
    <row r="2287" spans="16:17">
      <c r="P2287" s="12" t="s">
        <v>931</v>
      </c>
      <c r="Q2287" s="12">
        <v>42193349</v>
      </c>
    </row>
    <row r="2288" spans="16:17">
      <c r="P2288" s="12" t="s">
        <v>2373</v>
      </c>
      <c r="Q2288" s="12">
        <v>42193349</v>
      </c>
    </row>
    <row r="2289" spans="16:17">
      <c r="P2289" t="s">
        <v>2473</v>
      </c>
      <c r="Q2289">
        <v>39352890</v>
      </c>
    </row>
    <row r="2290" spans="16:17">
      <c r="P2290" t="s">
        <v>2374</v>
      </c>
      <c r="Q2290">
        <v>39352890</v>
      </c>
    </row>
    <row r="2291" spans="16:17">
      <c r="P2291" t="s">
        <v>2375</v>
      </c>
      <c r="Q2291">
        <v>39352890</v>
      </c>
    </row>
    <row r="2292" spans="16:17">
      <c r="P2292" t="s">
        <v>2376</v>
      </c>
      <c r="Q2292">
        <v>39352890</v>
      </c>
    </row>
    <row r="2293" spans="16:17">
      <c r="P2293" t="s">
        <v>2377</v>
      </c>
      <c r="Q2293">
        <v>39352890</v>
      </c>
    </row>
    <row r="2294" spans="16:17">
      <c r="P2294" t="s">
        <v>2378</v>
      </c>
      <c r="Q2294">
        <v>39352890</v>
      </c>
    </row>
    <row r="2295" spans="16:17">
      <c r="P2295" t="s">
        <v>2379</v>
      </c>
      <c r="Q2295" s="12">
        <v>35092747</v>
      </c>
    </row>
    <row r="2296" spans="16:17">
      <c r="P2296" s="12" t="s">
        <v>933</v>
      </c>
      <c r="Q2296" s="12">
        <v>35092747</v>
      </c>
    </row>
    <row r="2297" spans="16:17">
      <c r="P2297" t="s">
        <v>2505</v>
      </c>
      <c r="Q2297" s="12">
        <v>35092747</v>
      </c>
    </row>
    <row r="2298" spans="16:17">
      <c r="P2298" s="12" t="s">
        <v>2380</v>
      </c>
      <c r="Q2298" s="12">
        <v>35092747</v>
      </c>
    </row>
    <row r="2299" spans="16:17">
      <c r="P2299" t="s">
        <v>2381</v>
      </c>
      <c r="Q2299">
        <v>25413482</v>
      </c>
    </row>
    <row r="2300" spans="16:17">
      <c r="P2300" t="s">
        <v>2382</v>
      </c>
      <c r="Q2300">
        <v>25413482</v>
      </c>
    </row>
    <row r="2301" spans="16:17">
      <c r="P2301" t="s">
        <v>2383</v>
      </c>
      <c r="Q2301">
        <v>25413482</v>
      </c>
    </row>
    <row r="2302" spans="16:17">
      <c r="P2302" s="12" t="s">
        <v>2384</v>
      </c>
      <c r="Q2302" s="12">
        <v>33689</v>
      </c>
    </row>
    <row r="2303" spans="16:17">
      <c r="P2303" s="12" t="s">
        <v>934</v>
      </c>
      <c r="Q2303" s="12">
        <v>33689</v>
      </c>
    </row>
    <row r="2304" spans="16:17">
      <c r="P2304" s="12" t="s">
        <v>2385</v>
      </c>
      <c r="Q2304" s="12">
        <v>41551914</v>
      </c>
    </row>
    <row r="2305" spans="16:17">
      <c r="P2305" s="12" t="s">
        <v>935</v>
      </c>
      <c r="Q2305" s="12">
        <v>41551914</v>
      </c>
    </row>
    <row r="2306" spans="16:17">
      <c r="P2306" t="s">
        <v>2386</v>
      </c>
      <c r="Q2306" s="12">
        <v>41551914</v>
      </c>
    </row>
    <row r="2307" spans="16:17">
      <c r="P2307" s="12" t="s">
        <v>2387</v>
      </c>
      <c r="Q2307" s="12">
        <v>41551914</v>
      </c>
    </row>
    <row r="2308" spans="16:17">
      <c r="P2308" s="12" t="s">
        <v>2388</v>
      </c>
      <c r="Q2308" s="12">
        <v>41551914</v>
      </c>
    </row>
    <row r="2309" spans="16:17">
      <c r="P2309" t="s">
        <v>2389</v>
      </c>
      <c r="Q2309">
        <v>19037244</v>
      </c>
    </row>
    <row r="2310" spans="16:17">
      <c r="P2310" t="s">
        <v>2390</v>
      </c>
      <c r="Q2310">
        <v>19037244</v>
      </c>
    </row>
    <row r="2311" spans="16:17">
      <c r="P2311" t="s">
        <v>2391</v>
      </c>
      <c r="Q2311">
        <v>19037244</v>
      </c>
    </row>
    <row r="2312" spans="16:17">
      <c r="P2312" s="12" t="s">
        <v>937</v>
      </c>
      <c r="Q2312" s="12">
        <v>37113734</v>
      </c>
    </row>
    <row r="2313" spans="16:17">
      <c r="P2313" s="12" t="s">
        <v>2392</v>
      </c>
      <c r="Q2313" s="12">
        <v>37113734</v>
      </c>
    </row>
    <row r="2314" spans="16:17">
      <c r="P2314" s="12" t="s">
        <v>2393</v>
      </c>
      <c r="Q2314" s="12">
        <v>36088173</v>
      </c>
    </row>
    <row r="2315" spans="16:17">
      <c r="P2315" s="12" t="s">
        <v>938</v>
      </c>
      <c r="Q2315" s="12">
        <v>36088173</v>
      </c>
    </row>
    <row r="2316" spans="16:17">
      <c r="P2316" s="12" t="s">
        <v>2394</v>
      </c>
      <c r="Q2316" s="12">
        <v>45524794</v>
      </c>
    </row>
    <row r="2317" spans="16:17">
      <c r="P2317" s="12" t="s">
        <v>2395</v>
      </c>
      <c r="Q2317" s="12">
        <v>45524794</v>
      </c>
    </row>
    <row r="2318" spans="16:17">
      <c r="P2318" s="12" t="s">
        <v>2396</v>
      </c>
      <c r="Q2318" s="12">
        <v>43718066</v>
      </c>
    </row>
    <row r="2319" spans="16:17">
      <c r="P2319" s="12" t="s">
        <v>2397</v>
      </c>
      <c r="Q2319" s="12">
        <v>43718066</v>
      </c>
    </row>
    <row r="2320" spans="16:17">
      <c r="P2320" s="12" t="s">
        <v>2612</v>
      </c>
      <c r="Q2320" s="12">
        <v>43718066</v>
      </c>
    </row>
    <row r="2321" spans="16:17">
      <c r="P2321" s="12" t="s">
        <v>940</v>
      </c>
      <c r="Q2321" s="12">
        <v>43718066</v>
      </c>
    </row>
    <row r="2322" spans="16:17">
      <c r="P2322" s="12" t="s">
        <v>2613</v>
      </c>
      <c r="Q2322" s="12">
        <v>43718066</v>
      </c>
    </row>
    <row r="2323" spans="16:17">
      <c r="P2323" t="s">
        <v>2398</v>
      </c>
      <c r="Q2323" s="12">
        <v>39625530</v>
      </c>
    </row>
    <row r="2324" spans="16:17">
      <c r="P2324" s="12" t="s">
        <v>2399</v>
      </c>
      <c r="Q2324" s="12">
        <v>13798</v>
      </c>
    </row>
    <row r="2325" spans="16:17">
      <c r="P2325" s="12" t="s">
        <v>942</v>
      </c>
      <c r="Q2325" s="12">
        <v>13798</v>
      </c>
    </row>
    <row r="2326" spans="16:17">
      <c r="P2326" t="s">
        <v>2400</v>
      </c>
      <c r="Q2326">
        <v>19037244</v>
      </c>
    </row>
    <row r="2327" spans="16:17">
      <c r="P2327" t="s">
        <v>2401</v>
      </c>
      <c r="Q2327" s="12">
        <v>13798</v>
      </c>
    </row>
    <row r="2328" spans="16:17">
      <c r="P2328" s="12" t="s">
        <v>2402</v>
      </c>
      <c r="Q2328" s="12">
        <v>42292757</v>
      </c>
    </row>
    <row r="2329" spans="16:17">
      <c r="P2329" s="12" t="s">
        <v>944</v>
      </c>
      <c r="Q2329" s="12">
        <v>42292757</v>
      </c>
    </row>
    <row r="2330" spans="16:17">
      <c r="P2330" s="12" t="s">
        <v>2403</v>
      </c>
      <c r="Q2330" s="12">
        <v>42118147</v>
      </c>
    </row>
    <row r="2331" spans="16:17">
      <c r="P2331" s="12" t="s">
        <v>2404</v>
      </c>
      <c r="Q2331" s="12">
        <v>42118147</v>
      </c>
    </row>
    <row r="2332" spans="16:17">
      <c r="P2332" s="12" t="s">
        <v>946</v>
      </c>
      <c r="Q2332" s="12">
        <v>42118147</v>
      </c>
    </row>
    <row r="2333" spans="16:17">
      <c r="P2333" s="12" t="s">
        <v>2405</v>
      </c>
      <c r="Q2333" s="12">
        <v>42118147</v>
      </c>
    </row>
    <row r="2334" spans="16:17">
      <c r="P2334" s="12" t="s">
        <v>2406</v>
      </c>
      <c r="Q2334" s="12">
        <v>39625530</v>
      </c>
    </row>
    <row r="2335" spans="16:17">
      <c r="P2335" s="12" t="s">
        <v>948</v>
      </c>
      <c r="Q2335" s="12">
        <v>39625530</v>
      </c>
    </row>
    <row r="2336" spans="16:17">
      <c r="P2336" s="12" t="s">
        <v>2614</v>
      </c>
      <c r="Q2336" s="12">
        <v>39625530</v>
      </c>
    </row>
  </sheetData>
  <autoFilter ref="P1:Q2876" xr:uid="{00000000-0001-0000-0200-000000000000}">
    <sortState xmlns:xlrd2="http://schemas.microsoft.com/office/spreadsheetml/2017/richdata2" ref="P2:Q2876">
      <sortCondition ref="P1:P2876"/>
    </sortState>
  </autoFilter>
  <sortState xmlns:xlrd2="http://schemas.microsoft.com/office/spreadsheetml/2017/richdata2" ref="G43:G341">
    <sortCondition ref="G341"/>
  </sortState>
  <mergeCells count="6">
    <mergeCell ref="L72:L76"/>
    <mergeCell ref="L2:L16"/>
    <mergeCell ref="L18:L36"/>
    <mergeCell ref="L37:L46"/>
    <mergeCell ref="L47:L60"/>
    <mergeCell ref="L61:L71"/>
  </mergeCells>
  <conditionalFormatting sqref="I85:I1048576">
    <cfRule type="duplicateValues" dxfId="0" priority="97"/>
  </conditionalFormatting>
  <conditionalFormatting sqref="M2:M282">
    <cfRule type="expression" priority="545">
      <formula>#REF!="FALTO"</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737" id="{E9488772-DB9A-4FDF-8500-F8BDAC91BFB0}">
            <xm:f>ISERROR(MATCH(Hoja1!#REF!,$P$2:$P$387,0))</xm:f>
            <x14:dxf/>
          </x14:cfRule>
          <xm:sqref>G2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200-000000000000}">
          <x14:formula1>
            <xm:f>IF(Hoja1!#REF!&gt;0,$C$30:$C$30,$C$6:$C$8)</xm:f>
          </x14:formula1>
          <xm:sqref>E10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Hoja1</vt:lpstr>
      <vt:lpstr>SITUACION DE CALLE</vt:lpstr>
      <vt:lpstr>VALIDACIONES</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ANALIA VERONICA FORESTIERI</cp:lastModifiedBy>
  <dcterms:created xsi:type="dcterms:W3CDTF">2021-01-07T10:18:00Z</dcterms:created>
  <dcterms:modified xsi:type="dcterms:W3CDTF">2026-06-13T14:21:37Z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2058-12.1.0.25242</vt:lpwstr>
  </property>
  <property fmtid="{D5CDD505-2E9C-101B-9397-08002B2CF9AE}" pid="4" name="CalculationRule">
    <vt:i4>0</vt:i4>
  </property>
</Properties>
</file>